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1302021\Desktop\Horómetros\"/>
    </mc:Choice>
  </mc:AlternateContent>
  <xr:revisionPtr revIDLastSave="0" documentId="13_ncr:1_{FD8D576C-FDE9-4AB2-AEA0-3EB3848AFE18}" xr6:coauthVersionLast="47" xr6:coauthVersionMax="47" xr10:uidLastSave="{00000000-0000-0000-0000-000000000000}"/>
  <bookViews>
    <workbookView xWindow="-110" yWindow="-110" windowWidth="19420" windowHeight="11500" tabRatio="832" activeTab="1" xr2:uid="{C80BDDFB-1006-4709-BF35-962D573CA3A7}"/>
  </bookViews>
  <sheets>
    <sheet name="DISPATCH" sheetId="1" r:id="rId1"/>
    <sheet name="930E-980E" sheetId="6" r:id="rId2"/>
    <sheet name="830E" sheetId="5" r:id="rId3"/>
    <sheet name="PROYECCIÓN-MP" sheetId="4" state="hidden" r:id="rId4"/>
    <sheet name="HORÓMETRO OCTUBRE 2024" sheetId="111" r:id="rId5"/>
    <sheet name="HORÓMETRO SEPTIEMBRE 2024" sheetId="110" r:id="rId6"/>
    <sheet name="HORÓMETRO AGOSTO 2024" sheetId="105" r:id="rId7"/>
    <sheet name="HORÓMETRO JULIO 2024" sheetId="103" r:id="rId8"/>
    <sheet name="HORÓMETRO JUNIO 2024" sheetId="102" r:id="rId9"/>
    <sheet name="HORÓMETRO MAYO 2024" sheetId="101" r:id="rId10"/>
    <sheet name="HORÓMETRO ABRIL 2024" sheetId="100" r:id="rId11"/>
    <sheet name="HORÓMETRO MARZO 2024" sheetId="99" r:id="rId12"/>
    <sheet name="HORÓMETRO FEBRERO 2024" sheetId="97" r:id="rId13"/>
    <sheet name="HORÓMETRO ENERO 2024" sheetId="92" r:id="rId14"/>
  </sheets>
  <definedNames>
    <definedName name="_xlnm._FilterDatabase" localSheetId="2" hidden="1">'830E'!$B$6:$Z$6</definedName>
    <definedName name="_xlnm._FilterDatabase" localSheetId="1" hidden="1">'930E-980E'!$B$6:$AB$125</definedName>
    <definedName name="_xlnm._FilterDatabase" localSheetId="3" hidden="1">'PROYECCIÓN-MP'!$G$4:$K$4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27" i="111" l="1"/>
  <c r="AG102" i="111"/>
  <c r="AG101" i="111"/>
  <c r="AG118" i="111"/>
  <c r="AG117" i="111"/>
  <c r="AG116" i="111"/>
  <c r="AG115" i="111"/>
  <c r="AG114" i="111"/>
  <c r="AG113" i="111"/>
  <c r="AG11" i="111"/>
  <c r="AG15" i="111"/>
  <c r="AG16" i="111"/>
  <c r="AG23" i="111"/>
  <c r="AG27" i="111"/>
  <c r="AG28" i="111"/>
  <c r="AG35" i="111"/>
  <c r="AG39" i="111"/>
  <c r="AG40" i="111"/>
  <c r="AG47" i="111"/>
  <c r="AG51" i="111"/>
  <c r="AG52" i="111"/>
  <c r="AG59" i="111"/>
  <c r="AG63" i="111"/>
  <c r="AG64" i="111"/>
  <c r="AG71" i="111"/>
  <c r="AG75" i="111"/>
  <c r="AG76" i="111"/>
  <c r="AG83" i="111"/>
  <c r="AG87" i="111"/>
  <c r="AG88" i="111"/>
  <c r="AG95" i="111"/>
  <c r="AG99" i="111"/>
  <c r="AG100" i="111"/>
  <c r="AG163" i="111"/>
  <c r="AG162" i="111"/>
  <c r="AG161" i="111"/>
  <c r="AG160" i="111"/>
  <c r="AG159" i="111"/>
  <c r="AG158" i="111"/>
  <c r="AG157" i="111"/>
  <c r="AG156" i="111"/>
  <c r="AG155" i="111"/>
  <c r="AG154" i="111"/>
  <c r="AG153" i="111"/>
  <c r="AG152" i="111"/>
  <c r="AG151" i="111"/>
  <c r="AG150" i="111"/>
  <c r="AG149" i="111"/>
  <c r="AG148" i="111"/>
  <c r="AG147" i="111"/>
  <c r="AG146" i="111"/>
  <c r="AG145" i="111"/>
  <c r="AG144" i="111"/>
  <c r="AG143" i="111"/>
  <c r="AG142" i="111"/>
  <c r="AG141" i="111"/>
  <c r="AG140" i="111"/>
  <c r="AG139" i="111"/>
  <c r="AG138" i="111"/>
  <c r="AG137" i="111"/>
  <c r="AG136" i="111"/>
  <c r="AG135" i="111"/>
  <c r="AG134" i="111"/>
  <c r="AG133" i="111"/>
  <c r="AG132" i="111"/>
  <c r="AG131" i="111"/>
  <c r="AG130" i="111"/>
  <c r="AG129" i="111"/>
  <c r="AG128" i="111"/>
  <c r="AG124" i="111"/>
  <c r="AG123" i="111"/>
  <c r="AG122" i="111"/>
  <c r="AG121" i="111"/>
  <c r="AG120" i="111"/>
  <c r="AG119" i="111"/>
  <c r="AG112" i="111"/>
  <c r="AG111" i="111"/>
  <c r="AG110" i="111"/>
  <c r="AG109" i="111"/>
  <c r="AG106" i="111"/>
  <c r="AG105" i="111"/>
  <c r="AG104" i="111"/>
  <c r="AG103" i="111"/>
  <c r="AG98" i="111"/>
  <c r="AG97" i="111"/>
  <c r="AG96" i="111"/>
  <c r="AG94" i="111"/>
  <c r="AG93" i="111"/>
  <c r="AG92" i="111"/>
  <c r="AG91" i="111"/>
  <c r="AG90" i="111"/>
  <c r="AG89" i="111"/>
  <c r="AG86" i="111"/>
  <c r="AG85" i="111"/>
  <c r="AG84" i="111"/>
  <c r="AG82" i="111"/>
  <c r="AG81" i="111"/>
  <c r="AG80" i="111"/>
  <c r="AG79" i="111"/>
  <c r="AG78" i="111"/>
  <c r="AG77" i="111"/>
  <c r="AG74" i="111"/>
  <c r="AG73" i="111"/>
  <c r="AG72" i="111"/>
  <c r="AG70" i="111"/>
  <c r="AG69" i="111"/>
  <c r="AG68" i="111"/>
  <c r="AG67" i="111"/>
  <c r="AG66" i="111"/>
  <c r="AG65" i="111"/>
  <c r="AG62" i="111"/>
  <c r="AG61" i="111"/>
  <c r="AG60" i="111"/>
  <c r="AG58" i="111"/>
  <c r="AG57" i="111"/>
  <c r="AG56" i="111"/>
  <c r="AG55" i="111"/>
  <c r="AG54" i="111"/>
  <c r="AG53" i="111"/>
  <c r="AG50" i="111"/>
  <c r="AG49" i="111"/>
  <c r="AG48" i="111"/>
  <c r="AG46" i="111"/>
  <c r="AG45" i="111"/>
  <c r="AG44" i="111"/>
  <c r="AG43" i="111"/>
  <c r="AG42" i="111"/>
  <c r="AG41" i="111"/>
  <c r="AG38" i="111"/>
  <c r="AG37" i="111"/>
  <c r="AG36" i="111"/>
  <c r="AG34" i="111"/>
  <c r="AG33" i="111"/>
  <c r="AG32" i="111"/>
  <c r="AG31" i="111"/>
  <c r="AG30" i="111"/>
  <c r="AG29" i="111"/>
  <c r="AG26" i="111"/>
  <c r="AG25" i="111"/>
  <c r="AG24" i="111"/>
  <c r="AG22" i="111"/>
  <c r="AG21" i="111"/>
  <c r="AG20" i="111"/>
  <c r="AG19" i="111"/>
  <c r="AG18" i="111"/>
  <c r="AG17" i="111"/>
  <c r="AG14" i="111"/>
  <c r="AG13" i="111"/>
  <c r="AG12" i="111"/>
  <c r="AG10" i="111"/>
  <c r="AG9" i="111"/>
  <c r="AG8" i="111"/>
  <c r="AG7" i="111"/>
  <c r="AG6" i="111"/>
  <c r="AG5" i="111"/>
  <c r="AG4" i="111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82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" i="6"/>
  <c r="Y19" i="5"/>
  <c r="X19" i="5" s="1"/>
  <c r="Y20" i="5"/>
  <c r="X20" i="5" s="1"/>
  <c r="Y21" i="5"/>
  <c r="X21" i="5" s="1"/>
  <c r="Y22" i="5"/>
  <c r="X22" i="5" s="1"/>
  <c r="Y23" i="5"/>
  <c r="X23" i="5" s="1"/>
  <c r="Y24" i="5"/>
  <c r="X24" i="5" s="1"/>
  <c r="Y25" i="5"/>
  <c r="X25" i="5" s="1"/>
  <c r="Y26" i="5"/>
  <c r="X26" i="5" s="1"/>
  <c r="Y27" i="5"/>
  <c r="X27" i="5" s="1"/>
  <c r="Y28" i="5"/>
  <c r="X28" i="5" s="1"/>
  <c r="Y29" i="5"/>
  <c r="X29" i="5" s="1"/>
  <c r="Y30" i="5"/>
  <c r="X30" i="5" s="1"/>
  <c r="Y31" i="5"/>
  <c r="X31" i="5" s="1"/>
  <c r="Y32" i="5"/>
  <c r="X32" i="5" s="1"/>
  <c r="Y33" i="5"/>
  <c r="X33" i="5" s="1"/>
  <c r="Y34" i="5"/>
  <c r="X34" i="5" s="1"/>
  <c r="Y35" i="5"/>
  <c r="X35" i="5" s="1"/>
  <c r="Y36" i="5"/>
  <c r="X36" i="5" s="1"/>
  <c r="Y37" i="5"/>
  <c r="X37" i="5" s="1"/>
  <c r="Y38" i="5"/>
  <c r="X38" i="5" s="1"/>
  <c r="Y39" i="5"/>
  <c r="X39" i="5" s="1"/>
  <c r="Y40" i="5"/>
  <c r="X40" i="5" s="1"/>
  <c r="Y41" i="5"/>
  <c r="X41" i="5" s="1"/>
  <c r="Y42" i="5"/>
  <c r="X42" i="5" s="1"/>
  <c r="Y43" i="5"/>
  <c r="X43" i="5" s="1"/>
  <c r="Y44" i="5"/>
  <c r="X44" i="5" s="1"/>
  <c r="Y18" i="5"/>
  <c r="X18" i="5" s="1"/>
  <c r="Y16" i="5"/>
  <c r="Y17" i="5"/>
  <c r="AA78" i="6"/>
  <c r="Z78" i="6" s="1"/>
  <c r="AA75" i="6"/>
  <c r="Z75" i="6" s="1"/>
  <c r="AA79" i="6"/>
  <c r="Z79" i="6" s="1"/>
  <c r="AA76" i="6"/>
  <c r="Z76" i="6" s="1"/>
  <c r="AA77" i="6"/>
  <c r="Z77" i="6" s="1"/>
  <c r="AA80" i="6"/>
  <c r="Z80" i="6" s="1"/>
  <c r="AA81" i="6"/>
  <c r="Z81" i="6" s="1"/>
  <c r="AG163" i="110" l="1"/>
  <c r="Z44" i="5" s="1"/>
  <c r="AG162" i="110"/>
  <c r="Z43" i="5" s="1"/>
  <c r="AG161" i="110"/>
  <c r="Z42" i="5" s="1"/>
  <c r="AG160" i="110"/>
  <c r="Z41" i="5" s="1"/>
  <c r="AG159" i="110"/>
  <c r="Z40" i="5" s="1"/>
  <c r="AG158" i="110"/>
  <c r="Z39" i="5" s="1"/>
  <c r="AG157" i="110"/>
  <c r="Z38" i="5" s="1"/>
  <c r="AG156" i="110"/>
  <c r="Z37" i="5" s="1"/>
  <c r="AG155" i="110"/>
  <c r="AG154" i="110"/>
  <c r="Z34" i="5" s="1"/>
  <c r="AG153" i="110"/>
  <c r="Z33" i="5" s="1"/>
  <c r="AG152" i="110"/>
  <c r="Z32" i="5" s="1"/>
  <c r="AG151" i="110"/>
  <c r="Z31" i="5" s="1"/>
  <c r="AG150" i="110"/>
  <c r="Z30" i="5" s="1"/>
  <c r="AG149" i="110"/>
  <c r="Z29" i="5" s="1"/>
  <c r="AG148" i="110"/>
  <c r="Z28" i="5" s="1"/>
  <c r="AG147" i="110"/>
  <c r="Z27" i="5" s="1"/>
  <c r="AG146" i="110"/>
  <c r="Z26" i="5" s="1"/>
  <c r="AG145" i="110"/>
  <c r="Z25" i="5" s="1"/>
  <c r="AG144" i="110"/>
  <c r="Z24" i="5" s="1"/>
  <c r="AG143" i="110"/>
  <c r="Z23" i="5" s="1"/>
  <c r="AG142" i="110"/>
  <c r="Z22" i="5" s="1"/>
  <c r="AG141" i="110"/>
  <c r="Z21" i="5" s="1"/>
  <c r="AG140" i="110"/>
  <c r="Z20" i="5" s="1"/>
  <c r="AG139" i="110"/>
  <c r="Z19" i="5" s="1"/>
  <c r="AG138" i="110"/>
  <c r="Z18" i="5" s="1"/>
  <c r="AG137" i="110"/>
  <c r="Z17" i="5" s="1"/>
  <c r="AG136" i="110"/>
  <c r="Z16" i="5" s="1"/>
  <c r="AG135" i="110"/>
  <c r="Z8" i="5" s="1"/>
  <c r="AG134" i="110"/>
  <c r="Z14" i="5" s="1"/>
  <c r="AG133" i="110"/>
  <c r="Z15" i="5" s="1"/>
  <c r="AG132" i="110"/>
  <c r="Z11" i="5" s="1"/>
  <c r="AG131" i="110"/>
  <c r="Z12" i="5" s="1"/>
  <c r="AG130" i="110"/>
  <c r="Z13" i="5" s="1"/>
  <c r="AG129" i="110"/>
  <c r="Z9" i="5" s="1"/>
  <c r="AG128" i="110"/>
  <c r="Z7" i="5" s="1"/>
  <c r="AG127" i="110"/>
  <c r="Z10" i="5" s="1"/>
  <c r="AG124" i="110"/>
  <c r="AB81" i="6" s="1"/>
  <c r="AG123" i="110"/>
  <c r="AB80" i="6" s="1"/>
  <c r="AG122" i="110"/>
  <c r="AB79" i="6" s="1"/>
  <c r="AG121" i="110"/>
  <c r="AB78" i="6" s="1"/>
  <c r="AG120" i="110"/>
  <c r="AB77" i="6" s="1"/>
  <c r="AG119" i="110"/>
  <c r="AB76" i="6" s="1"/>
  <c r="AG118" i="110"/>
  <c r="AB75" i="6" s="1"/>
  <c r="AG117" i="110"/>
  <c r="AB74" i="6" s="1"/>
  <c r="AG116" i="110"/>
  <c r="AB73" i="6" s="1"/>
  <c r="AG115" i="110"/>
  <c r="AB72" i="6" s="1"/>
  <c r="AG114" i="110"/>
  <c r="AB71" i="6" s="1"/>
  <c r="AG113" i="110"/>
  <c r="AB63" i="6" s="1"/>
  <c r="AG112" i="110"/>
  <c r="AB62" i="6" s="1"/>
  <c r="AG111" i="110"/>
  <c r="AB61" i="6" s="1"/>
  <c r="AG110" i="110"/>
  <c r="AB60" i="6" s="1"/>
  <c r="AG109" i="110"/>
  <c r="AB59" i="6" s="1"/>
  <c r="AG106" i="110"/>
  <c r="AB125" i="6" s="1"/>
  <c r="AG105" i="110"/>
  <c r="AB124" i="6" s="1"/>
  <c r="AG104" i="110"/>
  <c r="AB123" i="6" s="1"/>
  <c r="AG103" i="110"/>
  <c r="AB122" i="6" s="1"/>
  <c r="AG102" i="110"/>
  <c r="AB121" i="6" s="1"/>
  <c r="AG101" i="110"/>
  <c r="AB120" i="6" s="1"/>
  <c r="AG100" i="110"/>
  <c r="AB119" i="6" s="1"/>
  <c r="AG99" i="110"/>
  <c r="AB118" i="6" s="1"/>
  <c r="AG98" i="110"/>
  <c r="AB117" i="6" s="1"/>
  <c r="AG97" i="110"/>
  <c r="AB116" i="6" s="1"/>
  <c r="AG96" i="110"/>
  <c r="AB115" i="6" s="1"/>
  <c r="AG95" i="110"/>
  <c r="AB114" i="6" s="1"/>
  <c r="AG94" i="110"/>
  <c r="AB113" i="6" s="1"/>
  <c r="AG93" i="110"/>
  <c r="AB112" i="6" s="1"/>
  <c r="AG92" i="110"/>
  <c r="AB111" i="6" s="1"/>
  <c r="AG91" i="110"/>
  <c r="AB110" i="6" s="1"/>
  <c r="AG90" i="110"/>
  <c r="AB109" i="6" s="1"/>
  <c r="AG89" i="110"/>
  <c r="AB108" i="6" s="1"/>
  <c r="AG88" i="110"/>
  <c r="AB107" i="6" s="1"/>
  <c r="AG87" i="110"/>
  <c r="AB106" i="6" s="1"/>
  <c r="AG86" i="110"/>
  <c r="AB105" i="6" s="1"/>
  <c r="AG85" i="110"/>
  <c r="AB104" i="6" s="1"/>
  <c r="AG84" i="110"/>
  <c r="AB103" i="6" s="1"/>
  <c r="AG83" i="110"/>
  <c r="AB102" i="6" s="1"/>
  <c r="AG82" i="110"/>
  <c r="AB101" i="6" s="1"/>
  <c r="AG81" i="110"/>
  <c r="AB100" i="6" s="1"/>
  <c r="AG80" i="110"/>
  <c r="AB99" i="6" s="1"/>
  <c r="AG79" i="110"/>
  <c r="AB98" i="6" s="1"/>
  <c r="AG78" i="110"/>
  <c r="AB97" i="6" s="1"/>
  <c r="AG77" i="110"/>
  <c r="AB96" i="6" s="1"/>
  <c r="AG76" i="110"/>
  <c r="AB95" i="6" s="1"/>
  <c r="AG75" i="110"/>
  <c r="AB94" i="6" s="1"/>
  <c r="AG74" i="110"/>
  <c r="AB93" i="6" s="1"/>
  <c r="AG73" i="110"/>
  <c r="AB92" i="6" s="1"/>
  <c r="AG72" i="110"/>
  <c r="AB91" i="6" s="1"/>
  <c r="AG71" i="110"/>
  <c r="AB90" i="6" s="1"/>
  <c r="AG70" i="110"/>
  <c r="AB89" i="6" s="1"/>
  <c r="AG69" i="110"/>
  <c r="AB88" i="6" s="1"/>
  <c r="AG68" i="110"/>
  <c r="AB87" i="6" s="1"/>
  <c r="AG67" i="110"/>
  <c r="AB86" i="6" s="1"/>
  <c r="AG66" i="110"/>
  <c r="AB85" i="6" s="1"/>
  <c r="AG65" i="110"/>
  <c r="AB84" i="6" s="1"/>
  <c r="AG64" i="110"/>
  <c r="AB83" i="6" s="1"/>
  <c r="AG63" i="110"/>
  <c r="AB82" i="6" s="1"/>
  <c r="AG62" i="110"/>
  <c r="AB70" i="6" s="1"/>
  <c r="AG61" i="110"/>
  <c r="AB69" i="6" s="1"/>
  <c r="AG60" i="110"/>
  <c r="AB68" i="6" s="1"/>
  <c r="AG59" i="110"/>
  <c r="AB67" i="6" s="1"/>
  <c r="AG58" i="110"/>
  <c r="AB66" i="6" s="1"/>
  <c r="AG57" i="110"/>
  <c r="AB65" i="6" s="1"/>
  <c r="AG56" i="110"/>
  <c r="AB64" i="6" s="1"/>
  <c r="AG55" i="110"/>
  <c r="AB58" i="6" s="1"/>
  <c r="AG54" i="110"/>
  <c r="AB57" i="6" s="1"/>
  <c r="AG53" i="110"/>
  <c r="AB56" i="6" s="1"/>
  <c r="AG52" i="110"/>
  <c r="AB55" i="6" s="1"/>
  <c r="AG51" i="110"/>
  <c r="AB54" i="6" s="1"/>
  <c r="AG50" i="110"/>
  <c r="AB53" i="6" s="1"/>
  <c r="AG49" i="110"/>
  <c r="AB52" i="6" s="1"/>
  <c r="AG48" i="110"/>
  <c r="AB51" i="6" s="1"/>
  <c r="AG47" i="110"/>
  <c r="AB50" i="6" s="1"/>
  <c r="AG46" i="110"/>
  <c r="AB49" i="6" s="1"/>
  <c r="AG45" i="110"/>
  <c r="AB48" i="6" s="1"/>
  <c r="AG44" i="110"/>
  <c r="AB47" i="6" s="1"/>
  <c r="AG43" i="110"/>
  <c r="AB46" i="6" s="1"/>
  <c r="AG42" i="110"/>
  <c r="AB45" i="6" s="1"/>
  <c r="AG41" i="110"/>
  <c r="AB44" i="6" s="1"/>
  <c r="AG40" i="110"/>
  <c r="AB43" i="6" s="1"/>
  <c r="AG39" i="110"/>
  <c r="AB42" i="6" s="1"/>
  <c r="AG38" i="110"/>
  <c r="AB41" i="6" s="1"/>
  <c r="AG37" i="110"/>
  <c r="AB40" i="6" s="1"/>
  <c r="AG36" i="110"/>
  <c r="AB39" i="6" s="1"/>
  <c r="AG35" i="110"/>
  <c r="AB38" i="6" s="1"/>
  <c r="AG34" i="110"/>
  <c r="AB37" i="6" s="1"/>
  <c r="AG33" i="110"/>
  <c r="AB36" i="6" s="1"/>
  <c r="AG32" i="110"/>
  <c r="AB35" i="6" s="1"/>
  <c r="AG31" i="110"/>
  <c r="AB34" i="6" s="1"/>
  <c r="AG30" i="110"/>
  <c r="AB33" i="6" s="1"/>
  <c r="AG29" i="110"/>
  <c r="AB32" i="6" s="1"/>
  <c r="AG28" i="110"/>
  <c r="AB31" i="6" s="1"/>
  <c r="AG27" i="110"/>
  <c r="AB30" i="6" s="1"/>
  <c r="AG26" i="110"/>
  <c r="AB29" i="6" s="1"/>
  <c r="AG25" i="110"/>
  <c r="AB28" i="6" s="1"/>
  <c r="AG24" i="110"/>
  <c r="AB27" i="6" s="1"/>
  <c r="AG23" i="110"/>
  <c r="AB26" i="6" s="1"/>
  <c r="AG22" i="110"/>
  <c r="AB25" i="6" s="1"/>
  <c r="AG21" i="110"/>
  <c r="AB24" i="6" s="1"/>
  <c r="AG20" i="110"/>
  <c r="AB23" i="6" s="1"/>
  <c r="AG19" i="110"/>
  <c r="AB22" i="6" s="1"/>
  <c r="AG18" i="110"/>
  <c r="AB21" i="6" s="1"/>
  <c r="AG17" i="110"/>
  <c r="AB20" i="6" s="1"/>
  <c r="AG16" i="110"/>
  <c r="AB19" i="6" s="1"/>
  <c r="AG15" i="110"/>
  <c r="AB18" i="6" s="1"/>
  <c r="AG14" i="110"/>
  <c r="AB17" i="6" s="1"/>
  <c r="AG13" i="110"/>
  <c r="AB16" i="6" s="1"/>
  <c r="AG12" i="110"/>
  <c r="AB15" i="6" s="1"/>
  <c r="AG11" i="110"/>
  <c r="AB14" i="6" s="1"/>
  <c r="AG10" i="110"/>
  <c r="AB13" i="6" s="1"/>
  <c r="AG9" i="110"/>
  <c r="AB12" i="6" s="1"/>
  <c r="AG8" i="110"/>
  <c r="AB11" i="6" s="1"/>
  <c r="AG7" i="110"/>
  <c r="AB10" i="6" s="1"/>
  <c r="AG6" i="110"/>
  <c r="AB9" i="6" s="1"/>
  <c r="AG5" i="110"/>
  <c r="AB8" i="6" s="1"/>
  <c r="AG4" i="110"/>
  <c r="AB7" i="6" s="1"/>
  <c r="Z36" i="5" l="1"/>
  <c r="Z35" i="5"/>
  <c r="Y15" i="5"/>
  <c r="X15" i="5" s="1"/>
  <c r="Y8" i="5"/>
  <c r="X8" i="5" s="1"/>
  <c r="Y11" i="5"/>
  <c r="X11" i="5" s="1"/>
  <c r="Y14" i="5"/>
  <c r="X14" i="5" s="1"/>
  <c r="Y13" i="5"/>
  <c r="X13" i="5" s="1"/>
  <c r="Y10" i="5"/>
  <c r="X10" i="5" s="1"/>
  <c r="Y9" i="5"/>
  <c r="X9" i="5" s="1"/>
  <c r="Y12" i="5"/>
  <c r="X12" i="5" s="1"/>
  <c r="Y7" i="5"/>
  <c r="X7" i="5" s="1"/>
  <c r="AA9" i="6"/>
  <c r="Z9" i="6" s="1"/>
  <c r="AA10" i="6"/>
  <c r="Z10" i="6" s="1"/>
  <c r="AA11" i="6"/>
  <c r="Z11" i="6" s="1"/>
  <c r="AA12" i="6"/>
  <c r="Z12" i="6" s="1"/>
  <c r="AA13" i="6"/>
  <c r="Z13" i="6" s="1"/>
  <c r="AA14" i="6"/>
  <c r="Z14" i="6" s="1"/>
  <c r="AA15" i="6"/>
  <c r="Z15" i="6" s="1"/>
  <c r="AA16" i="6"/>
  <c r="Z16" i="6" s="1"/>
  <c r="AA17" i="6"/>
  <c r="Z17" i="6" s="1"/>
  <c r="AA18" i="6"/>
  <c r="Z18" i="6" s="1"/>
  <c r="AA19" i="6"/>
  <c r="Z19" i="6" s="1"/>
  <c r="AA20" i="6"/>
  <c r="Z20" i="6" s="1"/>
  <c r="AA21" i="6"/>
  <c r="Z21" i="6" s="1"/>
  <c r="AA22" i="6"/>
  <c r="Z22" i="6" s="1"/>
  <c r="AA23" i="6"/>
  <c r="Z23" i="6" s="1"/>
  <c r="AA24" i="6"/>
  <c r="Z24" i="6" s="1"/>
  <c r="AA25" i="6"/>
  <c r="Z25" i="6" s="1"/>
  <c r="AA26" i="6"/>
  <c r="Z26" i="6" s="1"/>
  <c r="AA27" i="6"/>
  <c r="Z27" i="6" s="1"/>
  <c r="AA28" i="6"/>
  <c r="Z28" i="6" s="1"/>
  <c r="AA29" i="6"/>
  <c r="Z29" i="6" s="1"/>
  <c r="AA30" i="6"/>
  <c r="Z30" i="6" s="1"/>
  <c r="AA31" i="6"/>
  <c r="Z31" i="6" s="1"/>
  <c r="AA32" i="6"/>
  <c r="Z32" i="6" s="1"/>
  <c r="AA33" i="6"/>
  <c r="Z33" i="6" s="1"/>
  <c r="AA34" i="6"/>
  <c r="Z34" i="6" s="1"/>
  <c r="AA35" i="6"/>
  <c r="Z35" i="6" s="1"/>
  <c r="AA36" i="6"/>
  <c r="Z36" i="6" s="1"/>
  <c r="AA37" i="6"/>
  <c r="Z37" i="6" s="1"/>
  <c r="AA38" i="6"/>
  <c r="Z38" i="6" s="1"/>
  <c r="AA39" i="6"/>
  <c r="Z39" i="6" s="1"/>
  <c r="AA40" i="6"/>
  <c r="Z40" i="6" s="1"/>
  <c r="AA41" i="6"/>
  <c r="Z41" i="6" s="1"/>
  <c r="AA42" i="6"/>
  <c r="Z42" i="6" s="1"/>
  <c r="AA43" i="6"/>
  <c r="Z43" i="6" s="1"/>
  <c r="AA44" i="6"/>
  <c r="Z44" i="6" s="1"/>
  <c r="AA45" i="6"/>
  <c r="Z45" i="6" s="1"/>
  <c r="AA46" i="6"/>
  <c r="Z46" i="6" s="1"/>
  <c r="AA47" i="6"/>
  <c r="Z47" i="6" s="1"/>
  <c r="AA48" i="6"/>
  <c r="Z48" i="6" s="1"/>
  <c r="AA49" i="6"/>
  <c r="Z49" i="6" s="1"/>
  <c r="AA50" i="6"/>
  <c r="Z50" i="6" s="1"/>
  <c r="AA51" i="6"/>
  <c r="Z51" i="6" s="1"/>
  <c r="AA52" i="6"/>
  <c r="Z52" i="6" s="1"/>
  <c r="AA53" i="6"/>
  <c r="Z53" i="6" s="1"/>
  <c r="AA54" i="6"/>
  <c r="Z54" i="6" s="1"/>
  <c r="AA55" i="6"/>
  <c r="Z55" i="6" s="1"/>
  <c r="AA56" i="6"/>
  <c r="Z56" i="6" s="1"/>
  <c r="AA57" i="6"/>
  <c r="Z57" i="6" s="1"/>
  <c r="AA58" i="6"/>
  <c r="Z58" i="6" s="1"/>
  <c r="AA64" i="6"/>
  <c r="Z64" i="6" s="1"/>
  <c r="AA65" i="6"/>
  <c r="Z65" i="6" s="1"/>
  <c r="AA66" i="6"/>
  <c r="Z66" i="6" s="1"/>
  <c r="AA67" i="6"/>
  <c r="Z67" i="6" s="1"/>
  <c r="AA68" i="6"/>
  <c r="Z68" i="6" s="1"/>
  <c r="AA69" i="6"/>
  <c r="Z69" i="6" s="1"/>
  <c r="AA70" i="6"/>
  <c r="Z70" i="6" s="1"/>
  <c r="AA82" i="6"/>
  <c r="Z82" i="6" s="1"/>
  <c r="AA83" i="6"/>
  <c r="Z83" i="6" s="1"/>
  <c r="AA84" i="6"/>
  <c r="Z84" i="6" s="1"/>
  <c r="AA85" i="6"/>
  <c r="Z85" i="6" s="1"/>
  <c r="AA86" i="6"/>
  <c r="Z86" i="6" s="1"/>
  <c r="AA87" i="6"/>
  <c r="Z87" i="6" s="1"/>
  <c r="AA88" i="6"/>
  <c r="Z88" i="6" s="1"/>
  <c r="AA89" i="6"/>
  <c r="Z89" i="6" s="1"/>
  <c r="AA90" i="6"/>
  <c r="Z90" i="6" s="1"/>
  <c r="AA91" i="6"/>
  <c r="Z91" i="6" s="1"/>
  <c r="AA92" i="6"/>
  <c r="Z92" i="6" s="1"/>
  <c r="AA93" i="6"/>
  <c r="Z93" i="6" s="1"/>
  <c r="AA94" i="6"/>
  <c r="Z94" i="6" s="1"/>
  <c r="AA95" i="6"/>
  <c r="Z95" i="6" s="1"/>
  <c r="AA96" i="6"/>
  <c r="Z96" i="6" s="1"/>
  <c r="AA97" i="6"/>
  <c r="Z97" i="6" s="1"/>
  <c r="AA98" i="6"/>
  <c r="Z98" i="6" s="1"/>
  <c r="AA99" i="6"/>
  <c r="Z99" i="6" s="1"/>
  <c r="AA100" i="6"/>
  <c r="Z100" i="6" s="1"/>
  <c r="AA101" i="6"/>
  <c r="Z101" i="6" s="1"/>
  <c r="AA102" i="6"/>
  <c r="Z102" i="6" s="1"/>
  <c r="AA103" i="6"/>
  <c r="Z103" i="6" s="1"/>
  <c r="AA104" i="6"/>
  <c r="Z104" i="6" s="1"/>
  <c r="AA105" i="6"/>
  <c r="Z105" i="6" s="1"/>
  <c r="AA106" i="6"/>
  <c r="Z106" i="6" s="1"/>
  <c r="AA107" i="6"/>
  <c r="Z107" i="6" s="1"/>
  <c r="AA108" i="6"/>
  <c r="Z108" i="6" s="1"/>
  <c r="AA109" i="6"/>
  <c r="Z109" i="6" s="1"/>
  <c r="AA110" i="6"/>
  <c r="Z110" i="6" s="1"/>
  <c r="AA111" i="6"/>
  <c r="Z111" i="6" s="1"/>
  <c r="AA112" i="6"/>
  <c r="Z112" i="6" s="1"/>
  <c r="AA113" i="6"/>
  <c r="Z113" i="6" s="1"/>
  <c r="AA114" i="6"/>
  <c r="Z114" i="6" s="1"/>
  <c r="AA115" i="6"/>
  <c r="Z115" i="6" s="1"/>
  <c r="AA116" i="6"/>
  <c r="Z116" i="6" s="1"/>
  <c r="AA117" i="6"/>
  <c r="Z117" i="6" s="1"/>
  <c r="AA118" i="6"/>
  <c r="Z118" i="6" s="1"/>
  <c r="AA119" i="6"/>
  <c r="Z119" i="6" s="1"/>
  <c r="AA120" i="6"/>
  <c r="Z120" i="6" s="1"/>
  <c r="AA121" i="6"/>
  <c r="Z121" i="6" s="1"/>
  <c r="AA122" i="6"/>
  <c r="Z122" i="6" s="1"/>
  <c r="AA123" i="6"/>
  <c r="Z123" i="6" s="1"/>
  <c r="AA124" i="6"/>
  <c r="Z124" i="6" s="1"/>
  <c r="AA125" i="6"/>
  <c r="Z125" i="6" s="1"/>
  <c r="AA59" i="6"/>
  <c r="Z59" i="6" s="1"/>
  <c r="AA60" i="6"/>
  <c r="Z60" i="6" s="1"/>
  <c r="AA61" i="6"/>
  <c r="Z61" i="6" s="1"/>
  <c r="AA62" i="6"/>
  <c r="Z62" i="6" s="1"/>
  <c r="AA63" i="6"/>
  <c r="Z63" i="6" s="1"/>
  <c r="AA71" i="6"/>
  <c r="Z71" i="6" s="1"/>
  <c r="AA72" i="6"/>
  <c r="Z72" i="6" s="1"/>
  <c r="AA73" i="6"/>
  <c r="Z73" i="6" s="1"/>
  <c r="AA74" i="6"/>
  <c r="Z74" i="6" s="1"/>
  <c r="AA8" i="6"/>
  <c r="Z8" i="6" s="1"/>
  <c r="AA7" i="6"/>
  <c r="Z7" i="6" s="1"/>
  <c r="C130" i="4" l="1"/>
  <c r="C131" i="4"/>
  <c r="C132" i="4"/>
  <c r="C133" i="4"/>
  <c r="C134" i="4"/>
  <c r="C135" i="4"/>
  <c r="C136" i="4"/>
  <c r="C137" i="4"/>
  <c r="C129" i="4"/>
  <c r="B130" i="4"/>
  <c r="G130" i="4" s="1"/>
  <c r="B131" i="4"/>
  <c r="G131" i="4" s="1"/>
  <c r="B132" i="4"/>
  <c r="G132" i="4" s="1"/>
  <c r="B133" i="4"/>
  <c r="G133" i="4" s="1"/>
  <c r="B134" i="4"/>
  <c r="G134" i="4" s="1"/>
  <c r="B135" i="4"/>
  <c r="G135" i="4" s="1"/>
  <c r="B136" i="4"/>
  <c r="G136" i="4" s="1"/>
  <c r="B137" i="4"/>
  <c r="G137" i="4" s="1"/>
  <c r="B129" i="4"/>
  <c r="G129" i="4" s="1"/>
  <c r="P7" i="5" l="1"/>
  <c r="P10" i="5"/>
  <c r="P9" i="5"/>
  <c r="P12" i="5"/>
  <c r="P13" i="5"/>
  <c r="P8" i="5"/>
  <c r="P11" i="5"/>
  <c r="U35" i="5" l="1"/>
  <c r="U36" i="5"/>
  <c r="J7" i="5"/>
  <c r="J10" i="5"/>
  <c r="J9" i="5"/>
  <c r="J12" i="5"/>
  <c r="J13" i="5"/>
  <c r="J15" i="5"/>
  <c r="J8" i="5"/>
  <c r="J11" i="5"/>
  <c r="J14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4" i="5"/>
  <c r="J43" i="5"/>
  <c r="W36" i="5"/>
  <c r="P35" i="5"/>
  <c r="P36" i="5"/>
  <c r="J127" i="6" l="1"/>
  <c r="J76" i="6" l="1"/>
  <c r="J77" i="6"/>
  <c r="J78" i="6"/>
  <c r="J79" i="6"/>
  <c r="J80" i="6"/>
  <c r="J81" i="6"/>
  <c r="J75" i="6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7" i="5"/>
  <c r="U38" i="5"/>
  <c r="U39" i="5"/>
  <c r="U40" i="5"/>
  <c r="U41" i="5"/>
  <c r="U42" i="5"/>
  <c r="U43" i="5"/>
  <c r="U44" i="5"/>
  <c r="U16" i="5"/>
  <c r="U10" i="5"/>
  <c r="U9" i="5"/>
  <c r="U12" i="5"/>
  <c r="U13" i="5"/>
  <c r="U15" i="5"/>
  <c r="U8" i="5"/>
  <c r="U11" i="5"/>
  <c r="U14" i="5"/>
  <c r="U7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7" i="5"/>
  <c r="P38" i="5"/>
  <c r="P39" i="5"/>
  <c r="P40" i="5"/>
  <c r="P41" i="5"/>
  <c r="P42" i="5"/>
  <c r="P43" i="5"/>
  <c r="P44" i="5"/>
  <c r="P15" i="5"/>
  <c r="P14" i="5"/>
  <c r="AG163" i="105" l="1"/>
  <c r="AG162" i="105"/>
  <c r="AG161" i="105"/>
  <c r="AG160" i="105"/>
  <c r="AG159" i="105"/>
  <c r="AG158" i="105"/>
  <c r="AG157" i="105"/>
  <c r="AG156" i="105"/>
  <c r="AG155" i="105"/>
  <c r="AG154" i="105"/>
  <c r="AG153" i="105"/>
  <c r="AG152" i="105"/>
  <c r="AG151" i="105"/>
  <c r="AG150" i="105"/>
  <c r="AG149" i="105"/>
  <c r="AG148" i="105"/>
  <c r="AG147" i="105"/>
  <c r="AG146" i="105"/>
  <c r="AG145" i="105"/>
  <c r="AG144" i="105"/>
  <c r="AG143" i="105"/>
  <c r="AG142" i="105"/>
  <c r="AG141" i="105"/>
  <c r="AG140" i="105"/>
  <c r="AG139" i="105"/>
  <c r="AG138" i="105"/>
  <c r="AG137" i="105"/>
  <c r="AG136" i="105"/>
  <c r="AG135" i="105"/>
  <c r="E137" i="4" s="1"/>
  <c r="AG134" i="105"/>
  <c r="E136" i="4" s="1"/>
  <c r="AG133" i="105"/>
  <c r="E135" i="4" s="1"/>
  <c r="AG132" i="105"/>
  <c r="E134" i="4" s="1"/>
  <c r="AG131" i="105"/>
  <c r="E133" i="4" s="1"/>
  <c r="AG130" i="105"/>
  <c r="E132" i="4" s="1"/>
  <c r="AG129" i="105"/>
  <c r="E131" i="4" s="1"/>
  <c r="AG128" i="105"/>
  <c r="E130" i="4" s="1"/>
  <c r="AG127" i="105"/>
  <c r="E129" i="4" s="1"/>
  <c r="AG124" i="105"/>
  <c r="AG123" i="105"/>
  <c r="AG122" i="105"/>
  <c r="N79" i="6" s="1"/>
  <c r="O79" i="6" s="1"/>
  <c r="AG121" i="105"/>
  <c r="N78" i="6" s="1"/>
  <c r="O78" i="6" s="1"/>
  <c r="AG120" i="105"/>
  <c r="AG119" i="105"/>
  <c r="AG118" i="105"/>
  <c r="AG117" i="105"/>
  <c r="AG116" i="105"/>
  <c r="AG115" i="105"/>
  <c r="AG114" i="105"/>
  <c r="AG113" i="105"/>
  <c r="N63" i="6" s="1"/>
  <c r="D112" i="4" s="1"/>
  <c r="AG112" i="105"/>
  <c r="AG111" i="105"/>
  <c r="AG110" i="105"/>
  <c r="AG109" i="105"/>
  <c r="AG106" i="105"/>
  <c r="AG105" i="105"/>
  <c r="AG104" i="105"/>
  <c r="AG103" i="105"/>
  <c r="AG102" i="105"/>
  <c r="AG101" i="105"/>
  <c r="AG100" i="105"/>
  <c r="AG99" i="105"/>
  <c r="AG98" i="105"/>
  <c r="AG97" i="105"/>
  <c r="AG96" i="105"/>
  <c r="AG95" i="105"/>
  <c r="AG94" i="105"/>
  <c r="AG93" i="105"/>
  <c r="AG92" i="105"/>
  <c r="AG91" i="105"/>
  <c r="AG90" i="105"/>
  <c r="AG89" i="105"/>
  <c r="AG88" i="105"/>
  <c r="AG87" i="105"/>
  <c r="AG86" i="105"/>
  <c r="AG85" i="105"/>
  <c r="AG84" i="105"/>
  <c r="AG83" i="105"/>
  <c r="AG82" i="105"/>
  <c r="AG81" i="105"/>
  <c r="AG80" i="105"/>
  <c r="AG79" i="105"/>
  <c r="AG78" i="105"/>
  <c r="AG77" i="105"/>
  <c r="AG76" i="105"/>
  <c r="AG75" i="105"/>
  <c r="AG74" i="105"/>
  <c r="AG73" i="105"/>
  <c r="AG72" i="105"/>
  <c r="AG71" i="105"/>
  <c r="AG70" i="105"/>
  <c r="AG69" i="105"/>
  <c r="AG68" i="105"/>
  <c r="AG67" i="105"/>
  <c r="AG66" i="105"/>
  <c r="AG65" i="105"/>
  <c r="AG64" i="105"/>
  <c r="AG63" i="105"/>
  <c r="AG62" i="105"/>
  <c r="AG61" i="105"/>
  <c r="AG60" i="105"/>
  <c r="AG59" i="105"/>
  <c r="AG58" i="105"/>
  <c r="AG57" i="105"/>
  <c r="AG56" i="105"/>
  <c r="AG55" i="105"/>
  <c r="AG54" i="105"/>
  <c r="AG53" i="105"/>
  <c r="AG52" i="105"/>
  <c r="AG51" i="105"/>
  <c r="AG50" i="105"/>
  <c r="AG49" i="105"/>
  <c r="AG48" i="105"/>
  <c r="AG47" i="105"/>
  <c r="AG46" i="105"/>
  <c r="AG45" i="105"/>
  <c r="AG44" i="105"/>
  <c r="AG43" i="105"/>
  <c r="AG42" i="105"/>
  <c r="AG41" i="105"/>
  <c r="AG40" i="105"/>
  <c r="AG39" i="105"/>
  <c r="AG38" i="105"/>
  <c r="AG37" i="105"/>
  <c r="AG36" i="105"/>
  <c r="AG35" i="105"/>
  <c r="AG34" i="105"/>
  <c r="AG33" i="105"/>
  <c r="AG32" i="105"/>
  <c r="AG31" i="105"/>
  <c r="AG30" i="105"/>
  <c r="AG29" i="105"/>
  <c r="AG28" i="105"/>
  <c r="AG27" i="105"/>
  <c r="AG26" i="105"/>
  <c r="AG25" i="105"/>
  <c r="AG24" i="105"/>
  <c r="AG23" i="105"/>
  <c r="AG22" i="105"/>
  <c r="AG21" i="105"/>
  <c r="AG20" i="105"/>
  <c r="AG19" i="105"/>
  <c r="AG18" i="105"/>
  <c r="AG17" i="105"/>
  <c r="AG16" i="105"/>
  <c r="AG15" i="105"/>
  <c r="AG14" i="105"/>
  <c r="AG13" i="105"/>
  <c r="AG12" i="105"/>
  <c r="AG11" i="105"/>
  <c r="AG10" i="105"/>
  <c r="AG9" i="105"/>
  <c r="AG8" i="105"/>
  <c r="AG7" i="105"/>
  <c r="AG6" i="105"/>
  <c r="AG5" i="105"/>
  <c r="AG4" i="105"/>
  <c r="D120" i="4" l="1"/>
  <c r="L120" i="4" s="1" a="1"/>
  <c r="L120" i="4" s="1"/>
  <c r="D121" i="4"/>
  <c r="H121" i="4" s="1"/>
  <c r="T36" i="5"/>
  <c r="T35" i="5"/>
  <c r="H112" i="4"/>
  <c r="N15" i="5"/>
  <c r="T21" i="5"/>
  <c r="T14" i="5"/>
  <c r="N8" i="5"/>
  <c r="N13" i="5"/>
  <c r="N36" i="5"/>
  <c r="O36" i="5" s="1"/>
  <c r="T37" i="5"/>
  <c r="N29" i="5"/>
  <c r="O29" i="5" s="1"/>
  <c r="N30" i="5"/>
  <c r="O30" i="5" s="1"/>
  <c r="T39" i="5"/>
  <c r="N31" i="5"/>
  <c r="O31" i="5" s="1"/>
  <c r="T32" i="5"/>
  <c r="N41" i="5"/>
  <c r="O41" i="5" s="1"/>
  <c r="N26" i="5"/>
  <c r="O26" i="5" s="1"/>
  <c r="N35" i="5"/>
  <c r="O35" i="5" s="1"/>
  <c r="N27" i="5"/>
  <c r="O27" i="5" s="1"/>
  <c r="T27" i="5"/>
  <c r="N21" i="5"/>
  <c r="O21" i="5" s="1"/>
  <c r="N38" i="5"/>
  <c r="O38" i="5" s="1"/>
  <c r="T38" i="5"/>
  <c r="N22" i="5"/>
  <c r="O22" i="5" s="1"/>
  <c r="T22" i="5"/>
  <c r="T30" i="5"/>
  <c r="N39" i="5"/>
  <c r="O39" i="5" s="1"/>
  <c r="N23" i="5"/>
  <c r="O23" i="5" s="1"/>
  <c r="T23" i="5"/>
  <c r="N40" i="5"/>
  <c r="O40" i="5" s="1"/>
  <c r="T40" i="5"/>
  <c r="N44" i="5"/>
  <c r="O44" i="5" s="1"/>
  <c r="T44" i="5"/>
  <c r="N28" i="5"/>
  <c r="O28" i="5" s="1"/>
  <c r="T28" i="5"/>
  <c r="N24" i="5"/>
  <c r="O24" i="5" s="1"/>
  <c r="T24" i="5"/>
  <c r="T41" i="5"/>
  <c r="N25" i="5"/>
  <c r="O25" i="5" s="1"/>
  <c r="T25" i="5"/>
  <c r="N33" i="5"/>
  <c r="O33" i="5" s="1"/>
  <c r="T33" i="5"/>
  <c r="N42" i="5"/>
  <c r="O42" i="5" s="1"/>
  <c r="T42" i="5"/>
  <c r="N34" i="5"/>
  <c r="O34" i="5" s="1"/>
  <c r="T34" i="5"/>
  <c r="N43" i="5"/>
  <c r="O43" i="5" s="1"/>
  <c r="T43" i="5"/>
  <c r="N20" i="5"/>
  <c r="O20" i="5" s="1"/>
  <c r="T20" i="5"/>
  <c r="N19" i="5"/>
  <c r="O19" i="5" s="1"/>
  <c r="T19" i="5"/>
  <c r="N18" i="5"/>
  <c r="O18" i="5" s="1"/>
  <c r="T18" i="5"/>
  <c r="N17" i="5"/>
  <c r="O17" i="5" s="1"/>
  <c r="T17" i="5"/>
  <c r="N16" i="5"/>
  <c r="O16" i="5" s="1"/>
  <c r="T16" i="5"/>
  <c r="N11" i="5"/>
  <c r="O11" i="5" s="1"/>
  <c r="T11" i="5"/>
  <c r="N10" i="5"/>
  <c r="T10" i="5"/>
  <c r="N9" i="5"/>
  <c r="T9" i="5"/>
  <c r="N12" i="5"/>
  <c r="T12" i="5"/>
  <c r="T7" i="5"/>
  <c r="N7" i="5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J112" i="4" s="1"/>
  <c r="I112" i="4" s="1"/>
  <c r="K112" i="4" s="1" a="1"/>
  <c r="K112" i="4" s="1"/>
  <c r="C113" i="4"/>
  <c r="C114" i="4"/>
  <c r="C115" i="4"/>
  <c r="C116" i="4"/>
  <c r="C117" i="4"/>
  <c r="C118" i="4"/>
  <c r="C119" i="4"/>
  <c r="C120" i="4"/>
  <c r="C121" i="4"/>
  <c r="C122" i="4"/>
  <c r="C123" i="4"/>
  <c r="C5" i="4"/>
  <c r="B8" i="4"/>
  <c r="G8" i="4" s="1"/>
  <c r="B9" i="4"/>
  <c r="G9" i="4" s="1"/>
  <c r="B10" i="4"/>
  <c r="G10" i="4" s="1"/>
  <c r="B11" i="4"/>
  <c r="G11" i="4" s="1"/>
  <c r="B12" i="4"/>
  <c r="G12" i="4" s="1"/>
  <c r="B13" i="4"/>
  <c r="G13" i="4" s="1"/>
  <c r="B14" i="4"/>
  <c r="G14" i="4" s="1"/>
  <c r="B15" i="4"/>
  <c r="G15" i="4" s="1"/>
  <c r="B16" i="4"/>
  <c r="G16" i="4" s="1"/>
  <c r="B17" i="4"/>
  <c r="G17" i="4" s="1"/>
  <c r="B18" i="4"/>
  <c r="G18" i="4" s="1"/>
  <c r="B19" i="4"/>
  <c r="G19" i="4" s="1"/>
  <c r="B20" i="4"/>
  <c r="G20" i="4" s="1"/>
  <c r="B21" i="4"/>
  <c r="G21" i="4" s="1"/>
  <c r="B22" i="4"/>
  <c r="G22" i="4" s="1"/>
  <c r="B23" i="4"/>
  <c r="G23" i="4" s="1"/>
  <c r="B24" i="4"/>
  <c r="G24" i="4" s="1"/>
  <c r="B25" i="4"/>
  <c r="G25" i="4" s="1"/>
  <c r="B26" i="4"/>
  <c r="G26" i="4" s="1"/>
  <c r="B27" i="4"/>
  <c r="G27" i="4" s="1"/>
  <c r="B28" i="4"/>
  <c r="G28" i="4" s="1"/>
  <c r="B29" i="4"/>
  <c r="G29" i="4" s="1"/>
  <c r="B30" i="4"/>
  <c r="G30" i="4" s="1"/>
  <c r="B31" i="4"/>
  <c r="G31" i="4" s="1"/>
  <c r="B32" i="4"/>
  <c r="G32" i="4" s="1"/>
  <c r="B33" i="4"/>
  <c r="G33" i="4" s="1"/>
  <c r="B34" i="4"/>
  <c r="G34" i="4" s="1"/>
  <c r="B35" i="4"/>
  <c r="G35" i="4" s="1"/>
  <c r="B36" i="4"/>
  <c r="G36" i="4" s="1"/>
  <c r="B37" i="4"/>
  <c r="G37" i="4" s="1"/>
  <c r="B38" i="4"/>
  <c r="G38" i="4" s="1"/>
  <c r="B39" i="4"/>
  <c r="G39" i="4" s="1"/>
  <c r="B40" i="4"/>
  <c r="G40" i="4" s="1"/>
  <c r="B41" i="4"/>
  <c r="G41" i="4" s="1"/>
  <c r="B42" i="4"/>
  <c r="G42" i="4" s="1"/>
  <c r="B43" i="4"/>
  <c r="G43" i="4" s="1"/>
  <c r="B44" i="4"/>
  <c r="G44" i="4" s="1"/>
  <c r="B45" i="4"/>
  <c r="G45" i="4" s="1"/>
  <c r="B46" i="4"/>
  <c r="G46" i="4" s="1"/>
  <c r="B47" i="4"/>
  <c r="G47" i="4" s="1"/>
  <c r="B48" i="4"/>
  <c r="G48" i="4" s="1"/>
  <c r="B49" i="4"/>
  <c r="G49" i="4" s="1"/>
  <c r="B50" i="4"/>
  <c r="G50" i="4" s="1"/>
  <c r="B51" i="4"/>
  <c r="G51" i="4" s="1"/>
  <c r="B52" i="4"/>
  <c r="G52" i="4" s="1"/>
  <c r="B53" i="4"/>
  <c r="G53" i="4" s="1"/>
  <c r="B54" i="4"/>
  <c r="G54" i="4" s="1"/>
  <c r="B55" i="4"/>
  <c r="G55" i="4" s="1"/>
  <c r="B56" i="4"/>
  <c r="G56" i="4" s="1"/>
  <c r="B57" i="4"/>
  <c r="G57" i="4" s="1"/>
  <c r="B58" i="4"/>
  <c r="G58" i="4" s="1"/>
  <c r="B59" i="4"/>
  <c r="G59" i="4" s="1"/>
  <c r="B60" i="4"/>
  <c r="G60" i="4" s="1"/>
  <c r="B61" i="4"/>
  <c r="G61" i="4" s="1"/>
  <c r="B62" i="4"/>
  <c r="G62" i="4" s="1"/>
  <c r="B63" i="4"/>
  <c r="G63" i="4" s="1"/>
  <c r="B64" i="4"/>
  <c r="G64" i="4" s="1"/>
  <c r="B65" i="4"/>
  <c r="G65" i="4" s="1"/>
  <c r="B66" i="4"/>
  <c r="G66" i="4" s="1"/>
  <c r="B67" i="4"/>
  <c r="G67" i="4" s="1"/>
  <c r="B68" i="4"/>
  <c r="G68" i="4" s="1"/>
  <c r="B69" i="4"/>
  <c r="G69" i="4" s="1"/>
  <c r="B70" i="4"/>
  <c r="G70" i="4" s="1"/>
  <c r="B71" i="4"/>
  <c r="G71" i="4" s="1"/>
  <c r="B72" i="4"/>
  <c r="G72" i="4" s="1"/>
  <c r="B73" i="4"/>
  <c r="G73" i="4" s="1"/>
  <c r="B74" i="4"/>
  <c r="G74" i="4" s="1"/>
  <c r="B75" i="4"/>
  <c r="G75" i="4" s="1"/>
  <c r="B76" i="4"/>
  <c r="G76" i="4" s="1"/>
  <c r="B77" i="4"/>
  <c r="G77" i="4" s="1"/>
  <c r="B78" i="4"/>
  <c r="G78" i="4" s="1"/>
  <c r="B79" i="4"/>
  <c r="G79" i="4" s="1"/>
  <c r="B80" i="4"/>
  <c r="G80" i="4" s="1"/>
  <c r="B81" i="4"/>
  <c r="G81" i="4" s="1"/>
  <c r="B82" i="4"/>
  <c r="G82" i="4" s="1"/>
  <c r="B83" i="4"/>
  <c r="G83" i="4" s="1"/>
  <c r="B84" i="4"/>
  <c r="G84" i="4" s="1"/>
  <c r="B85" i="4"/>
  <c r="G85" i="4" s="1"/>
  <c r="B86" i="4"/>
  <c r="G86" i="4" s="1"/>
  <c r="B87" i="4"/>
  <c r="G87" i="4" s="1"/>
  <c r="B88" i="4"/>
  <c r="G88" i="4" s="1"/>
  <c r="B89" i="4"/>
  <c r="G89" i="4" s="1"/>
  <c r="B90" i="4"/>
  <c r="G90" i="4" s="1"/>
  <c r="B91" i="4"/>
  <c r="G91" i="4" s="1"/>
  <c r="B92" i="4"/>
  <c r="G92" i="4" s="1"/>
  <c r="B93" i="4"/>
  <c r="G93" i="4" s="1"/>
  <c r="B94" i="4"/>
  <c r="G94" i="4" s="1"/>
  <c r="B95" i="4"/>
  <c r="G95" i="4" s="1"/>
  <c r="B96" i="4"/>
  <c r="G96" i="4" s="1"/>
  <c r="B97" i="4"/>
  <c r="G97" i="4" s="1"/>
  <c r="B98" i="4"/>
  <c r="G98" i="4" s="1"/>
  <c r="B99" i="4"/>
  <c r="G99" i="4" s="1"/>
  <c r="B100" i="4"/>
  <c r="G100" i="4" s="1"/>
  <c r="B101" i="4"/>
  <c r="G101" i="4" s="1"/>
  <c r="B102" i="4"/>
  <c r="G102" i="4" s="1"/>
  <c r="B103" i="4"/>
  <c r="G103" i="4" s="1"/>
  <c r="B104" i="4"/>
  <c r="G104" i="4" s="1"/>
  <c r="B105" i="4"/>
  <c r="G105" i="4" s="1"/>
  <c r="B106" i="4"/>
  <c r="G106" i="4" s="1"/>
  <c r="B107" i="4"/>
  <c r="G107" i="4" s="1"/>
  <c r="B108" i="4"/>
  <c r="G108" i="4" s="1"/>
  <c r="B109" i="4"/>
  <c r="G109" i="4" s="1"/>
  <c r="B110" i="4"/>
  <c r="G110" i="4" s="1"/>
  <c r="B111" i="4"/>
  <c r="G111" i="4" s="1"/>
  <c r="B112" i="4"/>
  <c r="G112" i="4" s="1"/>
  <c r="B113" i="4"/>
  <c r="G113" i="4" s="1"/>
  <c r="B114" i="4"/>
  <c r="G114" i="4" s="1"/>
  <c r="B115" i="4"/>
  <c r="G115" i="4" s="1"/>
  <c r="B116" i="4"/>
  <c r="G116" i="4" s="1"/>
  <c r="B117" i="4"/>
  <c r="G117" i="4" s="1"/>
  <c r="B118" i="4"/>
  <c r="G118" i="4" s="1"/>
  <c r="B119" i="4"/>
  <c r="G119" i="4" s="1"/>
  <c r="B120" i="4"/>
  <c r="G120" i="4" s="1"/>
  <c r="B121" i="4"/>
  <c r="G121" i="4" s="1"/>
  <c r="B122" i="4"/>
  <c r="G122" i="4" s="1"/>
  <c r="B123" i="4"/>
  <c r="G123" i="4" s="1"/>
  <c r="B7" i="4"/>
  <c r="G7" i="4" s="1"/>
  <c r="B6" i="4"/>
  <c r="G6" i="4" s="1"/>
  <c r="B5" i="4"/>
  <c r="G5" i="4" s="1"/>
  <c r="H120" i="4" l="1"/>
  <c r="L121" i="4" a="1"/>
  <c r="L121" i="4" s="1"/>
  <c r="J121" i="4"/>
  <c r="J120" i="4"/>
  <c r="O9" i="5"/>
  <c r="D131" i="4"/>
  <c r="O8" i="5"/>
  <c r="D137" i="4"/>
  <c r="D134" i="4"/>
  <c r="O10" i="5"/>
  <c r="D129" i="4"/>
  <c r="O7" i="5"/>
  <c r="D130" i="4"/>
  <c r="O15" i="5"/>
  <c r="D135" i="4"/>
  <c r="O12" i="5"/>
  <c r="D133" i="4"/>
  <c r="O13" i="5"/>
  <c r="D132" i="4"/>
  <c r="T8" i="5"/>
  <c r="T13" i="5"/>
  <c r="N14" i="5"/>
  <c r="T15" i="5"/>
  <c r="N32" i="5"/>
  <c r="O32" i="5" s="1"/>
  <c r="T26" i="5"/>
  <c r="T31" i="5"/>
  <c r="N37" i="5"/>
  <c r="O37" i="5" s="1"/>
  <c r="T29" i="5"/>
  <c r="AB4" i="6"/>
  <c r="H129" i="4" l="1"/>
  <c r="J129" i="4"/>
  <c r="I129" i="4" s="1"/>
  <c r="K129" i="4" s="1" a="1"/>
  <c r="K129" i="4" s="1"/>
  <c r="H134" i="4"/>
  <c r="J134" i="4"/>
  <c r="I134" i="4" s="1"/>
  <c r="K134" i="4" s="1" a="1"/>
  <c r="K134" i="4" s="1"/>
  <c r="H133" i="4"/>
  <c r="J133" i="4"/>
  <c r="I133" i="4" s="1"/>
  <c r="K133" i="4" s="1" a="1"/>
  <c r="K133" i="4" s="1"/>
  <c r="H132" i="4"/>
  <c r="J132" i="4"/>
  <c r="I132" i="4" s="1"/>
  <c r="K132" i="4" s="1" a="1"/>
  <c r="K132" i="4" s="1"/>
  <c r="H137" i="4"/>
  <c r="J137" i="4"/>
  <c r="I137" i="4" s="1"/>
  <c r="K137" i="4" s="1" a="1"/>
  <c r="K137" i="4" s="1"/>
  <c r="H135" i="4"/>
  <c r="J135" i="4"/>
  <c r="I135" i="4"/>
  <c r="K135" i="4" s="1" a="1"/>
  <c r="K135" i="4" s="1"/>
  <c r="O14" i="5"/>
  <c r="W4" i="5" s="1"/>
  <c r="D136" i="4"/>
  <c r="H131" i="4"/>
  <c r="J131" i="4"/>
  <c r="I131" i="4" s="1"/>
  <c r="K131" i="4" s="1" a="1"/>
  <c r="K131" i="4" s="1"/>
  <c r="H130" i="4"/>
  <c r="J130" i="4"/>
  <c r="I130" i="4" s="1"/>
  <c r="K130" i="4" s="1" a="1"/>
  <c r="K130" i="4" s="1"/>
  <c r="N60" i="6"/>
  <c r="D109" i="4" s="1"/>
  <c r="AG163" i="103"/>
  <c r="AG162" i="103"/>
  <c r="AG161" i="103"/>
  <c r="AG160" i="103"/>
  <c r="AG159" i="103"/>
  <c r="AG158" i="103"/>
  <c r="AG157" i="103"/>
  <c r="AG156" i="103"/>
  <c r="AG155" i="103"/>
  <c r="AG154" i="103"/>
  <c r="AG153" i="103"/>
  <c r="AG152" i="103"/>
  <c r="AG151" i="103"/>
  <c r="AG150" i="103"/>
  <c r="AG149" i="103"/>
  <c r="AG148" i="103"/>
  <c r="AG147" i="103"/>
  <c r="AG146" i="103"/>
  <c r="AG145" i="103"/>
  <c r="AG144" i="103"/>
  <c r="AG143" i="103"/>
  <c r="AG142" i="103"/>
  <c r="AG141" i="103"/>
  <c r="AG140" i="103"/>
  <c r="AG139" i="103"/>
  <c r="AG138" i="103"/>
  <c r="AG137" i="103"/>
  <c r="AG136" i="103"/>
  <c r="AG135" i="103"/>
  <c r="AG134" i="103"/>
  <c r="AG133" i="103"/>
  <c r="AG132" i="103"/>
  <c r="AG131" i="103"/>
  <c r="AG130" i="103"/>
  <c r="AG129" i="103"/>
  <c r="AG128" i="103"/>
  <c r="AG127" i="103"/>
  <c r="AG124" i="103"/>
  <c r="E123" i="4" s="1"/>
  <c r="AG123" i="103"/>
  <c r="E122" i="4" s="1"/>
  <c r="AG122" i="103"/>
  <c r="E121" i="4" s="1"/>
  <c r="AG121" i="103"/>
  <c r="E120" i="4" s="1"/>
  <c r="AG120" i="103"/>
  <c r="E119" i="4" s="1"/>
  <c r="AG119" i="103"/>
  <c r="E118" i="4" s="1"/>
  <c r="AG118" i="103"/>
  <c r="E117" i="4" s="1"/>
  <c r="AG117" i="103"/>
  <c r="T74" i="6" s="1"/>
  <c r="U74" i="6" s="1"/>
  <c r="AG116" i="103"/>
  <c r="E115" i="4" s="1"/>
  <c r="AG115" i="103"/>
  <c r="E114" i="4" s="1"/>
  <c r="AG114" i="103"/>
  <c r="E113" i="4" s="1"/>
  <c r="AG113" i="103"/>
  <c r="E112" i="4" s="1"/>
  <c r="AG112" i="103"/>
  <c r="E111" i="4" s="1"/>
  <c r="AG111" i="103"/>
  <c r="E110" i="4" s="1"/>
  <c r="AG110" i="103"/>
  <c r="E109" i="4" s="1"/>
  <c r="AG109" i="103"/>
  <c r="E108" i="4" s="1"/>
  <c r="AG106" i="103"/>
  <c r="E107" i="4" s="1"/>
  <c r="AG105" i="103"/>
  <c r="E106" i="4" s="1"/>
  <c r="AG104" i="103"/>
  <c r="E105" i="4" s="1"/>
  <c r="AG103" i="103"/>
  <c r="T122" i="6" s="1"/>
  <c r="U122" i="6" s="1"/>
  <c r="AG102" i="103"/>
  <c r="E103" i="4" s="1"/>
  <c r="AG101" i="103"/>
  <c r="E102" i="4" s="1"/>
  <c r="AG100" i="103"/>
  <c r="E101" i="4" s="1"/>
  <c r="AG99" i="103"/>
  <c r="E100" i="4" s="1"/>
  <c r="AG98" i="103"/>
  <c r="E99" i="4" s="1"/>
  <c r="AG97" i="103"/>
  <c r="E98" i="4" s="1"/>
  <c r="AG96" i="103"/>
  <c r="E97" i="4" s="1"/>
  <c r="AG95" i="103"/>
  <c r="E96" i="4" s="1"/>
  <c r="AG94" i="103"/>
  <c r="E95" i="4" s="1"/>
  <c r="AG93" i="103"/>
  <c r="E94" i="4" s="1"/>
  <c r="AG92" i="103"/>
  <c r="E93" i="4" s="1"/>
  <c r="AG91" i="103"/>
  <c r="E92" i="4" s="1"/>
  <c r="AG90" i="103"/>
  <c r="E91" i="4" s="1"/>
  <c r="AG89" i="103"/>
  <c r="E90" i="4" s="1"/>
  <c r="AG88" i="103"/>
  <c r="E89" i="4" s="1"/>
  <c r="AG87" i="103"/>
  <c r="E88" i="4" s="1"/>
  <c r="AG86" i="103"/>
  <c r="E87" i="4" s="1"/>
  <c r="AG85" i="103"/>
  <c r="E86" i="4" s="1"/>
  <c r="AG84" i="103"/>
  <c r="E85" i="4" s="1"/>
  <c r="AG83" i="103"/>
  <c r="E84" i="4" s="1"/>
  <c r="AG82" i="103"/>
  <c r="E83" i="4" s="1"/>
  <c r="AG81" i="103"/>
  <c r="E82" i="4" s="1"/>
  <c r="AG80" i="103"/>
  <c r="E81" i="4" s="1"/>
  <c r="AG79" i="103"/>
  <c r="E80" i="4" s="1"/>
  <c r="AG78" i="103"/>
  <c r="E79" i="4" s="1"/>
  <c r="AG77" i="103"/>
  <c r="E78" i="4" s="1"/>
  <c r="AG76" i="103"/>
  <c r="E77" i="4" s="1"/>
  <c r="AG75" i="103"/>
  <c r="E76" i="4" s="1"/>
  <c r="AG74" i="103"/>
  <c r="E75" i="4" s="1"/>
  <c r="AG73" i="103"/>
  <c r="E74" i="4" s="1"/>
  <c r="AG72" i="103"/>
  <c r="E73" i="4" s="1"/>
  <c r="AG71" i="103"/>
  <c r="E72" i="4" s="1"/>
  <c r="AG70" i="103"/>
  <c r="E71" i="4" s="1"/>
  <c r="AG69" i="103"/>
  <c r="E70" i="4" s="1"/>
  <c r="AG68" i="103"/>
  <c r="E69" i="4" s="1"/>
  <c r="AG67" i="103"/>
  <c r="E68" i="4" s="1"/>
  <c r="AG66" i="103"/>
  <c r="E67" i="4" s="1"/>
  <c r="AG65" i="103"/>
  <c r="E66" i="4" s="1"/>
  <c r="AG64" i="103"/>
  <c r="E65" i="4" s="1"/>
  <c r="AG63" i="103"/>
  <c r="E64" i="4" s="1"/>
  <c r="AG62" i="103"/>
  <c r="E63" i="4" s="1"/>
  <c r="AG61" i="103"/>
  <c r="E62" i="4" s="1"/>
  <c r="AG60" i="103"/>
  <c r="E61" i="4" s="1"/>
  <c r="AG59" i="103"/>
  <c r="E60" i="4" s="1"/>
  <c r="AG58" i="103"/>
  <c r="E59" i="4" s="1"/>
  <c r="AG57" i="103"/>
  <c r="E58" i="4" s="1"/>
  <c r="AG56" i="103"/>
  <c r="E57" i="4" s="1"/>
  <c r="AG55" i="103"/>
  <c r="E56" i="4" s="1"/>
  <c r="AG54" i="103"/>
  <c r="E55" i="4" s="1"/>
  <c r="AG53" i="103"/>
  <c r="E54" i="4" s="1"/>
  <c r="AG52" i="103"/>
  <c r="E53" i="4" s="1"/>
  <c r="AG51" i="103"/>
  <c r="E52" i="4" s="1"/>
  <c r="AG50" i="103"/>
  <c r="E51" i="4" s="1"/>
  <c r="AG49" i="103"/>
  <c r="E50" i="4" s="1"/>
  <c r="AG48" i="103"/>
  <c r="E49" i="4" s="1"/>
  <c r="AG47" i="103"/>
  <c r="E48" i="4" s="1"/>
  <c r="AG46" i="103"/>
  <c r="E47" i="4" s="1"/>
  <c r="AG45" i="103"/>
  <c r="E46" i="4" s="1"/>
  <c r="AG44" i="103"/>
  <c r="E45" i="4" s="1"/>
  <c r="AG43" i="103"/>
  <c r="E44" i="4" s="1"/>
  <c r="AG42" i="103"/>
  <c r="E43" i="4" s="1"/>
  <c r="AG41" i="103"/>
  <c r="E42" i="4" s="1"/>
  <c r="AG40" i="103"/>
  <c r="E41" i="4" s="1"/>
  <c r="AG39" i="103"/>
  <c r="E40" i="4" s="1"/>
  <c r="AG38" i="103"/>
  <c r="E39" i="4" s="1"/>
  <c r="AG37" i="103"/>
  <c r="E38" i="4" s="1"/>
  <c r="AG36" i="103"/>
  <c r="E37" i="4" s="1"/>
  <c r="AG35" i="103"/>
  <c r="E36" i="4" s="1"/>
  <c r="AG34" i="103"/>
  <c r="E35" i="4" s="1"/>
  <c r="AG33" i="103"/>
  <c r="E34" i="4" s="1"/>
  <c r="AG32" i="103"/>
  <c r="E33" i="4" s="1"/>
  <c r="AG31" i="103"/>
  <c r="E32" i="4" s="1"/>
  <c r="AG30" i="103"/>
  <c r="E31" i="4" s="1"/>
  <c r="AG29" i="103"/>
  <c r="E30" i="4" s="1"/>
  <c r="AG28" i="103"/>
  <c r="E29" i="4" s="1"/>
  <c r="AG27" i="103"/>
  <c r="E28" i="4" s="1"/>
  <c r="AG26" i="103"/>
  <c r="E27" i="4" s="1"/>
  <c r="AG25" i="103"/>
  <c r="E26" i="4" s="1"/>
  <c r="AG24" i="103"/>
  <c r="E25" i="4" s="1"/>
  <c r="AG23" i="103"/>
  <c r="E24" i="4" s="1"/>
  <c r="AG22" i="103"/>
  <c r="E23" i="4" s="1"/>
  <c r="AG21" i="103"/>
  <c r="E22" i="4" s="1"/>
  <c r="AG20" i="103"/>
  <c r="E21" i="4" s="1"/>
  <c r="AG19" i="103"/>
  <c r="E20" i="4" s="1"/>
  <c r="AG18" i="103"/>
  <c r="E19" i="4" s="1"/>
  <c r="AG17" i="103"/>
  <c r="T20" i="6" s="1"/>
  <c r="U20" i="6" s="1"/>
  <c r="AG16" i="103"/>
  <c r="E17" i="4" s="1"/>
  <c r="AG15" i="103"/>
  <c r="E16" i="4" s="1"/>
  <c r="AG14" i="103"/>
  <c r="E15" i="4" s="1"/>
  <c r="AG13" i="103"/>
  <c r="E14" i="4" s="1"/>
  <c r="AG12" i="103"/>
  <c r="E13" i="4" s="1"/>
  <c r="AG11" i="103"/>
  <c r="E12" i="4" s="1"/>
  <c r="AG10" i="103"/>
  <c r="AG9" i="103"/>
  <c r="N12" i="6" s="1"/>
  <c r="D10" i="4" s="1"/>
  <c r="AG8" i="103"/>
  <c r="AG7" i="103"/>
  <c r="N10" i="6" s="1"/>
  <c r="D8" i="4" s="1"/>
  <c r="AG6" i="103"/>
  <c r="E7" i="4" s="1"/>
  <c r="AG5" i="103"/>
  <c r="E6" i="4" s="1"/>
  <c r="AG4" i="103"/>
  <c r="AG163" i="102"/>
  <c r="AG162" i="102"/>
  <c r="AG161" i="102"/>
  <c r="AG160" i="102"/>
  <c r="AG159" i="102"/>
  <c r="AG158" i="102"/>
  <c r="AG157" i="102"/>
  <c r="AG156" i="102"/>
  <c r="AG155" i="102"/>
  <c r="AG154" i="102"/>
  <c r="AG153" i="102"/>
  <c r="AG152" i="102"/>
  <c r="AG151" i="102"/>
  <c r="AG150" i="102"/>
  <c r="AG149" i="102"/>
  <c r="AG148" i="102"/>
  <c r="AG147" i="102"/>
  <c r="AG146" i="102"/>
  <c r="AG145" i="102"/>
  <c r="AG144" i="102"/>
  <c r="AG143" i="102"/>
  <c r="AG142" i="102"/>
  <c r="AG141" i="102"/>
  <c r="AG140" i="102"/>
  <c r="AG139" i="102"/>
  <c r="AG138" i="102"/>
  <c r="AG137" i="102"/>
  <c r="AG136" i="102"/>
  <c r="AG135" i="102"/>
  <c r="AG134" i="102"/>
  <c r="AG133" i="102"/>
  <c r="AG132" i="102"/>
  <c r="AG131" i="102"/>
  <c r="AG130" i="102"/>
  <c r="AG129" i="102"/>
  <c r="AG128" i="102"/>
  <c r="AG127" i="102"/>
  <c r="AG124" i="102"/>
  <c r="AG123" i="102"/>
  <c r="AG122" i="102"/>
  <c r="AG121" i="102"/>
  <c r="AG120" i="102"/>
  <c r="AG119" i="102"/>
  <c r="AG118" i="102"/>
  <c r="AG117" i="102"/>
  <c r="AG116" i="102"/>
  <c r="AG115" i="102"/>
  <c r="AG114" i="102"/>
  <c r="AG113" i="102"/>
  <c r="AG112" i="102"/>
  <c r="AG111" i="102"/>
  <c r="AG110" i="102"/>
  <c r="AG109" i="102"/>
  <c r="AG106" i="102"/>
  <c r="AG105" i="102"/>
  <c r="AG104" i="102"/>
  <c r="AG103" i="102"/>
  <c r="AG102" i="102"/>
  <c r="AG101" i="102"/>
  <c r="AG100" i="102"/>
  <c r="AG99" i="102"/>
  <c r="AG98" i="102"/>
  <c r="AG97" i="102"/>
  <c r="AG96" i="102"/>
  <c r="AG95" i="102"/>
  <c r="AG94" i="102"/>
  <c r="AG93" i="102"/>
  <c r="AG92" i="102"/>
  <c r="AG91" i="102"/>
  <c r="AG90" i="102"/>
  <c r="AG89" i="102"/>
  <c r="AG88" i="102"/>
  <c r="AG87" i="102"/>
  <c r="AG86" i="102"/>
  <c r="AG85" i="102"/>
  <c r="AG84" i="102"/>
  <c r="AG83" i="102"/>
  <c r="AG82" i="102"/>
  <c r="AG81" i="102"/>
  <c r="AG80" i="102"/>
  <c r="AG79" i="102"/>
  <c r="AG78" i="102"/>
  <c r="AG77" i="102"/>
  <c r="AG76" i="102"/>
  <c r="AG75" i="102"/>
  <c r="AG74" i="102"/>
  <c r="AG73" i="102"/>
  <c r="AG72" i="102"/>
  <c r="AG71" i="102"/>
  <c r="AG70" i="102"/>
  <c r="AG69" i="102"/>
  <c r="AG68" i="102"/>
  <c r="AG67" i="102"/>
  <c r="AG66" i="102"/>
  <c r="AG65" i="102"/>
  <c r="AG64" i="102"/>
  <c r="AG63" i="102"/>
  <c r="AG62" i="102"/>
  <c r="AG61" i="102"/>
  <c r="AG60" i="102"/>
  <c r="AG59" i="102"/>
  <c r="AG58" i="102"/>
  <c r="AG57" i="102"/>
  <c r="AG56" i="102"/>
  <c r="AG55" i="102"/>
  <c r="AG54" i="102"/>
  <c r="AG53" i="102"/>
  <c r="AG52" i="102"/>
  <c r="AG51" i="102"/>
  <c r="AG50" i="102"/>
  <c r="AG49" i="102"/>
  <c r="AG48" i="102"/>
  <c r="AG47" i="102"/>
  <c r="AG46" i="102"/>
  <c r="AG45" i="102"/>
  <c r="AG44" i="102"/>
  <c r="AG43" i="102"/>
  <c r="AG42" i="102"/>
  <c r="AG41" i="102"/>
  <c r="AG40" i="102"/>
  <c r="AG39" i="102"/>
  <c r="AG38" i="102"/>
  <c r="AG37" i="102"/>
  <c r="AG36" i="102"/>
  <c r="AG35" i="102"/>
  <c r="AG34" i="102"/>
  <c r="AG33" i="102"/>
  <c r="AG32" i="102"/>
  <c r="AG31" i="102"/>
  <c r="AG30" i="102"/>
  <c r="AG29" i="102"/>
  <c r="AG28" i="102"/>
  <c r="AG27" i="102"/>
  <c r="AG26" i="102"/>
  <c r="AG25" i="102"/>
  <c r="AG24" i="102"/>
  <c r="AG23" i="102"/>
  <c r="AG22" i="102"/>
  <c r="AG21" i="102"/>
  <c r="AG20" i="102"/>
  <c r="AG19" i="102"/>
  <c r="AG18" i="102"/>
  <c r="AG17" i="102"/>
  <c r="AG16" i="102"/>
  <c r="AG15" i="102"/>
  <c r="AG14" i="102"/>
  <c r="AG13" i="102"/>
  <c r="AG12" i="102"/>
  <c r="AG11" i="102"/>
  <c r="AG10" i="102"/>
  <c r="AG9" i="102"/>
  <c r="AG8" i="102"/>
  <c r="AG7" i="102"/>
  <c r="AG6" i="102"/>
  <c r="AG5" i="102"/>
  <c r="AG4" i="102"/>
  <c r="AG163" i="101"/>
  <c r="AG162" i="101"/>
  <c r="AG161" i="101"/>
  <c r="AG160" i="101"/>
  <c r="AG159" i="101"/>
  <c r="AG158" i="101"/>
  <c r="AG157" i="101"/>
  <c r="AG156" i="101"/>
  <c r="AG155" i="101"/>
  <c r="AG154" i="101"/>
  <c r="AG153" i="101"/>
  <c r="AG152" i="101"/>
  <c r="AG151" i="101"/>
  <c r="AG150" i="101"/>
  <c r="AG149" i="101"/>
  <c r="AG148" i="101"/>
  <c r="AG147" i="101"/>
  <c r="AG146" i="101"/>
  <c r="AG145" i="101"/>
  <c r="AG144" i="101"/>
  <c r="AG143" i="101"/>
  <c r="AG142" i="101"/>
  <c r="AG141" i="101"/>
  <c r="AG140" i="101"/>
  <c r="AG139" i="101"/>
  <c r="AG138" i="101"/>
  <c r="AG137" i="101"/>
  <c r="AG136" i="101"/>
  <c r="AG135" i="101"/>
  <c r="AG134" i="101"/>
  <c r="AG133" i="101"/>
  <c r="AG132" i="101"/>
  <c r="AG131" i="101"/>
  <c r="AG130" i="101"/>
  <c r="AG129" i="101"/>
  <c r="AG128" i="101"/>
  <c r="AG127" i="101"/>
  <c r="AG124" i="101"/>
  <c r="AG123" i="101"/>
  <c r="AG122" i="101"/>
  <c r="AG121" i="101"/>
  <c r="AG120" i="101"/>
  <c r="AG119" i="101"/>
  <c r="AG118" i="101"/>
  <c r="AG117" i="101"/>
  <c r="AG116" i="101"/>
  <c r="AG115" i="101"/>
  <c r="AG114" i="101"/>
  <c r="AG113" i="101"/>
  <c r="AG112" i="101"/>
  <c r="AG111" i="101"/>
  <c r="AG110" i="101"/>
  <c r="AG109" i="101"/>
  <c r="AG106" i="101"/>
  <c r="AG105" i="101"/>
  <c r="AG104" i="101"/>
  <c r="AG103" i="101"/>
  <c r="AG102" i="101"/>
  <c r="AG101" i="101"/>
  <c r="AG100" i="101"/>
  <c r="AG99" i="101"/>
  <c r="AG98" i="101"/>
  <c r="AG97" i="101"/>
  <c r="AG96" i="101"/>
  <c r="AG95" i="101"/>
  <c r="AG94" i="101"/>
  <c r="AG93" i="101"/>
  <c r="AG92" i="101"/>
  <c r="AG91" i="101"/>
  <c r="AG90" i="101"/>
  <c r="AG89" i="101"/>
  <c r="AG88" i="101"/>
  <c r="AG87" i="101"/>
  <c r="AG86" i="101"/>
  <c r="AG85" i="101"/>
  <c r="AG84" i="101"/>
  <c r="AG83" i="101"/>
  <c r="AG82" i="101"/>
  <c r="AG81" i="101"/>
  <c r="AG80" i="101"/>
  <c r="AG79" i="101"/>
  <c r="AG78" i="101"/>
  <c r="AG77" i="101"/>
  <c r="AG76" i="101"/>
  <c r="AG75" i="101"/>
  <c r="AG74" i="101"/>
  <c r="AG73" i="101"/>
  <c r="AG72" i="101"/>
  <c r="AG71" i="101"/>
  <c r="AG70" i="101"/>
  <c r="AG69" i="101"/>
  <c r="AG68" i="101"/>
  <c r="AG67" i="101"/>
  <c r="AG66" i="101"/>
  <c r="AG65" i="101"/>
  <c r="AG64" i="101"/>
  <c r="AG63" i="101"/>
  <c r="AG62" i="101"/>
  <c r="AG61" i="101"/>
  <c r="AG60" i="101"/>
  <c r="AG59" i="101"/>
  <c r="AG58" i="101"/>
  <c r="AG57" i="101"/>
  <c r="AG56" i="101"/>
  <c r="AG55" i="101"/>
  <c r="AG54" i="101"/>
  <c r="AG53" i="101"/>
  <c r="AG52" i="101"/>
  <c r="AG51" i="101"/>
  <c r="AG50" i="101"/>
  <c r="AG49" i="101"/>
  <c r="AG48" i="101"/>
  <c r="AG47" i="101"/>
  <c r="AG46" i="101"/>
  <c r="AG45" i="101"/>
  <c r="AG44" i="101"/>
  <c r="AG43" i="101"/>
  <c r="AG42" i="101"/>
  <c r="AG41" i="101"/>
  <c r="AG40" i="101"/>
  <c r="AG39" i="101"/>
  <c r="AG38" i="101"/>
  <c r="AG37" i="101"/>
  <c r="AG36" i="101"/>
  <c r="AG35" i="101"/>
  <c r="AG34" i="101"/>
  <c r="AG33" i="101"/>
  <c r="AG32" i="101"/>
  <c r="AG31" i="101"/>
  <c r="AG30" i="101"/>
  <c r="AG29" i="101"/>
  <c r="AG28" i="101"/>
  <c r="AG27" i="101"/>
  <c r="AG26" i="101"/>
  <c r="AG25" i="101"/>
  <c r="AG24" i="101"/>
  <c r="AG23" i="101"/>
  <c r="AG22" i="101"/>
  <c r="AG21" i="101"/>
  <c r="AG20" i="101"/>
  <c r="AG19" i="101"/>
  <c r="AG18" i="101"/>
  <c r="AG17" i="101"/>
  <c r="AG16" i="101"/>
  <c r="AG15" i="101"/>
  <c r="AG14" i="101"/>
  <c r="AG13" i="101"/>
  <c r="AG12" i="101"/>
  <c r="AG11" i="101"/>
  <c r="AG10" i="101"/>
  <c r="AG9" i="101"/>
  <c r="AG8" i="101"/>
  <c r="AG7" i="101"/>
  <c r="AG6" i="101"/>
  <c r="AG5" i="101"/>
  <c r="AG4" i="101"/>
  <c r="AG163" i="100"/>
  <c r="AG162" i="100"/>
  <c r="AG161" i="100"/>
  <c r="AG160" i="100"/>
  <c r="AG159" i="100"/>
  <c r="AG158" i="100"/>
  <c r="AG157" i="100"/>
  <c r="AG156" i="100"/>
  <c r="AG155" i="100"/>
  <c r="AG154" i="100"/>
  <c r="AG153" i="100"/>
  <c r="AG152" i="100"/>
  <c r="AG151" i="100"/>
  <c r="AG150" i="100"/>
  <c r="AG149" i="100"/>
  <c r="AG148" i="100"/>
  <c r="AG147" i="100"/>
  <c r="AG146" i="100"/>
  <c r="AG145" i="100"/>
  <c r="AG144" i="100"/>
  <c r="AG143" i="100"/>
  <c r="AG142" i="100"/>
  <c r="AG141" i="100"/>
  <c r="AG140" i="100"/>
  <c r="AG139" i="100"/>
  <c r="AG138" i="100"/>
  <c r="AG137" i="100"/>
  <c r="AG136" i="100"/>
  <c r="AG135" i="100"/>
  <c r="AG134" i="100"/>
  <c r="AG133" i="100"/>
  <c r="AG132" i="100"/>
  <c r="AG131" i="100"/>
  <c r="AG130" i="100"/>
  <c r="AG129" i="100"/>
  <c r="AG128" i="100"/>
  <c r="AG127" i="100"/>
  <c r="AG124" i="100"/>
  <c r="AG123" i="100"/>
  <c r="AG122" i="100"/>
  <c r="AG121" i="100"/>
  <c r="AG120" i="100"/>
  <c r="AG119" i="100"/>
  <c r="AG118" i="100"/>
  <c r="AG117" i="100"/>
  <c r="AG116" i="100"/>
  <c r="AG115" i="100"/>
  <c r="AG114" i="100"/>
  <c r="AG113" i="100"/>
  <c r="AG112" i="100"/>
  <c r="AG111" i="100"/>
  <c r="AG110" i="100"/>
  <c r="AG109" i="100"/>
  <c r="AG106" i="100"/>
  <c r="AG105" i="100"/>
  <c r="AG104" i="100"/>
  <c r="AG103" i="100"/>
  <c r="AG102" i="100"/>
  <c r="AG101" i="100"/>
  <c r="AG100" i="100"/>
  <c r="AG99" i="100"/>
  <c r="AG98" i="100"/>
  <c r="AG97" i="100"/>
  <c r="AG96" i="100"/>
  <c r="AG95" i="100"/>
  <c r="AG94" i="100"/>
  <c r="AG93" i="100"/>
  <c r="AG92" i="100"/>
  <c r="AG91" i="100"/>
  <c r="AG90" i="100"/>
  <c r="AG89" i="100"/>
  <c r="AG88" i="100"/>
  <c r="AG87" i="100"/>
  <c r="AG86" i="100"/>
  <c r="AG85" i="100"/>
  <c r="AG84" i="100"/>
  <c r="AG83" i="100"/>
  <c r="AG82" i="100"/>
  <c r="AG81" i="100"/>
  <c r="AG80" i="100"/>
  <c r="AG79" i="100"/>
  <c r="AG78" i="100"/>
  <c r="AG77" i="100"/>
  <c r="AG76" i="100"/>
  <c r="AG75" i="100"/>
  <c r="AG74" i="100"/>
  <c r="AG73" i="100"/>
  <c r="AG72" i="100"/>
  <c r="AG71" i="100"/>
  <c r="AG70" i="100"/>
  <c r="AG69" i="100"/>
  <c r="AG68" i="100"/>
  <c r="AG67" i="100"/>
  <c r="AG66" i="100"/>
  <c r="AG65" i="100"/>
  <c r="AG64" i="100"/>
  <c r="AG63" i="100"/>
  <c r="AG62" i="100"/>
  <c r="AG61" i="100"/>
  <c r="AG60" i="100"/>
  <c r="AG59" i="100"/>
  <c r="AG58" i="100"/>
  <c r="AG57" i="100"/>
  <c r="AG56" i="100"/>
  <c r="AG55" i="100"/>
  <c r="AG54" i="100"/>
  <c r="AG53" i="100"/>
  <c r="AG52" i="100"/>
  <c r="AG51" i="100"/>
  <c r="AG50" i="100"/>
  <c r="AG49" i="100"/>
  <c r="AG48" i="100"/>
  <c r="AG47" i="100"/>
  <c r="AG46" i="100"/>
  <c r="AG45" i="100"/>
  <c r="AG44" i="100"/>
  <c r="AG43" i="100"/>
  <c r="AG42" i="100"/>
  <c r="AG41" i="100"/>
  <c r="AG40" i="100"/>
  <c r="AG39" i="100"/>
  <c r="AG38" i="100"/>
  <c r="AG37" i="100"/>
  <c r="AG36" i="100"/>
  <c r="AG35" i="100"/>
  <c r="AG34" i="100"/>
  <c r="AG33" i="100"/>
  <c r="AG32" i="100"/>
  <c r="AG31" i="100"/>
  <c r="AG30" i="100"/>
  <c r="AG29" i="100"/>
  <c r="AG28" i="100"/>
  <c r="AG27" i="100"/>
  <c r="AG26" i="100"/>
  <c r="AG25" i="100"/>
  <c r="AG24" i="100"/>
  <c r="AG23" i="100"/>
  <c r="AG22" i="100"/>
  <c r="AG21" i="100"/>
  <c r="AG20" i="100"/>
  <c r="AG19" i="100"/>
  <c r="AG18" i="100"/>
  <c r="AG17" i="100"/>
  <c r="AG16" i="100"/>
  <c r="AG15" i="100"/>
  <c r="AG14" i="100"/>
  <c r="AG13" i="100"/>
  <c r="AG12" i="100"/>
  <c r="AG11" i="100"/>
  <c r="AG10" i="100"/>
  <c r="AG9" i="100"/>
  <c r="AG8" i="100"/>
  <c r="AG7" i="100"/>
  <c r="AG6" i="100"/>
  <c r="AG5" i="100"/>
  <c r="AG4" i="100"/>
  <c r="AG163" i="99"/>
  <c r="AG162" i="99"/>
  <c r="AG161" i="99"/>
  <c r="AG160" i="99"/>
  <c r="AG159" i="99"/>
  <c r="AG158" i="99"/>
  <c r="AG157" i="99"/>
  <c r="AG156" i="99"/>
  <c r="AG155" i="99"/>
  <c r="AG154" i="99"/>
  <c r="AG153" i="99"/>
  <c r="AG152" i="99"/>
  <c r="AG151" i="99"/>
  <c r="AG150" i="99"/>
  <c r="AG149" i="99"/>
  <c r="AG148" i="99"/>
  <c r="AG147" i="99"/>
  <c r="AG146" i="99"/>
  <c r="AG145" i="99"/>
  <c r="AG144" i="99"/>
  <c r="AG143" i="99"/>
  <c r="AG142" i="99"/>
  <c r="AG141" i="99"/>
  <c r="AG140" i="99"/>
  <c r="AG139" i="99"/>
  <c r="AG138" i="99"/>
  <c r="AG137" i="99"/>
  <c r="AG136" i="99"/>
  <c r="AG135" i="99"/>
  <c r="AG134" i="99"/>
  <c r="AG133" i="99"/>
  <c r="AG132" i="99"/>
  <c r="AG131" i="99"/>
  <c r="AG130" i="99"/>
  <c r="AG129" i="99"/>
  <c r="AG128" i="99"/>
  <c r="AG127" i="99"/>
  <c r="AG124" i="99"/>
  <c r="AG123" i="99"/>
  <c r="AG122" i="99"/>
  <c r="AG121" i="99"/>
  <c r="AG120" i="99"/>
  <c r="AG119" i="99"/>
  <c r="AG118" i="99"/>
  <c r="AG117" i="99"/>
  <c r="AG116" i="99"/>
  <c r="AG115" i="99"/>
  <c r="AG114" i="99"/>
  <c r="AG113" i="99"/>
  <c r="AG112" i="99"/>
  <c r="AG111" i="99"/>
  <c r="AG110" i="99"/>
  <c r="AG109" i="99"/>
  <c r="AG106" i="99"/>
  <c r="AG105" i="99"/>
  <c r="AG104" i="99"/>
  <c r="AG103" i="99"/>
  <c r="AG102" i="99"/>
  <c r="AG101" i="99"/>
  <c r="AG100" i="99"/>
  <c r="AG99" i="99"/>
  <c r="AG98" i="99"/>
  <c r="AG97" i="99"/>
  <c r="AG96" i="99"/>
  <c r="AG95" i="99"/>
  <c r="AG94" i="99"/>
  <c r="AG93" i="99"/>
  <c r="AG92" i="99"/>
  <c r="AG91" i="99"/>
  <c r="AG90" i="99"/>
  <c r="AG89" i="99"/>
  <c r="AG88" i="99"/>
  <c r="AG87" i="99"/>
  <c r="AG86" i="99"/>
  <c r="AG85" i="99"/>
  <c r="AG84" i="99"/>
  <c r="AG83" i="99"/>
  <c r="AG82" i="99"/>
  <c r="AG81" i="99"/>
  <c r="AG80" i="99"/>
  <c r="AG79" i="99"/>
  <c r="AG78" i="99"/>
  <c r="AG77" i="99"/>
  <c r="AG76" i="99"/>
  <c r="AG75" i="99"/>
  <c r="AG74" i="99"/>
  <c r="AG73" i="99"/>
  <c r="AG72" i="99"/>
  <c r="AG71" i="99"/>
  <c r="AG70" i="99"/>
  <c r="AG69" i="99"/>
  <c r="AG68" i="99"/>
  <c r="AG67" i="99"/>
  <c r="AG66" i="99"/>
  <c r="AG65" i="99"/>
  <c r="AG64" i="99"/>
  <c r="AG63" i="99"/>
  <c r="AG62" i="99"/>
  <c r="AG61" i="99"/>
  <c r="AG60" i="99"/>
  <c r="AG59" i="99"/>
  <c r="AG58" i="99"/>
  <c r="AG57" i="99"/>
  <c r="AG56" i="99"/>
  <c r="AG55" i="99"/>
  <c r="AG54" i="99"/>
  <c r="AG53" i="99"/>
  <c r="AG52" i="99"/>
  <c r="AG51" i="99"/>
  <c r="AG50" i="99"/>
  <c r="AG49" i="99"/>
  <c r="AG48" i="99"/>
  <c r="AG47" i="99"/>
  <c r="AG46" i="99"/>
  <c r="AG45" i="99"/>
  <c r="AG44" i="99"/>
  <c r="AG43" i="99"/>
  <c r="AG42" i="99"/>
  <c r="AG41" i="99"/>
  <c r="AG40" i="99"/>
  <c r="AG39" i="99"/>
  <c r="AG38" i="99"/>
  <c r="AG37" i="99"/>
  <c r="AG36" i="99"/>
  <c r="AG35" i="99"/>
  <c r="AG34" i="99"/>
  <c r="AG33" i="99"/>
  <c r="AG32" i="99"/>
  <c r="AG31" i="99"/>
  <c r="AG30" i="99"/>
  <c r="AG29" i="99"/>
  <c r="AG28" i="99"/>
  <c r="AG27" i="99"/>
  <c r="AG26" i="99"/>
  <c r="AG25" i="99"/>
  <c r="AG24" i="99"/>
  <c r="AG23" i="99"/>
  <c r="AG22" i="99"/>
  <c r="AG21" i="99"/>
  <c r="AG20" i="99"/>
  <c r="AG19" i="99"/>
  <c r="AG18" i="99"/>
  <c r="AG17" i="99"/>
  <c r="AG16" i="99"/>
  <c r="AG15" i="99"/>
  <c r="AG14" i="99"/>
  <c r="AG13" i="99"/>
  <c r="AG12" i="99"/>
  <c r="AG11" i="99"/>
  <c r="AG10" i="99"/>
  <c r="AG9" i="99"/>
  <c r="AG8" i="99"/>
  <c r="AG7" i="99"/>
  <c r="AG6" i="99"/>
  <c r="AG5" i="99"/>
  <c r="AG4" i="99"/>
  <c r="AG128" i="92"/>
  <c r="AG109" i="97"/>
  <c r="AG110" i="97"/>
  <c r="AG111" i="97"/>
  <c r="AG112" i="97"/>
  <c r="AG113" i="97"/>
  <c r="AG163" i="97"/>
  <c r="AG162" i="97"/>
  <c r="AG161" i="97"/>
  <c r="AG160" i="97"/>
  <c r="AG159" i="97"/>
  <c r="AG158" i="97"/>
  <c r="AG157" i="97"/>
  <c r="AG156" i="97"/>
  <c r="AG155" i="97"/>
  <c r="AG154" i="97"/>
  <c r="AG153" i="97"/>
  <c r="AG152" i="97"/>
  <c r="AG151" i="97"/>
  <c r="AG150" i="97"/>
  <c r="AG149" i="97"/>
  <c r="AG148" i="97"/>
  <c r="AG147" i="97"/>
  <c r="AG146" i="97"/>
  <c r="AG145" i="97"/>
  <c r="AG144" i="97"/>
  <c r="AG143" i="97"/>
  <c r="AG142" i="97"/>
  <c r="AG141" i="97"/>
  <c r="AG140" i="97"/>
  <c r="AG139" i="97"/>
  <c r="AG138" i="97"/>
  <c r="AG137" i="97"/>
  <c r="AG136" i="97"/>
  <c r="AG135" i="97"/>
  <c r="AG134" i="97"/>
  <c r="AG133" i="97"/>
  <c r="AG132" i="97"/>
  <c r="AG131" i="97"/>
  <c r="AG130" i="97"/>
  <c r="AG129" i="97"/>
  <c r="AG127" i="97"/>
  <c r="AG128" i="97"/>
  <c r="AG124" i="97"/>
  <c r="AG123" i="97"/>
  <c r="AG122" i="97"/>
  <c r="AG121" i="97"/>
  <c r="AG120" i="97"/>
  <c r="AG119" i="97"/>
  <c r="AG118" i="97"/>
  <c r="AG117" i="97"/>
  <c r="AG116" i="97"/>
  <c r="AG115" i="97"/>
  <c r="AG114" i="97"/>
  <c r="AG106" i="97"/>
  <c r="AG105" i="97"/>
  <c r="AG104" i="97"/>
  <c r="AG103" i="97"/>
  <c r="AG102" i="97"/>
  <c r="AG101" i="97"/>
  <c r="AG100" i="97"/>
  <c r="AG99" i="97"/>
  <c r="AG98" i="97"/>
  <c r="AG97" i="97"/>
  <c r="AG96" i="97"/>
  <c r="AG95" i="97"/>
  <c r="AG94" i="97"/>
  <c r="AG93" i="97"/>
  <c r="AG92" i="97"/>
  <c r="AG91" i="97"/>
  <c r="AG90" i="97"/>
  <c r="AG89" i="97"/>
  <c r="AG88" i="97"/>
  <c r="AG87" i="97"/>
  <c r="AG86" i="97"/>
  <c r="AG85" i="97"/>
  <c r="AG84" i="97"/>
  <c r="AG83" i="97"/>
  <c r="AG82" i="97"/>
  <c r="AG81" i="97"/>
  <c r="AG80" i="97"/>
  <c r="AG79" i="97"/>
  <c r="AG78" i="97"/>
  <c r="AG77" i="97"/>
  <c r="AG76" i="97"/>
  <c r="AG75" i="97"/>
  <c r="AG74" i="97"/>
  <c r="AG73" i="97"/>
  <c r="AG72" i="97"/>
  <c r="AG71" i="97"/>
  <c r="AG70" i="97"/>
  <c r="AG69" i="97"/>
  <c r="AG68" i="97"/>
  <c r="AG67" i="97"/>
  <c r="AG66" i="97"/>
  <c r="AG65" i="97"/>
  <c r="AG64" i="97"/>
  <c r="AG63" i="97"/>
  <c r="AG62" i="97"/>
  <c r="AG61" i="97"/>
  <c r="AG60" i="97"/>
  <c r="AG59" i="97"/>
  <c r="AG58" i="97"/>
  <c r="AG57" i="97"/>
  <c r="AG56" i="97"/>
  <c r="AG55" i="97"/>
  <c r="AG54" i="97"/>
  <c r="AG53" i="97"/>
  <c r="AG52" i="97"/>
  <c r="AG51" i="97"/>
  <c r="AG50" i="97"/>
  <c r="AG49" i="97"/>
  <c r="AG48" i="97"/>
  <c r="AG47" i="97"/>
  <c r="AG46" i="97"/>
  <c r="AG45" i="97"/>
  <c r="AG44" i="97"/>
  <c r="AG43" i="97"/>
  <c r="AG42" i="97"/>
  <c r="AG41" i="97"/>
  <c r="AG40" i="97"/>
  <c r="AG39" i="97"/>
  <c r="AG38" i="97"/>
  <c r="AG37" i="97"/>
  <c r="AG36" i="97"/>
  <c r="AG35" i="97"/>
  <c r="AG34" i="97"/>
  <c r="AG33" i="97"/>
  <c r="AG32" i="97"/>
  <c r="AG31" i="97"/>
  <c r="AG30" i="97"/>
  <c r="AG29" i="97"/>
  <c r="AG28" i="97"/>
  <c r="AG27" i="97"/>
  <c r="AG26" i="97"/>
  <c r="AG25" i="97"/>
  <c r="AG24" i="97"/>
  <c r="AG23" i="97"/>
  <c r="AG22" i="97"/>
  <c r="AG21" i="97"/>
  <c r="AG20" i="97"/>
  <c r="AG19" i="97"/>
  <c r="AG18" i="97"/>
  <c r="AG17" i="97"/>
  <c r="AG16" i="97"/>
  <c r="AG15" i="97"/>
  <c r="AG14" i="97"/>
  <c r="AG13" i="97"/>
  <c r="AG12" i="97"/>
  <c r="AG11" i="97"/>
  <c r="AG10" i="97"/>
  <c r="AG9" i="97"/>
  <c r="AG8" i="97"/>
  <c r="AG7" i="97"/>
  <c r="AG6" i="97"/>
  <c r="AG5" i="97"/>
  <c r="AG4" i="97"/>
  <c r="AG134" i="92"/>
  <c r="H136" i="4" l="1"/>
  <c r="J136" i="4"/>
  <c r="I136" i="4"/>
  <c r="K136" i="4" s="1" a="1"/>
  <c r="K136" i="4" s="1"/>
  <c r="H10" i="4"/>
  <c r="J10" i="4"/>
  <c r="I10" i="4" s="1"/>
  <c r="K10" i="4" s="1" a="1"/>
  <c r="K10" i="4" s="1"/>
  <c r="H8" i="4"/>
  <c r="J8" i="4"/>
  <c r="I8" i="4" s="1"/>
  <c r="K8" i="4" s="1" a="1"/>
  <c r="K8" i="4" s="1"/>
  <c r="H109" i="4"/>
  <c r="J109" i="4"/>
  <c r="I109" i="4" s="1"/>
  <c r="K109" i="4" s="1" a="1"/>
  <c r="K109" i="4" s="1"/>
  <c r="T72" i="6"/>
  <c r="U72" i="6" s="1"/>
  <c r="T77" i="6"/>
  <c r="U77" i="6" s="1"/>
  <c r="N72" i="6"/>
  <c r="D114" i="4" s="1"/>
  <c r="N77" i="6"/>
  <c r="T81" i="6"/>
  <c r="U81" i="6" s="1"/>
  <c r="T79" i="6"/>
  <c r="U79" i="6" s="1"/>
  <c r="N81" i="6"/>
  <c r="N74" i="6"/>
  <c r="D116" i="4" s="1"/>
  <c r="E116" i="4"/>
  <c r="T76" i="6"/>
  <c r="U76" i="6" s="1"/>
  <c r="T73" i="6"/>
  <c r="U73" i="6" s="1"/>
  <c r="T71" i="6"/>
  <c r="U71" i="6" s="1"/>
  <c r="N76" i="6"/>
  <c r="N73" i="6"/>
  <c r="D115" i="4" s="1"/>
  <c r="N71" i="6"/>
  <c r="D113" i="4" s="1"/>
  <c r="N75" i="6"/>
  <c r="T80" i="6"/>
  <c r="U80" i="6" s="1"/>
  <c r="T78" i="6"/>
  <c r="U78" i="6" s="1"/>
  <c r="T75" i="6"/>
  <c r="U75" i="6" s="1"/>
  <c r="N80" i="6"/>
  <c r="T66" i="6"/>
  <c r="U66" i="6" s="1"/>
  <c r="N66" i="6"/>
  <c r="D59" i="4" s="1"/>
  <c r="T69" i="6"/>
  <c r="U69" i="6" s="1"/>
  <c r="N67" i="6"/>
  <c r="D60" i="4" s="1"/>
  <c r="N69" i="6"/>
  <c r="D62" i="4" s="1"/>
  <c r="T67" i="6"/>
  <c r="U67" i="6" s="1"/>
  <c r="T64" i="6"/>
  <c r="U64" i="6" s="1"/>
  <c r="T70" i="6"/>
  <c r="U70" i="6" s="1"/>
  <c r="N64" i="6"/>
  <c r="D57" i="4" s="1"/>
  <c r="N70" i="6"/>
  <c r="D63" i="4" s="1"/>
  <c r="N68" i="6"/>
  <c r="D61" i="4" s="1"/>
  <c r="T65" i="6"/>
  <c r="U65" i="6" s="1"/>
  <c r="T68" i="6"/>
  <c r="U68" i="6" s="1"/>
  <c r="N65" i="6"/>
  <c r="D58" i="4" s="1"/>
  <c r="O60" i="6"/>
  <c r="T60" i="6"/>
  <c r="U60" i="6" s="1"/>
  <c r="T62" i="6"/>
  <c r="U62" i="6" s="1"/>
  <c r="N61" i="6"/>
  <c r="D110" i="4" s="1"/>
  <c r="N62" i="6"/>
  <c r="D111" i="4" s="1"/>
  <c r="T61" i="6"/>
  <c r="U61" i="6" s="1"/>
  <c r="N59" i="6"/>
  <c r="D108" i="4" s="1"/>
  <c r="T63" i="6"/>
  <c r="U63" i="6" s="1"/>
  <c r="T59" i="6"/>
  <c r="U59" i="6" s="1"/>
  <c r="O10" i="6"/>
  <c r="O12" i="6"/>
  <c r="T41" i="6"/>
  <c r="U41" i="6" s="1"/>
  <c r="T9" i="6"/>
  <c r="U9" i="6" s="1"/>
  <c r="N31" i="6"/>
  <c r="D29" i="4" s="1"/>
  <c r="N48" i="6"/>
  <c r="D46" i="4" s="1"/>
  <c r="T16" i="6"/>
  <c r="U16" i="6" s="1"/>
  <c r="N47" i="6"/>
  <c r="D45" i="4" s="1"/>
  <c r="N46" i="6"/>
  <c r="D44" i="4" s="1"/>
  <c r="N14" i="6"/>
  <c r="D12" i="4" s="1"/>
  <c r="N29" i="6"/>
  <c r="D27" i="4" s="1"/>
  <c r="N43" i="6"/>
  <c r="D41" i="4" s="1"/>
  <c r="T42" i="6"/>
  <c r="U42" i="6" s="1"/>
  <c r="N41" i="6"/>
  <c r="D39" i="4" s="1"/>
  <c r="N9" i="6"/>
  <c r="D7" i="4" s="1"/>
  <c r="T31" i="6"/>
  <c r="U31" i="6" s="1"/>
  <c r="T48" i="6"/>
  <c r="U48" i="6" s="1"/>
  <c r="N16" i="6"/>
  <c r="D14" i="4" s="1"/>
  <c r="T47" i="6"/>
  <c r="U47" i="6" s="1"/>
  <c r="T46" i="6"/>
  <c r="U46" i="6" s="1"/>
  <c r="T14" i="6"/>
  <c r="U14" i="6" s="1"/>
  <c r="T53" i="6"/>
  <c r="U53" i="6" s="1"/>
  <c r="T21" i="6"/>
  <c r="U21" i="6" s="1"/>
  <c r="T35" i="6"/>
  <c r="U35" i="6" s="1"/>
  <c r="N42" i="6"/>
  <c r="D40" i="4" s="1"/>
  <c r="E11" i="4"/>
  <c r="T13" i="6"/>
  <c r="U13" i="6" s="1"/>
  <c r="N7" i="6"/>
  <c r="D5" i="4" s="1"/>
  <c r="E5" i="4"/>
  <c r="T33" i="6"/>
  <c r="U33" i="6" s="1"/>
  <c r="N23" i="6"/>
  <c r="D21" i="4" s="1"/>
  <c r="T40" i="6"/>
  <c r="U40" i="6" s="1"/>
  <c r="N8" i="6"/>
  <c r="D6" i="4" s="1"/>
  <c r="N15" i="6"/>
  <c r="D13" i="4" s="1"/>
  <c r="N38" i="6"/>
  <c r="D36" i="4" s="1"/>
  <c r="N53" i="6"/>
  <c r="D51" i="4" s="1"/>
  <c r="N21" i="6"/>
  <c r="D19" i="4" s="1"/>
  <c r="T52" i="6"/>
  <c r="U52" i="6" s="1"/>
  <c r="N35" i="6"/>
  <c r="D33" i="4" s="1"/>
  <c r="T34" i="6"/>
  <c r="U34" i="6" s="1"/>
  <c r="N33" i="6"/>
  <c r="D31" i="4" s="1"/>
  <c r="T23" i="6"/>
  <c r="U23" i="6" s="1"/>
  <c r="N40" i="6"/>
  <c r="D38" i="4" s="1"/>
  <c r="T8" i="6"/>
  <c r="U8" i="6" s="1"/>
  <c r="T15" i="6"/>
  <c r="U15" i="6" s="1"/>
  <c r="T38" i="6"/>
  <c r="U38" i="6" s="1"/>
  <c r="T45" i="6"/>
  <c r="U45" i="6" s="1"/>
  <c r="N13" i="6"/>
  <c r="D11" i="4" s="1"/>
  <c r="N52" i="6"/>
  <c r="D50" i="4" s="1"/>
  <c r="T27" i="6"/>
  <c r="U27" i="6" s="1"/>
  <c r="N34" i="6"/>
  <c r="D32" i="4" s="1"/>
  <c r="T57" i="6"/>
  <c r="U57" i="6" s="1"/>
  <c r="T25" i="6"/>
  <c r="U25" i="6" s="1"/>
  <c r="N55" i="6"/>
  <c r="D53" i="4" s="1"/>
  <c r="N32" i="6"/>
  <c r="D30" i="4" s="1"/>
  <c r="T44" i="6"/>
  <c r="U44" i="6" s="1"/>
  <c r="N30" i="6"/>
  <c r="D28" i="4" s="1"/>
  <c r="N45" i="6"/>
  <c r="D43" i="4" s="1"/>
  <c r="T36" i="6"/>
  <c r="U36" i="6" s="1"/>
  <c r="N27" i="6"/>
  <c r="D25" i="4" s="1"/>
  <c r="T58" i="6"/>
  <c r="U58" i="6" s="1"/>
  <c r="T26" i="6"/>
  <c r="U26" i="6" s="1"/>
  <c r="E8" i="4"/>
  <c r="T10" i="6"/>
  <c r="U10" i="6" s="1"/>
  <c r="N57" i="6"/>
  <c r="D55" i="4" s="1"/>
  <c r="N25" i="6"/>
  <c r="D23" i="4" s="1"/>
  <c r="T55" i="6"/>
  <c r="U55" i="6" s="1"/>
  <c r="T7" i="6"/>
  <c r="U7" i="6" s="1"/>
  <c r="T32" i="6"/>
  <c r="U32" i="6" s="1"/>
  <c r="N44" i="6"/>
  <c r="D42" i="4" s="1"/>
  <c r="T30" i="6"/>
  <c r="U30" i="6" s="1"/>
  <c r="N37" i="6"/>
  <c r="D35" i="4" s="1"/>
  <c r="N36" i="6"/>
  <c r="D34" i="4" s="1"/>
  <c r="T51" i="6"/>
  <c r="U51" i="6" s="1"/>
  <c r="T19" i="6"/>
  <c r="U19" i="6" s="1"/>
  <c r="N58" i="6"/>
  <c r="D56" i="4" s="1"/>
  <c r="N26" i="6"/>
  <c r="D24" i="4" s="1"/>
  <c r="E9" i="4"/>
  <c r="T11" i="6"/>
  <c r="U11" i="6" s="1"/>
  <c r="T49" i="6"/>
  <c r="U49" i="6" s="1"/>
  <c r="T17" i="6"/>
  <c r="U17" i="6" s="1"/>
  <c r="N39" i="6"/>
  <c r="D37" i="4" s="1"/>
  <c r="T28" i="6"/>
  <c r="U28" i="6" s="1"/>
  <c r="N56" i="6"/>
  <c r="D54" i="4" s="1"/>
  <c r="N24" i="6"/>
  <c r="D22" i="4" s="1"/>
  <c r="N54" i="6"/>
  <c r="D52" i="4" s="1"/>
  <c r="N22" i="6"/>
  <c r="D20" i="4" s="1"/>
  <c r="T37" i="6"/>
  <c r="U37" i="6" s="1"/>
  <c r="N51" i="6"/>
  <c r="D49" i="4" s="1"/>
  <c r="N19" i="6"/>
  <c r="D17" i="4" s="1"/>
  <c r="T50" i="6"/>
  <c r="U50" i="6" s="1"/>
  <c r="T18" i="6"/>
  <c r="U18" i="6" s="1"/>
  <c r="E10" i="4"/>
  <c r="T12" i="6"/>
  <c r="U12" i="6" s="1"/>
  <c r="N20" i="6"/>
  <c r="D18" i="4" s="1"/>
  <c r="E18" i="4"/>
  <c r="N49" i="6"/>
  <c r="D47" i="4" s="1"/>
  <c r="N17" i="6"/>
  <c r="D15" i="4" s="1"/>
  <c r="T39" i="6"/>
  <c r="U39" i="6" s="1"/>
  <c r="N28" i="6"/>
  <c r="D26" i="4" s="1"/>
  <c r="T56" i="6"/>
  <c r="U56" i="6" s="1"/>
  <c r="T24" i="6"/>
  <c r="U24" i="6" s="1"/>
  <c r="T54" i="6"/>
  <c r="U54" i="6" s="1"/>
  <c r="T22" i="6"/>
  <c r="U22" i="6" s="1"/>
  <c r="T29" i="6"/>
  <c r="U29" i="6" s="1"/>
  <c r="T43" i="6"/>
  <c r="U43" i="6" s="1"/>
  <c r="N11" i="6"/>
  <c r="D9" i="4" s="1"/>
  <c r="N50" i="6"/>
  <c r="D48" i="4" s="1"/>
  <c r="N18" i="6"/>
  <c r="D16" i="4" s="1"/>
  <c r="T97" i="6"/>
  <c r="U97" i="6" s="1"/>
  <c r="N103" i="6"/>
  <c r="D85" i="4" s="1"/>
  <c r="N104" i="6"/>
  <c r="D86" i="4" s="1"/>
  <c r="N111" i="6"/>
  <c r="D93" i="4" s="1"/>
  <c r="N94" i="6"/>
  <c r="D76" i="4" s="1"/>
  <c r="N125" i="6"/>
  <c r="D107" i="4" s="1"/>
  <c r="N93" i="6"/>
  <c r="D75" i="4" s="1"/>
  <c r="T108" i="6"/>
  <c r="U108" i="6" s="1"/>
  <c r="N107" i="6"/>
  <c r="D89" i="4" s="1"/>
  <c r="T90" i="6"/>
  <c r="U90" i="6" s="1"/>
  <c r="N97" i="6"/>
  <c r="D79" i="4" s="1"/>
  <c r="T103" i="6"/>
  <c r="U103" i="6" s="1"/>
  <c r="T104" i="6"/>
  <c r="U104" i="6" s="1"/>
  <c r="T111" i="6"/>
  <c r="U111" i="6" s="1"/>
  <c r="T94" i="6"/>
  <c r="U94" i="6" s="1"/>
  <c r="T117" i="6"/>
  <c r="U117" i="6" s="1"/>
  <c r="N85" i="6"/>
  <c r="D67" i="4" s="1"/>
  <c r="N108" i="6"/>
  <c r="D90" i="4" s="1"/>
  <c r="T99" i="6"/>
  <c r="U99" i="6" s="1"/>
  <c r="N90" i="6"/>
  <c r="D72" i="4" s="1"/>
  <c r="T121" i="6"/>
  <c r="U121" i="6" s="1"/>
  <c r="T89" i="6"/>
  <c r="U89" i="6" s="1"/>
  <c r="N87" i="6"/>
  <c r="D69" i="4" s="1"/>
  <c r="N96" i="6"/>
  <c r="D78" i="4" s="1"/>
  <c r="N95" i="6"/>
  <c r="D77" i="4" s="1"/>
  <c r="N118" i="6"/>
  <c r="D100" i="4" s="1"/>
  <c r="N86" i="6"/>
  <c r="D68" i="4" s="1"/>
  <c r="N117" i="6"/>
  <c r="D99" i="4" s="1"/>
  <c r="T85" i="6"/>
  <c r="U85" i="6" s="1"/>
  <c r="T100" i="6"/>
  <c r="U100" i="6" s="1"/>
  <c r="N99" i="6"/>
  <c r="D81" i="4" s="1"/>
  <c r="T114" i="6"/>
  <c r="U114" i="6" s="1"/>
  <c r="T82" i="6"/>
  <c r="U82" i="6" s="1"/>
  <c r="N121" i="6"/>
  <c r="D103" i="4" s="1"/>
  <c r="N89" i="6"/>
  <c r="D71" i="4" s="1"/>
  <c r="T87" i="6"/>
  <c r="U87" i="6" s="1"/>
  <c r="T96" i="6"/>
  <c r="U96" i="6" s="1"/>
  <c r="T95" i="6"/>
  <c r="U95" i="6" s="1"/>
  <c r="T118" i="6"/>
  <c r="U118" i="6" s="1"/>
  <c r="T86" i="6"/>
  <c r="U86" i="6" s="1"/>
  <c r="N109" i="6"/>
  <c r="D91" i="4" s="1"/>
  <c r="N100" i="6"/>
  <c r="D82" i="4" s="1"/>
  <c r="T123" i="6"/>
  <c r="U123" i="6" s="1"/>
  <c r="T91" i="6"/>
  <c r="U91" i="6" s="1"/>
  <c r="N114" i="6"/>
  <c r="D96" i="4" s="1"/>
  <c r="N82" i="6"/>
  <c r="D64" i="4" s="1"/>
  <c r="T113" i="6"/>
  <c r="U113" i="6" s="1"/>
  <c r="N120" i="6"/>
  <c r="D102" i="4" s="1"/>
  <c r="N88" i="6"/>
  <c r="D70" i="4" s="1"/>
  <c r="N110" i="6"/>
  <c r="D92" i="4" s="1"/>
  <c r="T109" i="6"/>
  <c r="U109" i="6" s="1"/>
  <c r="T124" i="6"/>
  <c r="U124" i="6" s="1"/>
  <c r="T92" i="6"/>
  <c r="U92" i="6" s="1"/>
  <c r="N123" i="6"/>
  <c r="D105" i="4" s="1"/>
  <c r="N91" i="6"/>
  <c r="D73" i="4" s="1"/>
  <c r="T106" i="6"/>
  <c r="U106" i="6" s="1"/>
  <c r="E104" i="4"/>
  <c r="N122" i="6"/>
  <c r="D104" i="4" s="1"/>
  <c r="N113" i="6"/>
  <c r="D95" i="4" s="1"/>
  <c r="T120" i="6"/>
  <c r="U120" i="6" s="1"/>
  <c r="T88" i="6"/>
  <c r="U88" i="6" s="1"/>
  <c r="T110" i="6"/>
  <c r="U110" i="6" s="1"/>
  <c r="T101" i="6"/>
  <c r="U101" i="6" s="1"/>
  <c r="N124" i="6"/>
  <c r="D106" i="4" s="1"/>
  <c r="N92" i="6"/>
  <c r="D74" i="4" s="1"/>
  <c r="T115" i="6"/>
  <c r="U115" i="6" s="1"/>
  <c r="T83" i="6"/>
  <c r="U83" i="6" s="1"/>
  <c r="N106" i="6"/>
  <c r="D88" i="4" s="1"/>
  <c r="T105" i="6"/>
  <c r="U105" i="6" s="1"/>
  <c r="N119" i="6"/>
  <c r="D101" i="4" s="1"/>
  <c r="T112" i="6"/>
  <c r="U112" i="6" s="1"/>
  <c r="N102" i="6"/>
  <c r="D84" i="4" s="1"/>
  <c r="N101" i="6"/>
  <c r="D83" i="4" s="1"/>
  <c r="T116" i="6"/>
  <c r="U116" i="6" s="1"/>
  <c r="T84" i="6"/>
  <c r="U84" i="6" s="1"/>
  <c r="N115" i="6"/>
  <c r="D97" i="4" s="1"/>
  <c r="N83" i="6"/>
  <c r="D65" i="4" s="1"/>
  <c r="T98" i="6"/>
  <c r="U98" i="6" s="1"/>
  <c r="N105" i="6"/>
  <c r="D87" i="4" s="1"/>
  <c r="T119" i="6"/>
  <c r="U119" i="6" s="1"/>
  <c r="N112" i="6"/>
  <c r="D94" i="4" s="1"/>
  <c r="T102" i="6"/>
  <c r="U102" i="6" s="1"/>
  <c r="T125" i="6"/>
  <c r="U125" i="6" s="1"/>
  <c r="T93" i="6"/>
  <c r="U93" i="6" s="1"/>
  <c r="N116" i="6"/>
  <c r="D98" i="4" s="1"/>
  <c r="N84" i="6"/>
  <c r="D66" i="4" s="1"/>
  <c r="T107" i="6"/>
  <c r="U107" i="6" s="1"/>
  <c r="N98" i="6"/>
  <c r="D80" i="4" s="1"/>
  <c r="H81" i="4" l="1"/>
  <c r="J81" i="4"/>
  <c r="I81" i="4" s="1"/>
  <c r="K81" i="4" s="1" a="1"/>
  <c r="K81" i="4" s="1"/>
  <c r="H51" i="4"/>
  <c r="J51" i="4"/>
  <c r="I51" i="4" s="1"/>
  <c r="K51" i="4" s="1" a="1"/>
  <c r="K51" i="4" s="1"/>
  <c r="H5" i="4"/>
  <c r="J5" i="4"/>
  <c r="I5" i="4" s="1"/>
  <c r="K5" i="4" s="1" a="1"/>
  <c r="K5" i="4" s="1"/>
  <c r="H58" i="4"/>
  <c r="J58" i="4"/>
  <c r="I58" i="4" s="1"/>
  <c r="K58" i="4" s="1" a="1"/>
  <c r="K58" i="4" s="1"/>
  <c r="H80" i="4"/>
  <c r="J80" i="4"/>
  <c r="I80" i="4" s="1"/>
  <c r="K80" i="4" s="1" a="1"/>
  <c r="K80" i="4" s="1"/>
  <c r="H75" i="4"/>
  <c r="J75" i="4"/>
  <c r="I75" i="4" s="1"/>
  <c r="K75" i="4" s="1" a="1"/>
  <c r="K75" i="4" s="1"/>
  <c r="H25" i="4"/>
  <c r="J25" i="4"/>
  <c r="H66" i="4"/>
  <c r="J66" i="4"/>
  <c r="I66" i="4" s="1"/>
  <c r="K66" i="4" s="1" a="1"/>
  <c r="K66" i="4" s="1"/>
  <c r="H64" i="4"/>
  <c r="J64" i="4"/>
  <c r="I64" i="4" s="1"/>
  <c r="K64" i="4" s="1" a="1"/>
  <c r="K64" i="4" s="1"/>
  <c r="H38" i="4"/>
  <c r="J38" i="4"/>
  <c r="I38" i="4" s="1"/>
  <c r="K38" i="4" s="1" a="1"/>
  <c r="K38" i="4" s="1"/>
  <c r="H98" i="4"/>
  <c r="J98" i="4"/>
  <c r="I98" i="4" s="1"/>
  <c r="K98" i="4" s="1" a="1"/>
  <c r="K98" i="4" s="1"/>
  <c r="H96" i="4"/>
  <c r="J96" i="4"/>
  <c r="I96" i="4" s="1"/>
  <c r="K96" i="4" s="1" a="1"/>
  <c r="K96" i="4" s="1"/>
  <c r="H76" i="4"/>
  <c r="J76" i="4"/>
  <c r="I76" i="4" s="1"/>
  <c r="K76" i="4" s="1" a="1"/>
  <c r="K76" i="4" s="1"/>
  <c r="H15" i="4"/>
  <c r="J15" i="4"/>
  <c r="I15" i="4" s="1"/>
  <c r="K15" i="4" s="1" a="1"/>
  <c r="K15" i="4" s="1"/>
  <c r="H17" i="4"/>
  <c r="J17" i="4"/>
  <c r="I17" i="4" s="1"/>
  <c r="K17" i="4" s="1" a="1"/>
  <c r="K17" i="4" s="1"/>
  <c r="H37" i="4"/>
  <c r="J37" i="4"/>
  <c r="I37" i="4" s="1"/>
  <c r="K37" i="4" s="1" a="1"/>
  <c r="K37" i="4" s="1"/>
  <c r="H23" i="4"/>
  <c r="J23" i="4"/>
  <c r="I23" i="4" s="1"/>
  <c r="K23" i="4" s="1" a="1"/>
  <c r="K23" i="4" s="1"/>
  <c r="H43" i="4"/>
  <c r="J43" i="4"/>
  <c r="I43" i="4" s="1"/>
  <c r="K43" i="4" s="1" a="1"/>
  <c r="K43" i="4" s="1"/>
  <c r="H13" i="4"/>
  <c r="J13" i="4"/>
  <c r="I13" i="4" s="1"/>
  <c r="K13" i="4" s="1" a="1"/>
  <c r="K13" i="4" s="1"/>
  <c r="H14" i="4"/>
  <c r="J14" i="4"/>
  <c r="I14" i="4" s="1"/>
  <c r="K14" i="4" s="1" a="1"/>
  <c r="K14" i="4" s="1"/>
  <c r="H12" i="4"/>
  <c r="J12" i="4"/>
  <c r="I12" i="4" s="1"/>
  <c r="K12" i="4" s="1" a="1"/>
  <c r="K12" i="4" s="1"/>
  <c r="H111" i="4"/>
  <c r="J111" i="4"/>
  <c r="I111" i="4" s="1"/>
  <c r="K111" i="4" s="1" a="1"/>
  <c r="K111" i="4" s="1"/>
  <c r="H60" i="4"/>
  <c r="J60" i="4"/>
  <c r="I60" i="4" s="1"/>
  <c r="K60" i="4" s="1" a="1"/>
  <c r="K60" i="4" s="1"/>
  <c r="O75" i="6"/>
  <c r="D117" i="4"/>
  <c r="H116" i="4"/>
  <c r="J116" i="4"/>
  <c r="I116" i="4" s="1"/>
  <c r="K116" i="4" s="1" a="1"/>
  <c r="K116" i="4" s="1"/>
  <c r="H102" i="4"/>
  <c r="J102" i="4"/>
  <c r="I102" i="4" s="1"/>
  <c r="K102" i="4" s="1" a="1"/>
  <c r="K102" i="4" s="1"/>
  <c r="H56" i="4"/>
  <c r="J56" i="4"/>
  <c r="I56" i="4" s="1"/>
  <c r="K56" i="4" s="1" a="1"/>
  <c r="K56" i="4" s="1"/>
  <c r="H41" i="4"/>
  <c r="J41" i="4"/>
  <c r="I41" i="4" s="1"/>
  <c r="K41" i="4" s="1" a="1"/>
  <c r="K41" i="4" s="1"/>
  <c r="H107" i="4"/>
  <c r="J107" i="4"/>
  <c r="I107" i="4" s="1"/>
  <c r="K107" i="4" s="1" a="1"/>
  <c r="K107" i="4" s="1"/>
  <c r="H62" i="4"/>
  <c r="J62" i="4"/>
  <c r="I62" i="4" s="1"/>
  <c r="K62" i="4" s="1" a="1"/>
  <c r="K62" i="4" s="1"/>
  <c r="H97" i="4"/>
  <c r="J97" i="4"/>
  <c r="I97" i="4" s="1"/>
  <c r="K97" i="4" s="1" a="1"/>
  <c r="K97" i="4" s="1"/>
  <c r="H93" i="4"/>
  <c r="J93" i="4"/>
  <c r="I93" i="4" s="1"/>
  <c r="K93" i="4" s="1" a="1"/>
  <c r="K93" i="4" s="1"/>
  <c r="H49" i="4"/>
  <c r="J49" i="4"/>
  <c r="I49" i="4" s="1"/>
  <c r="K49" i="4" s="1" a="1"/>
  <c r="K49" i="4" s="1"/>
  <c r="H34" i="4"/>
  <c r="J34" i="4"/>
  <c r="I34" i="4" s="1"/>
  <c r="K34" i="4" s="1" a="1"/>
  <c r="K34" i="4" s="1"/>
  <c r="H55" i="4"/>
  <c r="J55" i="4"/>
  <c r="I55" i="4" s="1"/>
  <c r="K55" i="4" s="1" a="1"/>
  <c r="K55" i="4" s="1"/>
  <c r="H28" i="4"/>
  <c r="J28" i="4"/>
  <c r="H50" i="4"/>
  <c r="J50" i="4"/>
  <c r="I50" i="4" s="1"/>
  <c r="K50" i="4" s="1" a="1"/>
  <c r="K50" i="4" s="1"/>
  <c r="H31" i="4"/>
  <c r="J31" i="4"/>
  <c r="H6" i="4"/>
  <c r="J6" i="4"/>
  <c r="I6" i="4" s="1"/>
  <c r="K6" i="4" s="1" a="1"/>
  <c r="K6" i="4" s="1"/>
  <c r="H40" i="4"/>
  <c r="J40" i="4"/>
  <c r="I40" i="4" s="1"/>
  <c r="K40" i="4" s="1" a="1"/>
  <c r="K40" i="4" s="1"/>
  <c r="H44" i="4"/>
  <c r="J44" i="4"/>
  <c r="H110" i="4"/>
  <c r="J110" i="4"/>
  <c r="I110" i="4" s="1"/>
  <c r="K110" i="4" s="1" a="1"/>
  <c r="K110" i="4" s="1"/>
  <c r="H61" i="4"/>
  <c r="J61" i="4"/>
  <c r="I61" i="4" s="1"/>
  <c r="K61" i="4" s="1" a="1"/>
  <c r="K61" i="4" s="1"/>
  <c r="H113" i="4"/>
  <c r="J113" i="4"/>
  <c r="I113" i="4" s="1"/>
  <c r="K113" i="4" s="1" a="1"/>
  <c r="K113" i="4" s="1"/>
  <c r="O81" i="6"/>
  <c r="D123" i="4"/>
  <c r="H84" i="4"/>
  <c r="J84" i="4"/>
  <c r="I84" i="4" s="1"/>
  <c r="K84" i="4" s="1" a="1"/>
  <c r="K84" i="4" s="1"/>
  <c r="H73" i="4"/>
  <c r="J73" i="4"/>
  <c r="I73" i="4" s="1"/>
  <c r="K73" i="4" s="1" a="1"/>
  <c r="K73" i="4" s="1"/>
  <c r="H48" i="4"/>
  <c r="J48" i="4"/>
  <c r="H108" i="4"/>
  <c r="J108" i="4"/>
  <c r="I108" i="4" s="1"/>
  <c r="K108" i="4" s="1" a="1"/>
  <c r="K108" i="4" s="1"/>
  <c r="H105" i="4"/>
  <c r="J105" i="4"/>
  <c r="I105" i="4" s="1"/>
  <c r="K105" i="4" s="1" a="1"/>
  <c r="K105" i="4" s="1"/>
  <c r="H9" i="4"/>
  <c r="J9" i="4"/>
  <c r="I9" i="4" s="1"/>
  <c r="K9" i="4" s="1" a="1"/>
  <c r="K9" i="4" s="1"/>
  <c r="H32" i="4"/>
  <c r="J32" i="4"/>
  <c r="H36" i="4"/>
  <c r="J36" i="4"/>
  <c r="I36" i="4" s="1"/>
  <c r="K36" i="4" s="1" a="1"/>
  <c r="K36" i="4" s="1"/>
  <c r="H27" i="4"/>
  <c r="J27" i="4"/>
  <c r="H65" i="4"/>
  <c r="J65" i="4"/>
  <c r="I65" i="4" s="1"/>
  <c r="K65" i="4" s="1" a="1"/>
  <c r="K65" i="4" s="1"/>
  <c r="H99" i="4"/>
  <c r="J99" i="4"/>
  <c r="I99" i="4" s="1"/>
  <c r="K99" i="4" s="1" a="1"/>
  <c r="K99" i="4" s="1"/>
  <c r="H72" i="4"/>
  <c r="J72" i="4"/>
  <c r="I72" i="4" s="1"/>
  <c r="K72" i="4" s="1" a="1"/>
  <c r="K72" i="4" s="1"/>
  <c r="H47" i="4"/>
  <c r="J47" i="4"/>
  <c r="I47" i="4" s="1"/>
  <c r="K47" i="4" s="1" a="1"/>
  <c r="K47" i="4" s="1"/>
  <c r="H95" i="4"/>
  <c r="J95" i="4"/>
  <c r="I95" i="4" s="1"/>
  <c r="K95" i="4" s="1" a="1"/>
  <c r="K95" i="4" s="1"/>
  <c r="H71" i="4"/>
  <c r="J71" i="4"/>
  <c r="I71" i="4" s="1"/>
  <c r="K71" i="4" s="1" a="1"/>
  <c r="K71" i="4" s="1"/>
  <c r="H68" i="4"/>
  <c r="J68" i="4"/>
  <c r="I68" i="4" s="1"/>
  <c r="K68" i="4" s="1" a="1"/>
  <c r="K68" i="4" s="1"/>
  <c r="H79" i="4"/>
  <c r="J79" i="4"/>
  <c r="I79" i="4" s="1"/>
  <c r="K79" i="4" s="1" a="1"/>
  <c r="K79" i="4" s="1"/>
  <c r="H86" i="4"/>
  <c r="J86" i="4"/>
  <c r="I86" i="4" s="1"/>
  <c r="K86" i="4" s="1" a="1"/>
  <c r="K86" i="4" s="1"/>
  <c r="H35" i="4"/>
  <c r="J35" i="4"/>
  <c r="I35" i="4" s="1"/>
  <c r="K35" i="4" s="1" a="1"/>
  <c r="K35" i="4" s="1"/>
  <c r="H11" i="4"/>
  <c r="J11" i="4"/>
  <c r="I11" i="4" s="1"/>
  <c r="K11" i="4" s="1" a="1"/>
  <c r="K11" i="4" s="1"/>
  <c r="H45" i="4"/>
  <c r="J45" i="4"/>
  <c r="I45" i="4" s="1"/>
  <c r="K45" i="4" s="1" a="1"/>
  <c r="K45" i="4" s="1"/>
  <c r="H63" i="4"/>
  <c r="J63" i="4"/>
  <c r="I63" i="4" s="1"/>
  <c r="K63" i="4" s="1" a="1"/>
  <c r="K63" i="4" s="1"/>
  <c r="H59" i="4"/>
  <c r="J59" i="4"/>
  <c r="I59" i="4" s="1"/>
  <c r="K59" i="4" s="1" a="1"/>
  <c r="K59" i="4" s="1"/>
  <c r="H115" i="4"/>
  <c r="J115" i="4"/>
  <c r="I115" i="4" s="1"/>
  <c r="K115" i="4" s="1" a="1"/>
  <c r="K115" i="4" s="1"/>
  <c r="H106" i="4"/>
  <c r="J106" i="4"/>
  <c r="I106" i="4" s="1"/>
  <c r="K106" i="4" s="1" a="1"/>
  <c r="K106" i="4" s="1"/>
  <c r="H69" i="4"/>
  <c r="J69" i="4"/>
  <c r="I69" i="4" s="1"/>
  <c r="K69" i="4" s="1" a="1"/>
  <c r="K69" i="4" s="1"/>
  <c r="H26" i="4"/>
  <c r="J26" i="4"/>
  <c r="H88" i="4"/>
  <c r="J88" i="4"/>
  <c r="H104" i="4"/>
  <c r="J104" i="4"/>
  <c r="I104" i="4" s="1"/>
  <c r="K104" i="4" s="1" a="1"/>
  <c r="K104" i="4" s="1"/>
  <c r="H92" i="4"/>
  <c r="J92" i="4"/>
  <c r="I92" i="4" s="1"/>
  <c r="K92" i="4" s="1" a="1"/>
  <c r="K92" i="4" s="1"/>
  <c r="H82" i="4"/>
  <c r="J82" i="4"/>
  <c r="I82" i="4" s="1"/>
  <c r="K82" i="4" s="1" a="1"/>
  <c r="K82" i="4" s="1"/>
  <c r="H103" i="4"/>
  <c r="J103" i="4"/>
  <c r="I103" i="4" s="1"/>
  <c r="K103" i="4" s="1" a="1"/>
  <c r="K103" i="4" s="1"/>
  <c r="H100" i="4"/>
  <c r="J100" i="4"/>
  <c r="I100" i="4" s="1"/>
  <c r="K100" i="4" s="1" a="1"/>
  <c r="K100" i="4" s="1"/>
  <c r="H90" i="4"/>
  <c r="J90" i="4"/>
  <c r="I90" i="4" s="1"/>
  <c r="K90" i="4" s="1" a="1"/>
  <c r="K90" i="4" s="1"/>
  <c r="H85" i="4"/>
  <c r="J85" i="4"/>
  <c r="I85" i="4" s="1"/>
  <c r="K85" i="4" s="1" a="1"/>
  <c r="K85" i="4" s="1"/>
  <c r="H18" i="4"/>
  <c r="J18" i="4"/>
  <c r="H20" i="4"/>
  <c r="J20" i="4"/>
  <c r="I20" i="4" s="1"/>
  <c r="K20" i="4" s="1" a="1"/>
  <c r="K20" i="4" s="1"/>
  <c r="H30" i="4"/>
  <c r="J30" i="4"/>
  <c r="H33" i="4"/>
  <c r="J33" i="4"/>
  <c r="H21" i="4"/>
  <c r="J21" i="4"/>
  <c r="I21" i="4" s="1"/>
  <c r="K21" i="4" s="1" a="1"/>
  <c r="K21" i="4" s="1"/>
  <c r="H7" i="4"/>
  <c r="J7" i="4"/>
  <c r="I7" i="4" s="1"/>
  <c r="K7" i="4" s="1" a="1"/>
  <c r="K7" i="4" s="1"/>
  <c r="H57" i="4"/>
  <c r="J57" i="4"/>
  <c r="I57" i="4" s="1"/>
  <c r="K57" i="4" s="1" a="1"/>
  <c r="K57" i="4" s="1"/>
  <c r="O76" i="6"/>
  <c r="D118" i="4"/>
  <c r="H87" i="4"/>
  <c r="J87" i="4"/>
  <c r="I87" i="4" s="1"/>
  <c r="K87" i="4" s="1" a="1"/>
  <c r="K87" i="4" s="1"/>
  <c r="H54" i="4"/>
  <c r="J54" i="4"/>
  <c r="I54" i="4" s="1"/>
  <c r="K54" i="4" s="1" a="1"/>
  <c r="K54" i="4" s="1"/>
  <c r="H101" i="4"/>
  <c r="J101" i="4"/>
  <c r="I101" i="4" s="1"/>
  <c r="K101" i="4" s="1" a="1"/>
  <c r="K101" i="4" s="1"/>
  <c r="H94" i="4"/>
  <c r="J94" i="4"/>
  <c r="I94" i="4" s="1"/>
  <c r="K94" i="4" s="1" a="1"/>
  <c r="K94" i="4" s="1"/>
  <c r="H83" i="4"/>
  <c r="J83" i="4"/>
  <c r="I83" i="4" s="1"/>
  <c r="K83" i="4" s="1" a="1"/>
  <c r="K83" i="4" s="1"/>
  <c r="H74" i="4"/>
  <c r="J74" i="4"/>
  <c r="I74" i="4" s="1"/>
  <c r="K74" i="4" s="1" a="1"/>
  <c r="K74" i="4" s="1"/>
  <c r="H70" i="4"/>
  <c r="J70" i="4"/>
  <c r="I70" i="4" s="1"/>
  <c r="K70" i="4" s="1" a="1"/>
  <c r="K70" i="4" s="1"/>
  <c r="J91" i="4"/>
  <c r="I91" i="4" s="1"/>
  <c r="K91" i="4" s="1" a="1"/>
  <c r="K91" i="4" s="1"/>
  <c r="H91" i="4"/>
  <c r="H77" i="4"/>
  <c r="J77" i="4"/>
  <c r="I77" i="4" s="1"/>
  <c r="K77" i="4" s="1" a="1"/>
  <c r="K77" i="4" s="1"/>
  <c r="H67" i="4"/>
  <c r="J67" i="4"/>
  <c r="I67" i="4" s="1"/>
  <c r="K67" i="4" s="1" a="1"/>
  <c r="K67" i="4" s="1"/>
  <c r="H89" i="4"/>
  <c r="J89" i="4"/>
  <c r="I89" i="4" s="1"/>
  <c r="K89" i="4" s="1" a="1"/>
  <c r="K89" i="4" s="1"/>
  <c r="H52" i="4"/>
  <c r="J52" i="4"/>
  <c r="I52" i="4" s="1"/>
  <c r="K52" i="4" s="1" a="1"/>
  <c r="K52" i="4" s="1"/>
  <c r="H42" i="4"/>
  <c r="J42" i="4"/>
  <c r="I42" i="4" s="1"/>
  <c r="K42" i="4" s="1" a="1"/>
  <c r="K42" i="4" s="1"/>
  <c r="H53" i="4"/>
  <c r="J53" i="4"/>
  <c r="I53" i="4" s="1"/>
  <c r="K53" i="4" s="1" a="1"/>
  <c r="K53" i="4" s="1"/>
  <c r="H39" i="4"/>
  <c r="J39" i="4"/>
  <c r="I39" i="4" s="1"/>
  <c r="K39" i="4" s="1" a="1"/>
  <c r="K39" i="4" s="1"/>
  <c r="H46" i="4"/>
  <c r="J46" i="4"/>
  <c r="I46" i="4" s="1"/>
  <c r="K46" i="4" s="1" a="1"/>
  <c r="K46" i="4" s="1"/>
  <c r="O80" i="6"/>
  <c r="D122" i="4"/>
  <c r="O77" i="6"/>
  <c r="D119" i="4"/>
  <c r="H78" i="4"/>
  <c r="J78" i="4"/>
  <c r="I78" i="4" s="1"/>
  <c r="K78" i="4" s="1" a="1"/>
  <c r="K78" i="4" s="1"/>
  <c r="H16" i="4"/>
  <c r="J16" i="4"/>
  <c r="I16" i="4" s="1"/>
  <c r="K16" i="4" s="1" a="1"/>
  <c r="K16" i="4" s="1"/>
  <c r="H22" i="4"/>
  <c r="J22" i="4"/>
  <c r="I22" i="4" s="1"/>
  <c r="K22" i="4" s="1" a="1"/>
  <c r="K22" i="4" s="1"/>
  <c r="H24" i="4"/>
  <c r="J24" i="4"/>
  <c r="H19" i="4"/>
  <c r="J19" i="4"/>
  <c r="I19" i="4" s="1"/>
  <c r="K19" i="4" s="1" a="1"/>
  <c r="K19" i="4" s="1"/>
  <c r="H29" i="4"/>
  <c r="J29" i="4"/>
  <c r="H114" i="4"/>
  <c r="J114" i="4"/>
  <c r="I114" i="4" s="1"/>
  <c r="K114" i="4" s="1" a="1"/>
  <c r="K114" i="4" s="1"/>
  <c r="O71" i="6"/>
  <c r="I121" i="4"/>
  <c r="K121" i="4" s="1" a="1"/>
  <c r="K121" i="4" s="1"/>
  <c r="O73" i="6"/>
  <c r="I120" i="4"/>
  <c r="K120" i="4" s="1" a="1"/>
  <c r="K120" i="4" s="1"/>
  <c r="O72" i="6"/>
  <c r="O74" i="6"/>
  <c r="O65" i="6"/>
  <c r="O69" i="6"/>
  <c r="O67" i="6"/>
  <c r="O68" i="6"/>
  <c r="O70" i="6"/>
  <c r="O66" i="6"/>
  <c r="O64" i="6"/>
  <c r="O59" i="6"/>
  <c r="O61" i="6"/>
  <c r="O63" i="6"/>
  <c r="O62" i="6"/>
  <c r="O54" i="6"/>
  <c r="O44" i="6"/>
  <c r="O55" i="6"/>
  <c r="O41" i="6"/>
  <c r="O48" i="6"/>
  <c r="O18" i="6"/>
  <c r="O24" i="6"/>
  <c r="O21" i="6"/>
  <c r="O31" i="6"/>
  <c r="O50" i="6"/>
  <c r="O56" i="6"/>
  <c r="O58" i="6"/>
  <c r="O27" i="6"/>
  <c r="O53" i="6"/>
  <c r="O7" i="6"/>
  <c r="O43" i="6"/>
  <c r="O26" i="6"/>
  <c r="O28" i="6"/>
  <c r="O11" i="6"/>
  <c r="O34" i="6"/>
  <c r="O40" i="6"/>
  <c r="O38" i="6"/>
  <c r="O29" i="6"/>
  <c r="O16" i="6"/>
  <c r="O14" i="6"/>
  <c r="O19" i="6"/>
  <c r="O25" i="6"/>
  <c r="O45" i="6"/>
  <c r="O15" i="6"/>
  <c r="O49" i="6"/>
  <c r="O51" i="6"/>
  <c r="O36" i="6"/>
  <c r="O57" i="6"/>
  <c r="O30" i="6"/>
  <c r="O52" i="6"/>
  <c r="O33" i="6"/>
  <c r="O8" i="6"/>
  <c r="O42" i="6"/>
  <c r="O46" i="6"/>
  <c r="O13" i="6"/>
  <c r="O47" i="6"/>
  <c r="O17" i="6"/>
  <c r="O39" i="6"/>
  <c r="O37" i="6"/>
  <c r="O20" i="6"/>
  <c r="O22" i="6"/>
  <c r="O32" i="6"/>
  <c r="O35" i="6"/>
  <c r="O23" i="6"/>
  <c r="O9" i="6"/>
  <c r="O102" i="6"/>
  <c r="O124" i="6"/>
  <c r="O120" i="6"/>
  <c r="O96" i="6"/>
  <c r="O99" i="6"/>
  <c r="O87" i="6"/>
  <c r="O93" i="6"/>
  <c r="O98" i="6"/>
  <c r="O105" i="6"/>
  <c r="O123" i="6"/>
  <c r="O82" i="6"/>
  <c r="O125" i="6"/>
  <c r="O92" i="6"/>
  <c r="O91" i="6"/>
  <c r="O83" i="6"/>
  <c r="O114" i="6"/>
  <c r="O94" i="6"/>
  <c r="O106" i="6"/>
  <c r="O117" i="6"/>
  <c r="O90" i="6"/>
  <c r="O111" i="6"/>
  <c r="O112" i="6"/>
  <c r="O84" i="6"/>
  <c r="O116" i="6"/>
  <c r="O113" i="6"/>
  <c r="O89" i="6"/>
  <c r="O86" i="6"/>
  <c r="O97" i="6"/>
  <c r="O104" i="6"/>
  <c r="O101" i="6"/>
  <c r="O119" i="6"/>
  <c r="O115" i="6"/>
  <c r="O122" i="6"/>
  <c r="O110" i="6"/>
  <c r="O100" i="6"/>
  <c r="O121" i="6"/>
  <c r="O118" i="6"/>
  <c r="O108" i="6"/>
  <c r="O103" i="6"/>
  <c r="O88" i="6"/>
  <c r="O109" i="6"/>
  <c r="O95" i="6"/>
  <c r="O85" i="6"/>
  <c r="O107" i="6"/>
  <c r="W10" i="5"/>
  <c r="W9" i="5"/>
  <c r="W12" i="5"/>
  <c r="W13" i="5"/>
  <c r="W15" i="5"/>
  <c r="W8" i="5"/>
  <c r="W11" i="5"/>
  <c r="W14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7" i="5"/>
  <c r="W38" i="5"/>
  <c r="W39" i="5"/>
  <c r="W40" i="5"/>
  <c r="W41" i="5"/>
  <c r="W42" i="5"/>
  <c r="W43" i="5"/>
  <c r="W44" i="5"/>
  <c r="W7" i="5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64" i="6"/>
  <c r="Y65" i="6"/>
  <c r="Y66" i="6"/>
  <c r="Y67" i="6"/>
  <c r="Y68" i="6"/>
  <c r="Y69" i="6"/>
  <c r="Y70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59" i="6"/>
  <c r="Y60" i="6"/>
  <c r="Y61" i="6"/>
  <c r="Y62" i="6"/>
  <c r="Y63" i="6"/>
  <c r="Y71" i="6"/>
  <c r="Y72" i="6"/>
  <c r="Y73" i="6"/>
  <c r="Y74" i="6"/>
  <c r="Y75" i="6"/>
  <c r="Y76" i="6"/>
  <c r="Y77" i="6"/>
  <c r="Y78" i="6"/>
  <c r="Y79" i="6"/>
  <c r="Y80" i="6"/>
  <c r="Y81" i="6"/>
  <c r="Y7" i="6"/>
  <c r="AG163" i="92"/>
  <c r="AG162" i="92"/>
  <c r="AG161" i="92"/>
  <c r="AG160" i="92"/>
  <c r="AG159" i="92"/>
  <c r="AG158" i="92"/>
  <c r="AG157" i="92"/>
  <c r="AG156" i="92"/>
  <c r="AG155" i="92"/>
  <c r="AG154" i="92"/>
  <c r="AG153" i="92"/>
  <c r="AG152" i="92"/>
  <c r="AG151" i="92"/>
  <c r="AG150" i="92"/>
  <c r="AG149" i="92"/>
  <c r="AG148" i="92"/>
  <c r="AG147" i="92"/>
  <c r="AG146" i="92"/>
  <c r="AG145" i="92"/>
  <c r="AG144" i="92"/>
  <c r="AG143" i="92"/>
  <c r="AG142" i="92"/>
  <c r="AG141" i="92"/>
  <c r="AG140" i="92"/>
  <c r="AG139" i="92"/>
  <c r="AG138" i="92"/>
  <c r="AG137" i="92"/>
  <c r="AG136" i="92"/>
  <c r="AG132" i="92"/>
  <c r="AG135" i="92"/>
  <c r="AG133" i="92"/>
  <c r="AG130" i="92"/>
  <c r="AG131" i="92"/>
  <c r="AG129" i="92"/>
  <c r="AG127" i="92"/>
  <c r="AG124" i="92"/>
  <c r="AG123" i="92"/>
  <c r="AG122" i="92"/>
  <c r="AG121" i="92"/>
  <c r="AG120" i="92"/>
  <c r="AG119" i="92"/>
  <c r="AG118" i="92"/>
  <c r="AG117" i="92"/>
  <c r="AG116" i="92"/>
  <c r="AG115" i="92"/>
  <c r="AG114" i="92"/>
  <c r="AG113" i="92"/>
  <c r="AG112" i="92"/>
  <c r="AG111" i="92"/>
  <c r="AG110" i="92"/>
  <c r="AG109" i="92"/>
  <c r="AG106" i="92"/>
  <c r="AG105" i="92"/>
  <c r="AG104" i="92"/>
  <c r="AG103" i="92"/>
  <c r="AG102" i="92"/>
  <c r="AG101" i="92"/>
  <c r="AG100" i="92"/>
  <c r="AG99" i="92"/>
  <c r="AG98" i="92"/>
  <c r="AG97" i="92"/>
  <c r="AG96" i="92"/>
  <c r="AG95" i="92"/>
  <c r="AG94" i="92"/>
  <c r="AG93" i="92"/>
  <c r="AG92" i="92"/>
  <c r="AG91" i="92"/>
  <c r="AG90" i="92"/>
  <c r="AG89" i="92"/>
  <c r="AG88" i="92"/>
  <c r="AG87" i="92"/>
  <c r="AG86" i="92"/>
  <c r="AG85" i="92"/>
  <c r="AG84" i="92"/>
  <c r="AG83" i="92"/>
  <c r="AG82" i="92"/>
  <c r="AG81" i="92"/>
  <c r="AG80" i="92"/>
  <c r="AG79" i="92"/>
  <c r="AG78" i="92"/>
  <c r="AG77" i="92"/>
  <c r="AG76" i="92"/>
  <c r="AG75" i="92"/>
  <c r="AG74" i="92"/>
  <c r="AG73" i="92"/>
  <c r="AG72" i="92"/>
  <c r="AG71" i="92"/>
  <c r="AG70" i="92"/>
  <c r="AG69" i="92"/>
  <c r="AG68" i="92"/>
  <c r="AG67" i="92"/>
  <c r="AG66" i="92"/>
  <c r="AG65" i="92"/>
  <c r="AG64" i="92"/>
  <c r="AG63" i="92"/>
  <c r="AG62" i="92"/>
  <c r="AG61" i="92"/>
  <c r="AG60" i="92"/>
  <c r="AG59" i="92"/>
  <c r="AG58" i="92"/>
  <c r="AG57" i="92"/>
  <c r="AG56" i="92"/>
  <c r="AG55" i="92"/>
  <c r="AG54" i="92"/>
  <c r="AG53" i="92"/>
  <c r="AG52" i="92"/>
  <c r="AG51" i="92"/>
  <c r="AG50" i="92"/>
  <c r="AG49" i="92"/>
  <c r="AG48" i="92"/>
  <c r="AG47" i="92"/>
  <c r="AG46" i="92"/>
  <c r="AG45" i="92"/>
  <c r="AG44" i="92"/>
  <c r="AG43" i="92"/>
  <c r="AG42" i="92"/>
  <c r="AG41" i="92"/>
  <c r="AG40" i="92"/>
  <c r="AG39" i="92"/>
  <c r="AG38" i="92"/>
  <c r="AG37" i="92"/>
  <c r="AG36" i="92"/>
  <c r="AG35" i="92"/>
  <c r="AG34" i="92"/>
  <c r="AG33" i="92"/>
  <c r="AG32" i="92"/>
  <c r="AG31" i="92"/>
  <c r="AG30" i="92"/>
  <c r="AG29" i="92"/>
  <c r="AG28" i="92"/>
  <c r="AG27" i="92"/>
  <c r="AG26" i="92"/>
  <c r="AG25" i="92"/>
  <c r="AG24" i="92"/>
  <c r="AG23" i="92"/>
  <c r="AG22" i="92"/>
  <c r="AG21" i="92"/>
  <c r="AG20" i="92"/>
  <c r="AG19" i="92"/>
  <c r="AG18" i="92"/>
  <c r="AG17" i="92"/>
  <c r="AG16" i="92"/>
  <c r="AG15" i="92"/>
  <c r="AG14" i="92"/>
  <c r="AG13" i="92"/>
  <c r="AG12" i="92"/>
  <c r="AG11" i="92"/>
  <c r="AG10" i="92"/>
  <c r="AG9" i="92"/>
  <c r="AG8" i="92"/>
  <c r="AG7" i="92"/>
  <c r="AG6" i="92"/>
  <c r="AG5" i="92"/>
  <c r="AG4" i="92"/>
  <c r="Y4" i="6" l="1"/>
  <c r="L118" i="4" a="1"/>
  <c r="L118" i="4" s="1"/>
  <c r="D126" i="4" a="1"/>
  <c r="D126" i="4" s="1"/>
  <c r="H118" i="4"/>
  <c r="B126" i="4" a="1"/>
  <c r="B126" i="4" s="1"/>
  <c r="E126" i="4" a="1"/>
  <c r="E126" i="4" s="1"/>
  <c r="C126" i="4" a="1"/>
  <c r="C126" i="4" s="1"/>
  <c r="J118" i="4"/>
  <c r="I118" i="4" s="1"/>
  <c r="K118" i="4" s="1" a="1"/>
  <c r="K118" i="4" s="1"/>
  <c r="L119" i="4" a="1"/>
  <c r="L119" i="4" s="1"/>
  <c r="H119" i="4"/>
  <c r="J119" i="4"/>
  <c r="I119" i="4" s="1"/>
  <c r="K119" i="4" s="1" a="1"/>
  <c r="K119" i="4" s="1"/>
  <c r="L117" i="4" a="1"/>
  <c r="L117" i="4" s="1"/>
  <c r="B125" i="4" a="1"/>
  <c r="B125" i="4" s="1"/>
  <c r="C125" i="4" a="1"/>
  <c r="C125" i="4" s="1"/>
  <c r="D125" i="4" a="1"/>
  <c r="D125" i="4" s="1"/>
  <c r="H117" i="4"/>
  <c r="E125" i="4" a="1"/>
  <c r="E125" i="4" s="1"/>
  <c r="J117" i="4"/>
  <c r="I117" i="4" s="1"/>
  <c r="K117" i="4" s="1" a="1"/>
  <c r="K117" i="4" s="1"/>
  <c r="H122" i="4"/>
  <c r="L122" i="4" a="1"/>
  <c r="L122" i="4" s="1"/>
  <c r="J122" i="4"/>
  <c r="I122" i="4" s="1"/>
  <c r="K122" i="4" s="1" a="1"/>
  <c r="K122" i="4" s="1"/>
  <c r="L123" i="4" a="1"/>
  <c r="L123" i="4" s="1"/>
  <c r="H123" i="4"/>
  <c r="J123" i="4"/>
  <c r="I24" i="4"/>
  <c r="K24" i="4" s="1" a="1"/>
  <c r="K24" i="4" s="1"/>
  <c r="I25" i="4"/>
  <c r="K25" i="4" s="1" a="1"/>
  <c r="K25" i="4" s="1"/>
  <c r="I29" i="4"/>
  <c r="K29" i="4" s="1" a="1"/>
  <c r="K29" i="4" s="1"/>
  <c r="I26" i="4"/>
  <c r="K26" i="4" s="1" a="1"/>
  <c r="K26" i="4" s="1"/>
  <c r="I33" i="4"/>
  <c r="K33" i="4" s="1" a="1"/>
  <c r="K33" i="4" s="1"/>
  <c r="I32" i="4"/>
  <c r="K32" i="4" s="1" a="1"/>
  <c r="K32" i="4" s="1"/>
  <c r="I28" i="4"/>
  <c r="K28" i="4" s="1" a="1"/>
  <c r="K28" i="4" s="1"/>
  <c r="I31" i="4"/>
  <c r="K31" i="4" s="1" a="1"/>
  <c r="K31" i="4" s="1"/>
  <c r="I30" i="4"/>
  <c r="K30" i="4" s="1" a="1"/>
  <c r="K30" i="4" s="1"/>
  <c r="I44" i="4"/>
  <c r="K44" i="4" s="1" a="1"/>
  <c r="K44" i="4" s="1"/>
  <c r="I48" i="4"/>
  <c r="K48" i="4" s="1" a="1"/>
  <c r="K48" i="4" s="1"/>
  <c r="I18" i="4"/>
  <c r="K18" i="4" s="1" a="1"/>
  <c r="K18" i="4" s="1"/>
  <c r="I88" i="4"/>
  <c r="K88" i="4" s="1" a="1"/>
  <c r="K88" i="4" s="1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64" i="6"/>
  <c r="V65" i="6"/>
  <c r="V66" i="6"/>
  <c r="V67" i="6"/>
  <c r="V68" i="6"/>
  <c r="V69" i="6"/>
  <c r="V70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59" i="6"/>
  <c r="V60" i="6"/>
  <c r="V61" i="6"/>
  <c r="V62" i="6"/>
  <c r="V63" i="6"/>
  <c r="V71" i="6"/>
  <c r="V72" i="6"/>
  <c r="V73" i="6"/>
  <c r="V74" i="6"/>
  <c r="V75" i="6"/>
  <c r="V76" i="6"/>
  <c r="V77" i="6"/>
  <c r="V78" i="6"/>
  <c r="V79" i="6"/>
  <c r="V80" i="6"/>
  <c r="V81" i="6"/>
  <c r="V7" i="6"/>
  <c r="P81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64" i="6"/>
  <c r="P65" i="6"/>
  <c r="P66" i="6"/>
  <c r="P67" i="6"/>
  <c r="P68" i="6"/>
  <c r="P69" i="6"/>
  <c r="P70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59" i="6"/>
  <c r="P60" i="6"/>
  <c r="P61" i="6"/>
  <c r="P62" i="6"/>
  <c r="P63" i="6"/>
  <c r="P71" i="6"/>
  <c r="P72" i="6"/>
  <c r="P73" i="6"/>
  <c r="P74" i="6"/>
  <c r="P75" i="6"/>
  <c r="P76" i="6"/>
  <c r="P77" i="6"/>
  <c r="P78" i="6"/>
  <c r="P79" i="6"/>
  <c r="P80" i="6"/>
  <c r="P7" i="6"/>
  <c r="I123" i="4" l="1"/>
  <c r="K123" i="4" s="1" a="1"/>
  <c r="K123" i="4" s="1"/>
  <c r="I27" i="4"/>
  <c r="K27" i="4" s="1" a="1"/>
  <c r="K27" i="4" s="1"/>
  <c r="X2" i="5"/>
  <c r="Z4" i="5" l="1"/>
  <c r="X17" i="5"/>
  <c r="X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B7" authorId="0" shapeId="0" xr:uid="{7B60A79F-7931-4C8C-BA16-09E9C7C12877}">
      <text>
        <r>
          <rPr>
            <b/>
            <sz val="9"/>
            <color indexed="81"/>
            <rFont val="Tahoma"/>
            <family val="2"/>
          </rPr>
          <t>TOW HAUL
TW02=CA35</t>
        </r>
      </text>
    </comment>
    <comment ref="W7" authorId="0" shapeId="0" xr:uid="{46EF4EBD-F673-448A-99AE-BF54C814F472}">
      <text>
        <r>
          <rPr>
            <b/>
            <sz val="9"/>
            <color indexed="81"/>
            <rFont val="Tahoma"/>
            <family val="2"/>
          </rPr>
          <t>TOW HAUL
TW02=CA35</t>
        </r>
      </text>
    </comment>
    <comment ref="B8" authorId="0" shapeId="0" xr:uid="{91AF4988-C51F-4429-AA8C-6118580F9CCE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  <comment ref="W8" authorId="0" shapeId="0" xr:uid="{D4BF4C8B-1A70-4566-A5D7-4FFB65CD4FB9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  <comment ref="B9" authorId="0" shapeId="0" xr:uid="{B5859219-3FF2-4AD6-A946-AC24D58A88DC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W9" authorId="0" shapeId="0" xr:uid="{CDD05238-0064-4FC7-9CF9-2D0970ABD336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B10" authorId="0" shapeId="0" xr:uid="{B41FA508-456B-49F0-8559-D9F5F13D8C7A}">
      <text>
        <r>
          <rPr>
            <b/>
            <sz val="9"/>
            <color indexed="81"/>
            <rFont val="Tahoma"/>
            <family val="2"/>
          </rPr>
          <t>TOW HAUL
TW01=CA10</t>
        </r>
      </text>
    </comment>
    <comment ref="W10" authorId="0" shapeId="0" xr:uid="{E284326A-D9D2-48BD-8334-A654BD9FD4A4}">
      <text>
        <r>
          <rPr>
            <b/>
            <sz val="9"/>
            <color indexed="81"/>
            <rFont val="Tahoma"/>
            <family val="2"/>
          </rPr>
          <t>TOW HAUL
TW01=CA10</t>
        </r>
      </text>
    </comment>
    <comment ref="B11" authorId="0" shapeId="0" xr:uid="{B01050BE-A6BE-41AC-BE39-93D852815E53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W11" authorId="0" shapeId="0" xr:uid="{588DE0E5-32F5-492A-B56F-DBDBD909D077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B12" authorId="0" shapeId="0" xr:uid="{6ECCE874-643F-43AA-A51D-D6904BE3DE8F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W12" authorId="0" shapeId="0" xr:uid="{60AF879F-FE91-4AEA-AB0E-297A67FD8224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B13" authorId="0" shapeId="0" xr:uid="{3F45549D-D536-47A0-A8AB-21F5672F6D05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W13" authorId="0" shapeId="0" xr:uid="{C68A0982-7258-4FE4-AA7E-6BA035A918FE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B14" authorId="0" shapeId="0" xr:uid="{012C6240-5344-4086-95B0-308B5B2EDE7A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W14" authorId="0" shapeId="0" xr:uid="{765AFFEC-01CC-4020-8B22-CC1622532E8F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B15" authorId="0" shapeId="0" xr:uid="{544DA6A0-3D3E-4582-A299-50BE7EFADB7C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W15" authorId="0" shapeId="0" xr:uid="{2CB783F1-E11A-475B-9D41-D8554A0FECE7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FB1153A7-1678-4942-A93B-7312A69981A2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752A5EFD-E03E-459B-97F5-925B33153473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45BFBF9F-6552-4D2E-9A27-75BB5E4D21A0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FEAC617D-3A5B-445E-9621-C7A11E7EB434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9AFF0087-2715-4F8E-B4E0-10AF07BB01CE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D2BC947F-7D3F-4A81-AEC8-ABEE30F81403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D7345FBC-6FA5-434E-AF94-6AF63BECBF47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9A5C8B97-53D3-4E14-BEBF-F51C49F0B6EF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FB43E21E-3D39-44BA-A446-9B0757EA218F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93E3870A-19F8-4053-B740-ED6D7D82C868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98723F41-2C15-4808-9043-5C0BDF3C5813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86F2FDDD-10D1-4F4B-B8ED-6B8B7884B2B0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C16395A7-848C-470D-B0D9-7871FDA3F369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DA74C568-B448-4670-9B73-284327E849E4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5721A3ED-25F6-4D46-A10A-5E4B57A2F9FB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D49A2194-354E-4A7B-8096-D84AF13DE92B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E016C3F3-7141-4100-874F-F991DBC236CB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C3F2CE2A-9F95-48BF-A6AA-FF3246C8E3E6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6946C53F-DB68-43AB-A409-FF14163EC470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B2564774-D4F7-4AC9-B26E-D4048EB21FB8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B33AF8D0-1B99-4E3C-B7D2-8450B591E806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BBCD190C-2409-4B75-BBD4-828669AAD3B7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B0582B17-97EB-49E4-BADB-A0ADA423FDC7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974E332C-975A-4F8E-828F-3A0EA04E54A7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3C9AA2EA-126D-4FE7-9CE9-71BC7D0C8DE5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8C3A8460-8FFF-4B6E-8EA9-B2E5DE4AB683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3176F066-AE74-46CC-B861-B50AA6F4BBF7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9EAC7AB8-89BD-462D-82FA-EE25C0BECAF8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CEE19BA7-5E23-4967-8D7C-44EE2E47BCC2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82928D7F-0AC1-4627-9C00-D5AE53510F72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419E9198-3C58-4306-97D4-3EBF67ECA3FF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D6354023-0F47-4578-B6DC-E45B6C07DDBC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B10264ED-B340-4E4E-9BC3-F5DBEAB305EF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875DA000-064B-47E4-93BC-2A875A8AF1F2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D986D460-36E4-4FFB-84FE-87E5AA11C9A0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9C0DBAD3-A60A-4B39-83DD-385C98B28399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73EF3195-251D-4046-A7FB-43453F3A34BB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4C427ADD-61DF-4B5D-9224-0543A9A59295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237FAFD4-7F6E-47FD-99E8-3CFEF8382CC1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756510CC-02B1-488D-9619-BFA07CF83C88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ADDA5C52-BD1B-44FD-B6D6-12D72E48249E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07B93327-821A-4A3E-A890-F33F472C49F4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C54506C3-7098-4FFC-8B0D-96175C361DFD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A23E3A3D-041D-410D-BE7B-B6C14F74BF55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3365F159-E46B-4888-9CB7-54AB0567BA15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F51A5D1C-9FC1-4D41-89C7-F6CF25395D66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46E7A3AE-B804-4C94-9009-2C9AF5F00B79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B44018AC-4769-4324-AF58-97D405CBD0CC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305239B0-0F8C-41EF-BF0E-B0B0FE974BFD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28DF8761-449B-4D7A-9E90-849C1CE28D5F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493A419A-8890-4C74-B5F2-33A17EEFEE67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5CAC5441-8427-4E32-B306-B81C979A065D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4A8CB0ED-A619-4498-A63D-EC853AFE36F7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91B25EDA-7EA2-471C-A59D-9D81CFD1BC89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3927D8BE-B4F9-47C6-8979-A005F201B3A2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752CC1E6-FE76-4AF6-8D18-FD7B95970F7F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F0859AB1-0D95-4F74-9CDE-6B3E2A6F91EC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F2289448-2A80-43AF-97B1-29A18EAE69C3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7B3B5C3D-E979-4B4D-9E46-3D3CAEC5943B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A2D11CE4-81B6-4173-AF11-A1E5694A75FC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3BDF5D85-C66E-45BE-B86F-27286EAAFFFA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42C4942C-CCEF-4325-AB5F-CB7171ACF9F0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C81B0D29-1556-4089-A551-57929A4E963D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AA42BAFC-BD77-4D93-8A8A-AF68C1C8B27E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E46709D6-A463-4F2E-A369-CD7C8B3845A3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BB0C7940-1472-4627-8BD2-0C1BACEA7F5C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001010DA-B529-441F-8AD4-947A1D7F9C7A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0BB4C2DB-99D9-4F7B-808E-62AA1F6C3209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69B0E364-B1EE-40F5-8830-B98849B0424D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30FE6F0F-E574-439A-B35B-AB8AA19F60DA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FD797425-0E09-4DD2-8F4A-FFEFDE5BC342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D17BD9C8-E0EB-4974-85A9-AD7C07B124E8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14B82337-6EE3-4EE7-A17C-52435D314752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93BD2988-07AF-4FE4-898F-9EA42E47070F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1475612C-77B2-4758-9309-FE13ADB30509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0610D7B8-00EB-4C36-887B-9FC11BB63B43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4EA56850-C40A-4B4A-B530-A8386154F759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0AABBCEC-124F-4E8B-BFF1-BDA9AB4602E4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68915D30-3404-4F19-B25F-EAFF8CFDC416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F060052B-247D-4684-8AC5-14057E0AFA64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9C92D8A4-A8D0-44BE-B1F8-A985C0374B54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Andres Contreras Palacios</author>
  </authors>
  <commentList>
    <comment ref="A127" authorId="0" shapeId="0" xr:uid="{CCF4EE2A-E3A5-4931-B4E3-E7E87090EB85}">
      <text>
        <r>
          <rPr>
            <b/>
            <sz val="9"/>
            <color indexed="81"/>
            <rFont val="Tahoma"/>
            <family val="2"/>
          </rPr>
          <t>TOW HAUL
TW01= CA10</t>
        </r>
      </text>
    </comment>
    <comment ref="A128" authorId="0" shapeId="0" xr:uid="{C8308E5B-F3A6-46E3-9ECA-29DB4AFBCB1A}">
      <text>
        <r>
          <rPr>
            <b/>
            <sz val="9"/>
            <color indexed="81"/>
            <rFont val="Tahoma"/>
            <family val="2"/>
          </rPr>
          <t>TOW HAUL
TW02= CA35</t>
        </r>
      </text>
    </comment>
    <comment ref="A129" authorId="0" shapeId="0" xr:uid="{FE97EC7B-EBEA-4EE1-925A-7192960BB5E2}">
      <text>
        <r>
          <rPr>
            <b/>
            <sz val="9"/>
            <color indexed="81"/>
            <rFont val="Tahoma"/>
            <family val="2"/>
          </rPr>
          <t>CAMIÓN REGADOR
CR11 = CA01</t>
        </r>
      </text>
    </comment>
    <comment ref="A130" authorId="0" shapeId="0" xr:uid="{E7B2CB98-CD72-4980-AEFF-73A7378299DC}">
      <text>
        <r>
          <rPr>
            <b/>
            <sz val="9"/>
            <color indexed="81"/>
            <rFont val="Tahoma"/>
            <family val="2"/>
          </rPr>
          <t>CAMIÓN REGADOR
CR12 = CA04</t>
        </r>
      </text>
    </comment>
    <comment ref="A131" authorId="0" shapeId="0" xr:uid="{10BF13AD-3837-4EC7-B14D-A2D4D707E6B2}">
      <text>
        <r>
          <rPr>
            <b/>
            <sz val="9"/>
            <color indexed="81"/>
            <rFont val="Tahoma"/>
            <family val="2"/>
          </rPr>
          <t>CAMIÓN REGADOR
CR13 = CA02</t>
        </r>
      </text>
    </comment>
    <comment ref="A132" authorId="0" shapeId="0" xr:uid="{89B9A08A-C881-4C55-800F-3476294ABDC4}">
      <text>
        <r>
          <rPr>
            <b/>
            <sz val="9"/>
            <color indexed="81"/>
            <rFont val="Tahoma"/>
            <family val="2"/>
          </rPr>
          <t>CAMIÓN REGADOR
CR14 = CA21</t>
        </r>
      </text>
    </comment>
    <comment ref="A133" authorId="0" shapeId="0" xr:uid="{82615544-80EE-40A4-AE80-57050D9EF8F9}">
      <text>
        <r>
          <rPr>
            <b/>
            <sz val="9"/>
            <color indexed="81"/>
            <rFont val="Tahoma"/>
            <family val="2"/>
          </rPr>
          <t>CAMIÓN REGADOR
CR15 = CA05</t>
        </r>
      </text>
    </comment>
    <comment ref="A134" authorId="0" shapeId="0" xr:uid="{35DF780A-A1D2-4CFB-A407-CC7E4DA80C02}">
      <text>
        <r>
          <rPr>
            <b/>
            <sz val="9"/>
            <color indexed="81"/>
            <rFont val="Tahoma"/>
            <family val="2"/>
          </rPr>
          <t>CAMIÓN REGADOR
CR16 = CA32</t>
        </r>
      </text>
    </comment>
    <comment ref="A135" authorId="0" shapeId="0" xr:uid="{E9C53CA8-239B-464D-B0D7-D9084D38656F}">
      <text>
        <r>
          <rPr>
            <b/>
            <sz val="9"/>
            <color indexed="81"/>
            <rFont val="Tahoma"/>
            <family val="2"/>
          </rPr>
          <t>CAMIÓN REGADOR
CR17 = CA07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<sst xmlns="http://schemas.openxmlformats.org/spreadsheetml/2006/main" count="7910" uniqueCount="1678">
  <si>
    <t>CAEX</t>
  </si>
  <si>
    <t>EQUIPO</t>
  </si>
  <si>
    <t>FECHA DE ULTIMA MP EJECUTADA</t>
  </si>
  <si>
    <t>% DESVIACIÓN DE MP</t>
  </si>
  <si>
    <t>HORÓMETRO ACTUAL CAEX</t>
  </si>
  <si>
    <t>HORÓMETRO ULTIMA MP</t>
  </si>
  <si>
    <t>CUMMINS</t>
  </si>
  <si>
    <t>MOTOR</t>
  </si>
  <si>
    <t>A FECHA:</t>
  </si>
  <si>
    <t>HORÓMETROS ACTUALIZADOS CAEX 830E</t>
  </si>
  <si>
    <t>CA100</t>
  </si>
  <si>
    <t>CA101</t>
  </si>
  <si>
    <t>CA102</t>
  </si>
  <si>
    <t>CA103</t>
  </si>
  <si>
    <t>CA108</t>
  </si>
  <si>
    <t>CA109</t>
  </si>
  <si>
    <t>CA110</t>
  </si>
  <si>
    <t>CA111</t>
  </si>
  <si>
    <t>CA112</t>
  </si>
  <si>
    <t>CA113</t>
  </si>
  <si>
    <t>CA114</t>
  </si>
  <si>
    <t>CA115</t>
  </si>
  <si>
    <t>CA116</t>
  </si>
  <si>
    <t>CA117</t>
  </si>
  <si>
    <t>CA118</t>
  </si>
  <si>
    <t>CA119</t>
  </si>
  <si>
    <t>CA120</t>
  </si>
  <si>
    <t>CA121</t>
  </si>
  <si>
    <t>CA122</t>
  </si>
  <si>
    <t>CA123</t>
  </si>
  <si>
    <t>CA124</t>
  </si>
  <si>
    <t>CA125</t>
  </si>
  <si>
    <t>CA126</t>
  </si>
  <si>
    <t>CA127</t>
  </si>
  <si>
    <t>CA128</t>
  </si>
  <si>
    <t>CA129</t>
  </si>
  <si>
    <t>CA130</t>
  </si>
  <si>
    <t>CA131</t>
  </si>
  <si>
    <t>CA132</t>
  </si>
  <si>
    <t>CA133</t>
  </si>
  <si>
    <t>CA134</t>
  </si>
  <si>
    <t>CA135</t>
  </si>
  <si>
    <t>CA136</t>
  </si>
  <si>
    <t>CA137</t>
  </si>
  <si>
    <t>CA138</t>
  </si>
  <si>
    <t>CA139</t>
  </si>
  <si>
    <t>CA140</t>
  </si>
  <si>
    <t>CA141</t>
  </si>
  <si>
    <t>CA142</t>
  </si>
  <si>
    <t>CA143</t>
  </si>
  <si>
    <t>CA144</t>
  </si>
  <si>
    <t>CA145</t>
  </si>
  <si>
    <t>CA149</t>
  </si>
  <si>
    <t>CA150</t>
  </si>
  <si>
    <t>CA151</t>
  </si>
  <si>
    <t>CA152</t>
  </si>
  <si>
    <t>CA153</t>
  </si>
  <si>
    <t>CA154</t>
  </si>
  <si>
    <t>CA155</t>
  </si>
  <si>
    <t>CA156</t>
  </si>
  <si>
    <t>CA157</t>
  </si>
  <si>
    <t>CA158</t>
  </si>
  <si>
    <t>CA164</t>
  </si>
  <si>
    <t>CA169</t>
  </si>
  <si>
    <t>CA170</t>
  </si>
  <si>
    <t>CA171</t>
  </si>
  <si>
    <t>CA172</t>
  </si>
  <si>
    <t>CA173</t>
  </si>
  <si>
    <t>CA174</t>
  </si>
  <si>
    <t>CA46</t>
  </si>
  <si>
    <t>CA47</t>
  </si>
  <si>
    <t>CA55</t>
  </si>
  <si>
    <t>CA56</t>
  </si>
  <si>
    <t>CA57</t>
  </si>
  <si>
    <t>CA58</t>
  </si>
  <si>
    <t>CA59</t>
  </si>
  <si>
    <t>CA60</t>
  </si>
  <si>
    <t>CA61</t>
  </si>
  <si>
    <t>CA62</t>
  </si>
  <si>
    <t>CA63</t>
  </si>
  <si>
    <t>CA64</t>
  </si>
  <si>
    <t>CA67</t>
  </si>
  <si>
    <t>CA68</t>
  </si>
  <si>
    <t>CA69</t>
  </si>
  <si>
    <t>CA70</t>
  </si>
  <si>
    <t>CA71</t>
  </si>
  <si>
    <t>CA72</t>
  </si>
  <si>
    <t>CA73</t>
  </si>
  <si>
    <t>CA74</t>
  </si>
  <si>
    <t>CA75</t>
  </si>
  <si>
    <t>CA76</t>
  </si>
  <si>
    <t>CA77</t>
  </si>
  <si>
    <t>CA78</t>
  </si>
  <si>
    <t>CA79</t>
  </si>
  <si>
    <t>CA80</t>
  </si>
  <si>
    <t>CA81</t>
  </si>
  <si>
    <t>CA82</t>
  </si>
  <si>
    <t>CA83</t>
  </si>
  <si>
    <t>CA84</t>
  </si>
  <si>
    <t>CA85</t>
  </si>
  <si>
    <t>CA86</t>
  </si>
  <si>
    <t>CA87</t>
  </si>
  <si>
    <t>CA88</t>
  </si>
  <si>
    <t>CA89</t>
  </si>
  <si>
    <t>CA91</t>
  </si>
  <si>
    <t>CA92</t>
  </si>
  <si>
    <t>CA93</t>
  </si>
  <si>
    <t>CA94</t>
  </si>
  <si>
    <t>CA95</t>
  </si>
  <si>
    <t>CA96</t>
  </si>
  <si>
    <t>CA97</t>
  </si>
  <si>
    <t>CA98</t>
  </si>
  <si>
    <t>CA99</t>
  </si>
  <si>
    <t>CA159</t>
  </si>
  <si>
    <t>CA160</t>
  </si>
  <si>
    <t>CA161</t>
  </si>
  <si>
    <t>CA162</t>
  </si>
  <si>
    <t>CA163</t>
  </si>
  <si>
    <t>CA175</t>
  </si>
  <si>
    <t>CA176</t>
  </si>
  <si>
    <t>CA177</t>
  </si>
  <si>
    <t>CA178</t>
  </si>
  <si>
    <t>CA184</t>
  </si>
  <si>
    <t>CA185</t>
  </si>
  <si>
    <t>CA186</t>
  </si>
  <si>
    <t>CA187</t>
  </si>
  <si>
    <t>CA188</t>
  </si>
  <si>
    <t>CA189</t>
  </si>
  <si>
    <t>CA190</t>
  </si>
  <si>
    <t>REPOWER</t>
  </si>
  <si>
    <t>DETROIT</t>
  </si>
  <si>
    <t>GRASA</t>
  </si>
  <si>
    <t>GRASA/ MP</t>
  </si>
  <si>
    <t>MP</t>
  </si>
  <si>
    <t>TIPO</t>
  </si>
  <si>
    <t>930E-4SE</t>
  </si>
  <si>
    <t>N° SERIE</t>
  </si>
  <si>
    <t>TOLVA</t>
  </si>
  <si>
    <t>A30941</t>
  </si>
  <si>
    <t>A30942</t>
  </si>
  <si>
    <t>A30943</t>
  </si>
  <si>
    <t>A30948</t>
  </si>
  <si>
    <t>A31016</t>
  </si>
  <si>
    <t>A31018</t>
  </si>
  <si>
    <t>A31020</t>
  </si>
  <si>
    <t>A31105</t>
  </si>
  <si>
    <t>A31107</t>
  </si>
  <si>
    <t>A31248</t>
  </si>
  <si>
    <t>A31254</t>
  </si>
  <si>
    <t>A31314</t>
  </si>
  <si>
    <t>A31316</t>
  </si>
  <si>
    <t>A31318</t>
  </si>
  <si>
    <t>A31333</t>
  </si>
  <si>
    <t>A31335</t>
  </si>
  <si>
    <t>A31337</t>
  </si>
  <si>
    <t>A31363</t>
  </si>
  <si>
    <t>A31365</t>
  </si>
  <si>
    <t>A31663</t>
  </si>
  <si>
    <t>A31670</t>
  </si>
  <si>
    <t>A31640</t>
  </si>
  <si>
    <t>A31642</t>
  </si>
  <si>
    <t>A31717</t>
  </si>
  <si>
    <t>A31719</t>
  </si>
  <si>
    <t>A31721</t>
  </si>
  <si>
    <t>A31722</t>
  </si>
  <si>
    <t>A31739</t>
  </si>
  <si>
    <t>A31741</t>
  </si>
  <si>
    <t>A31743</t>
  </si>
  <si>
    <t>A31875</t>
  </si>
  <si>
    <t>A31877</t>
  </si>
  <si>
    <t>A31876</t>
  </si>
  <si>
    <t>A31878</t>
  </si>
  <si>
    <t>A31895</t>
  </si>
  <si>
    <t>A31896</t>
  </si>
  <si>
    <t>A31897</t>
  </si>
  <si>
    <t>A31898</t>
  </si>
  <si>
    <t>A31899</t>
  </si>
  <si>
    <t>A31900</t>
  </si>
  <si>
    <t>A31901</t>
  </si>
  <si>
    <t>A31902</t>
  </si>
  <si>
    <t>A31980</t>
  </si>
  <si>
    <t>A31981</t>
  </si>
  <si>
    <t>A31982</t>
  </si>
  <si>
    <t>A31983</t>
  </si>
  <si>
    <t>A31986</t>
  </si>
  <si>
    <t>A31987</t>
  </si>
  <si>
    <t>A31988</t>
  </si>
  <si>
    <t>A31959</t>
  </si>
  <si>
    <t>A31958</t>
  </si>
  <si>
    <t>A31957</t>
  </si>
  <si>
    <t>980E-4</t>
  </si>
  <si>
    <t>A40078</t>
  </si>
  <si>
    <t>A40079</t>
  </si>
  <si>
    <t>A40071</t>
  </si>
  <si>
    <t>A40117</t>
  </si>
  <si>
    <t>A40118</t>
  </si>
  <si>
    <t>980E-5</t>
  </si>
  <si>
    <t>A40155</t>
  </si>
  <si>
    <t>A40156</t>
  </si>
  <si>
    <t>A40157</t>
  </si>
  <si>
    <t>A50160</t>
  </si>
  <si>
    <t>A50161</t>
  </si>
  <si>
    <t>A50155</t>
  </si>
  <si>
    <t>A50156</t>
  </si>
  <si>
    <t>A31772</t>
  </si>
  <si>
    <t>A32115</t>
  </si>
  <si>
    <t>A32116</t>
  </si>
  <si>
    <t>A32120</t>
  </si>
  <si>
    <t>A32121</t>
  </si>
  <si>
    <t>A32122</t>
  </si>
  <si>
    <t>A32123</t>
  </si>
  <si>
    <t>MANUAL</t>
  </si>
  <si>
    <t>SISTEMA</t>
  </si>
  <si>
    <t>AUTÓNOMO</t>
  </si>
  <si>
    <t>TK-COMBUS</t>
  </si>
  <si>
    <t>VR-300</t>
  </si>
  <si>
    <t>WESTECH</t>
  </si>
  <si>
    <t>DT</t>
  </si>
  <si>
    <t>930E-3SE</t>
  </si>
  <si>
    <t>A30389</t>
  </si>
  <si>
    <t>A30382</t>
  </si>
  <si>
    <t>A30588</t>
  </si>
  <si>
    <t>A30587</t>
  </si>
  <si>
    <t>A30641</t>
  </si>
  <si>
    <t>A30643</t>
  </si>
  <si>
    <t>A30644</t>
  </si>
  <si>
    <t>A30655</t>
  </si>
  <si>
    <t>A30658</t>
  </si>
  <si>
    <t>A30660</t>
  </si>
  <si>
    <t>A30677</t>
  </si>
  <si>
    <t>A30727</t>
  </si>
  <si>
    <t>A30753</t>
  </si>
  <si>
    <t>A30755</t>
  </si>
  <si>
    <t>A30756</t>
  </si>
  <si>
    <t>A30791</t>
  </si>
  <si>
    <t>A30786</t>
  </si>
  <si>
    <t>A30801</t>
  </si>
  <si>
    <t>A30814</t>
  </si>
  <si>
    <t>A30789</t>
  </si>
  <si>
    <t>A30825</t>
  </si>
  <si>
    <t>A30827</t>
  </si>
  <si>
    <t>A30829</t>
  </si>
  <si>
    <t>A30807</t>
  </si>
  <si>
    <t>A30811</t>
  </si>
  <si>
    <t>A30837</t>
  </si>
  <si>
    <t>A30841</t>
  </si>
  <si>
    <t>A30845</t>
  </si>
  <si>
    <t>A30848</t>
  </si>
  <si>
    <t>A30849</t>
  </si>
  <si>
    <t>A30850</t>
  </si>
  <si>
    <t>A30857</t>
  </si>
  <si>
    <t>A30804</t>
  </si>
  <si>
    <t>A30870</t>
  </si>
  <si>
    <t>A30869</t>
  </si>
  <si>
    <t>A30871</t>
  </si>
  <si>
    <t>A30876</t>
  </si>
  <si>
    <t>A30928</t>
  </si>
  <si>
    <t>A30929</t>
  </si>
  <si>
    <t>A30930</t>
  </si>
  <si>
    <t>A30937</t>
  </si>
  <si>
    <t>A30938</t>
  </si>
  <si>
    <t>A30939</t>
  </si>
  <si>
    <t>A30940</t>
  </si>
  <si>
    <t>NORMAL</t>
  </si>
  <si>
    <t>A50153</t>
  </si>
  <si>
    <t>A50152</t>
  </si>
  <si>
    <t>A50157</t>
  </si>
  <si>
    <t>REALIZADO POR TURNO</t>
  </si>
  <si>
    <t>A40154</t>
  </si>
  <si>
    <t>INFORMACIÓN DE EQUIPO</t>
  </si>
  <si>
    <t>EQUIPOS 930E</t>
  </si>
  <si>
    <t>CR11</t>
  </si>
  <si>
    <t>CR13</t>
  </si>
  <si>
    <t>CA03</t>
  </si>
  <si>
    <t>CR12</t>
  </si>
  <si>
    <t>CR10</t>
  </si>
  <si>
    <t>CA08</t>
  </si>
  <si>
    <t>CA09</t>
  </si>
  <si>
    <t>CA11</t>
  </si>
  <si>
    <t>CA12</t>
  </si>
  <si>
    <t>CA15</t>
  </si>
  <si>
    <t>CA16</t>
  </si>
  <si>
    <t>CA17</t>
  </si>
  <si>
    <t>CA18</t>
  </si>
  <si>
    <t>CA20</t>
  </si>
  <si>
    <t>CR14</t>
  </si>
  <si>
    <t>CA22</t>
  </si>
  <si>
    <t>CA23</t>
  </si>
  <si>
    <t>CA24</t>
  </si>
  <si>
    <t>CA25</t>
  </si>
  <si>
    <t>CA26</t>
  </si>
  <si>
    <t>CA27</t>
  </si>
  <si>
    <t>CA28</t>
  </si>
  <si>
    <t>CA29</t>
  </si>
  <si>
    <t>CA30</t>
  </si>
  <si>
    <t>CA33</t>
  </si>
  <si>
    <t>CA34</t>
  </si>
  <si>
    <t>TW02</t>
  </si>
  <si>
    <t>CA36</t>
  </si>
  <si>
    <t>CA37</t>
  </si>
  <si>
    <t>CA38</t>
  </si>
  <si>
    <t>CA50</t>
  </si>
  <si>
    <t>CA65</t>
  </si>
  <si>
    <t>CA66</t>
  </si>
  <si>
    <t>TW01</t>
  </si>
  <si>
    <t>H. ACTUAL</t>
  </si>
  <si>
    <t>CR15</t>
  </si>
  <si>
    <t>CR17</t>
  </si>
  <si>
    <t>CR16</t>
  </si>
  <si>
    <t>% DESVIACIÓN DE MP.</t>
  </si>
  <si>
    <t>MEGA</t>
  </si>
  <si>
    <t>---</t>
  </si>
  <si>
    <t>TOWHAUL</t>
  </si>
  <si>
    <t>830E</t>
  </si>
  <si>
    <t>GF-32599AFE32DW</t>
  </si>
  <si>
    <t>GF-32782AFE32EZ</t>
  </si>
  <si>
    <t>GF-32635AFE32DW</t>
  </si>
  <si>
    <t>GF-32600AFE32DW</t>
  </si>
  <si>
    <t>GF-32592AFE32DW</t>
  </si>
  <si>
    <t>GF-32609AFE32DW</t>
  </si>
  <si>
    <t>GF-32598AFE32DW</t>
  </si>
  <si>
    <t>GF-32666AFE32ED</t>
  </si>
  <si>
    <t>GF-32608AFE32DW</t>
  </si>
  <si>
    <t>GF-32778AFE32ET</t>
  </si>
  <si>
    <t>GF-32631AFE32DW</t>
  </si>
  <si>
    <t>GF-32634AFE32DW</t>
  </si>
  <si>
    <t>GF-32649AFE32DW</t>
  </si>
  <si>
    <t>GF-32653AFE32ED</t>
  </si>
  <si>
    <t>GF-32650AFE32ED</t>
  </si>
  <si>
    <t>GF-32651AFE32ED</t>
  </si>
  <si>
    <t>GF-32679AFE32DW</t>
  </si>
  <si>
    <t>GF-32694AFE32DW</t>
  </si>
  <si>
    <t>GF-32661AFE32ED</t>
  </si>
  <si>
    <t>GF32700AFE32DW</t>
  </si>
  <si>
    <t>GF-32698AFE32DW</t>
  </si>
  <si>
    <t>GF-32699AFE32DW</t>
  </si>
  <si>
    <t>GF-32739-AFE32ET</t>
  </si>
  <si>
    <t>GF32737AFE32ET</t>
  </si>
  <si>
    <t>GF-32759AFE32ET</t>
  </si>
  <si>
    <t>GF-32758AFE32ET</t>
  </si>
  <si>
    <t>GF-32755AFE32ET</t>
  </si>
  <si>
    <t>GF-32781AFE32EZ</t>
  </si>
  <si>
    <t>GF-32780AFE32EZ</t>
  </si>
  <si>
    <t>A30617AFE50-U</t>
  </si>
  <si>
    <t>A30582AFE50-H</t>
  </si>
  <si>
    <t>GF-32632AFE32DW</t>
  </si>
  <si>
    <t>A30562AFE32FA</t>
  </si>
  <si>
    <t>A30563AFE32FA</t>
  </si>
  <si>
    <t>EQUIPOS 980E</t>
  </si>
  <si>
    <t>EQUIPOS 830E</t>
  </si>
  <si>
    <t>MMS DISPAT</t>
  </si>
  <si>
    <t>CH – Sist</t>
  </si>
  <si>
    <t>ema de re</t>
  </si>
  <si>
    <t>porte --</t>
  </si>
  <si>
    <t>Reporte d</t>
  </si>
  <si>
    <t>e Disponi</t>
  </si>
  <si>
    <t>bilidades</t>
  </si>
  <si>
    <t>para EQU</t>
  </si>
  <si>
    <t>IPO</t>
  </si>
  <si>
    <t>- 2 Turno</t>
  </si>
  <si>
    <t>s</t>
  </si>
  <si>
    <t>Equipo</t>
  </si>
  <si>
    <t>Efectivo</t>
  </si>
  <si>
    <t>Nominal</t>
  </si>
  <si>
    <t>-------------</t>
  </si>
  <si>
    <t>--------</t>
  </si>
  <si>
    <t>CM01</t>
  </si>
  <si>
    <t>CM02</t>
  </si>
  <si>
    <t>CM03</t>
  </si>
  <si>
    <t>CM04</t>
  </si>
  <si>
    <t>CM05</t>
  </si>
  <si>
    <t>Desconocido T</t>
  </si>
  <si>
    <t>PA04</t>
  </si>
  <si>
    <t>TN23</t>
  </si>
  <si>
    <t>TN24</t>
  </si>
  <si>
    <t>Komatsu WD600</t>
  </si>
  <si>
    <t>CS01</t>
  </si>
  <si>
    <t>CS03</t>
  </si>
  <si>
    <t>CO01</t>
  </si>
  <si>
    <t>TRONADURA</t>
  </si>
  <si>
    <t>TO14</t>
  </si>
  <si>
    <t>MO19</t>
  </si>
  <si>
    <t>PA06</t>
  </si>
  <si>
    <t>PA08</t>
  </si>
  <si>
    <t>PA09</t>
  </si>
  <si>
    <t>PA10</t>
  </si>
  <si>
    <t>Bucyrus 495 H</t>
  </si>
  <si>
    <t>TO13</t>
  </si>
  <si>
    <t>TO27</t>
  </si>
  <si>
    <t>TO28</t>
  </si>
  <si>
    <t>TO29</t>
  </si>
  <si>
    <t>CAT-D10R Tota</t>
  </si>
  <si>
    <t>TN12</t>
  </si>
  <si>
    <t>TN19</t>
  </si>
  <si>
    <t>CAT-834G Tota</t>
  </si>
  <si>
    <t>MO09</t>
  </si>
  <si>
    <t>MO10</t>
  </si>
  <si>
    <t>CAT-24H Total</t>
  </si>
  <si>
    <t>CF04</t>
  </si>
  <si>
    <t>CF05</t>
  </si>
  <si>
    <t>CF06</t>
  </si>
  <si>
    <t>CF09</t>
  </si>
  <si>
    <t>CF10</t>
  </si>
  <si>
    <t>Le Tourneau L</t>
  </si>
  <si>
    <t>KMS-930 E3 To</t>
  </si>
  <si>
    <t>RE08</t>
  </si>
  <si>
    <t>RE09</t>
  </si>
  <si>
    <t>RE10</t>
  </si>
  <si>
    <t>RE11</t>
  </si>
  <si>
    <t>KMS-PC-300 To</t>
  </si>
  <si>
    <t>CB01</t>
  </si>
  <si>
    <t>CB02</t>
  </si>
  <si>
    <t>TH01</t>
  </si>
  <si>
    <t>TH02</t>
  </si>
  <si>
    <t>TOW HAUL Tota</t>
  </si>
  <si>
    <t>PO07</t>
  </si>
  <si>
    <t>PO12</t>
  </si>
  <si>
    <t>PO15</t>
  </si>
  <si>
    <t>PO19</t>
  </si>
  <si>
    <t>Bucyrus 49HR</t>
  </si>
  <si>
    <t>MO12</t>
  </si>
  <si>
    <t>MO13</t>
  </si>
  <si>
    <t>MO14</t>
  </si>
  <si>
    <t>MO15</t>
  </si>
  <si>
    <t>MO16</t>
  </si>
  <si>
    <t>MO20</t>
  </si>
  <si>
    <t>CAT-16M Total</t>
  </si>
  <si>
    <t>TO16</t>
  </si>
  <si>
    <t>TO17</t>
  </si>
  <si>
    <t>TO18</t>
  </si>
  <si>
    <t>TO19</t>
  </si>
  <si>
    <t>TO20</t>
  </si>
  <si>
    <t>TO21</t>
  </si>
  <si>
    <t>TO22</t>
  </si>
  <si>
    <t>TO24</t>
  </si>
  <si>
    <t>TO25</t>
  </si>
  <si>
    <t>TO26</t>
  </si>
  <si>
    <t>CAT-D11T Tota</t>
  </si>
  <si>
    <t>MC01</t>
  </si>
  <si>
    <t>MN01</t>
  </si>
  <si>
    <t>MN02</t>
  </si>
  <si>
    <t>MN03</t>
  </si>
  <si>
    <t>IMT TH3565 To</t>
  </si>
  <si>
    <t>TN13</t>
  </si>
  <si>
    <t>TN14</t>
  </si>
  <si>
    <t>TN15</t>
  </si>
  <si>
    <t>TN16</t>
  </si>
  <si>
    <t>TN17</t>
  </si>
  <si>
    <t>TN18</t>
  </si>
  <si>
    <t>TN20</t>
  </si>
  <si>
    <t>TN21</t>
  </si>
  <si>
    <t>TN22</t>
  </si>
  <si>
    <t>CAT-854K Tota</t>
  </si>
  <si>
    <t>RE12</t>
  </si>
  <si>
    <t>CR04</t>
  </si>
  <si>
    <t>CR05</t>
  </si>
  <si>
    <t>CR06</t>
  </si>
  <si>
    <t>CR07</t>
  </si>
  <si>
    <t>CR08</t>
  </si>
  <si>
    <t>CR09</t>
  </si>
  <si>
    <t>Komatsu HD785</t>
  </si>
  <si>
    <t>BUS 1423</t>
  </si>
  <si>
    <t>BUS 1424</t>
  </si>
  <si>
    <t>BUS 1425</t>
  </si>
  <si>
    <t>VAN Ford Tota</t>
  </si>
  <si>
    <t>PO13</t>
  </si>
  <si>
    <t>PO16</t>
  </si>
  <si>
    <t>SVK D75KS Tot</t>
  </si>
  <si>
    <t>P1 UJI</t>
  </si>
  <si>
    <t>P2 SEMIMOVI</t>
  </si>
  <si>
    <t>P3 SEMIMOVI</t>
  </si>
  <si>
    <t>P4 SEMIMOVI</t>
  </si>
  <si>
    <t>Petroleros To</t>
  </si>
  <si>
    <t>CE04</t>
  </si>
  <si>
    <t>CA148</t>
  </si>
  <si>
    <t>CA179</t>
  </si>
  <si>
    <t>CA180</t>
  </si>
  <si>
    <t>CA181</t>
  </si>
  <si>
    <t>CA182</t>
  </si>
  <si>
    <t>CA183</t>
  </si>
  <si>
    <t>CA192</t>
  </si>
  <si>
    <t>LBH T282C Tot</t>
  </si>
  <si>
    <t>PA11</t>
  </si>
  <si>
    <t>PA12</t>
  </si>
  <si>
    <t>PA13</t>
  </si>
  <si>
    <t>PA14</t>
  </si>
  <si>
    <t>PA22</t>
  </si>
  <si>
    <t>PA23</t>
  </si>
  <si>
    <t>P&amp;H 4100XPC T</t>
  </si>
  <si>
    <t>MO17</t>
  </si>
  <si>
    <t>PO20</t>
  </si>
  <si>
    <t>PO21</t>
  </si>
  <si>
    <t>PO22</t>
  </si>
  <si>
    <t>PO31</t>
  </si>
  <si>
    <t>AtlasCop DML</t>
  </si>
  <si>
    <t>FE204</t>
  </si>
  <si>
    <t>FE214</t>
  </si>
  <si>
    <t>Feeder Total</t>
  </si>
  <si>
    <t>CV203</t>
  </si>
  <si>
    <t>CV206</t>
  </si>
  <si>
    <t>CV207</t>
  </si>
  <si>
    <t>Correa Total</t>
  </si>
  <si>
    <t>PA21</t>
  </si>
  <si>
    <t>KMS-980E Tota</t>
  </si>
  <si>
    <t>CF07</t>
  </si>
  <si>
    <t>CF08</t>
  </si>
  <si>
    <t>CAT-988K Tota</t>
  </si>
  <si>
    <t>KMS-830 Total</t>
  </si>
  <si>
    <t>MO18</t>
  </si>
  <si>
    <t>ROD01</t>
  </si>
  <si>
    <t>TO23</t>
  </si>
  <si>
    <t>TO30</t>
  </si>
  <si>
    <t>TO31</t>
  </si>
  <si>
    <t>TO32</t>
  </si>
  <si>
    <t>Komatsu D475</t>
  </si>
  <si>
    <t>PO23</t>
  </si>
  <si>
    <t>PO24</t>
  </si>
  <si>
    <t>PO25</t>
  </si>
  <si>
    <t>MD6640 Total</t>
  </si>
  <si>
    <t>PO18</t>
  </si>
  <si>
    <t>PO26</t>
  </si>
  <si>
    <t>PitViper 351</t>
  </si>
  <si>
    <t>PO27</t>
  </si>
  <si>
    <t>PO29</t>
  </si>
  <si>
    <t>PO30</t>
  </si>
  <si>
    <t>P&amp;H XPC320 To</t>
  </si>
  <si>
    <t>Nota : El tie</t>
  </si>
  <si>
    <t>mpo Efecti</t>
  </si>
  <si>
    <t>vo y demo</t>
  </si>
  <si>
    <t>ra no pro</t>
  </si>
  <si>
    <t>gramada e</t>
  </si>
  <si>
    <t>stan segu</t>
  </si>
  <si>
    <t>n ASARCO</t>
  </si>
  <si>
    <t>Abr-2024</t>
  </si>
  <si>
    <t>Ene-2024</t>
  </si>
  <si>
    <t>HORÓMETROS ACTUALIZADOS CAEX 930E, 980-4, 980-5</t>
  </si>
  <si>
    <t>AVANCE HRS DESDE LA ULTIMA MP</t>
  </si>
  <si>
    <t>HORÓMETRO
 ULTIMA MP</t>
  </si>
  <si>
    <t xml:space="preserve">FECHA 
ULTIMA MP </t>
  </si>
  <si>
    <t>HORÓMETRO
ACTUAL CAEX</t>
  </si>
  <si>
    <t>DÍAS RESTANTES PRÓXIMA MP</t>
  </si>
  <si>
    <t>FECHA TENTATIVA
 DE PRÓXIMA MP</t>
  </si>
  <si>
    <t>SUGERENCIA</t>
  </si>
  <si>
    <t>PRÓXIMO
HORÓMETRO MP
CAEX</t>
  </si>
  <si>
    <t>normal</t>
  </si>
  <si>
    <t>Programar</t>
  </si>
  <si>
    <t>atrasado</t>
  </si>
  <si>
    <t>Ago-2024</t>
  </si>
  <si>
    <t>HORAS PARA LA PROXIMA MP</t>
  </si>
  <si>
    <t>Proyectar</t>
  </si>
  <si>
    <t>si es menor a 500 tomar la fecha de 500 si es mayor tomar la fecha de 1000</t>
  </si>
  <si>
    <t>ULTIMA MP REALIZADA</t>
  </si>
  <si>
    <t>FECHA ULTIMO SOPLADO</t>
  </si>
  <si>
    <t>AVANCE HRS ULTIMO SOPLADO</t>
  </si>
  <si>
    <t>PROXIMA MANTENCIÓN CADA 250HRS</t>
  </si>
  <si>
    <t>PROXIMO CICLO DE MANTENCIÓN</t>
  </si>
  <si>
    <t>MANTENCIÓN 500 HRS - CAEX 980-5 / 1000 HRS -2000 HRS - CAEX 930E &amp; 980E-4</t>
  </si>
  <si>
    <t xml:space="preserve"> RELLENO DE GRASA CADA 500HRS</t>
  </si>
  <si>
    <t>ULTIMO RELLENO GRASA
(HORÓMETRO)</t>
  </si>
  <si>
    <t>FECHA DE ULTIMO RELLENO EJECUTADO</t>
  </si>
  <si>
    <t>% DESVIACIÓN  DE GRASA</t>
  </si>
  <si>
    <t>MANTENCIÓN 250HRS - 500HRS -750HRS - 1000HRS - 2000HRS - 5000HRS</t>
  </si>
  <si>
    <t xml:space="preserve"> ULTIMO SOPLADO
(HORÓMETRO)</t>
  </si>
  <si>
    <t>PROYECCIÓN ESTIMADA PARA INGRESO A MANTENCIÓN 930E - 980E-4 - 980E-5</t>
  </si>
  <si>
    <t>HRS RETANTES PARA LA PROXIMA MP</t>
  </si>
  <si>
    <t>CA146</t>
  </si>
  <si>
    <t>FORMULAS CREADAS POR: EDUARDO CONTRERAS PALACIOS</t>
  </si>
  <si>
    <t>PLANILLA PARA: KOMATSU</t>
  </si>
  <si>
    <t>CARGO: PROGRAMADOR</t>
  </si>
  <si>
    <r>
      <rPr>
        <b/>
        <sz val="11"/>
        <color theme="1"/>
        <rFont val="Aptos Narrow"/>
        <family val="2"/>
        <scheme val="minor"/>
      </rPr>
      <t>FAENA:</t>
    </r>
    <r>
      <rPr>
        <sz val="11"/>
        <color theme="1"/>
        <rFont val="Aptos Narrow"/>
        <family val="2"/>
        <scheme val="minor"/>
      </rPr>
      <t xml:space="preserve"> COLLAHUASI, CORDILLERA</t>
    </r>
  </si>
  <si>
    <r>
      <rPr>
        <b/>
        <sz val="11"/>
        <color theme="1"/>
        <rFont val="Aptos Narrow"/>
        <family val="2"/>
        <scheme val="minor"/>
      </rPr>
      <t>FECHA:</t>
    </r>
    <r>
      <rPr>
        <sz val="11"/>
        <color theme="1"/>
        <rFont val="Aptos Narrow"/>
        <family val="2"/>
        <scheme val="minor"/>
      </rPr>
      <t xml:space="preserve"> JUNIO, 2024</t>
    </r>
  </si>
  <si>
    <t xml:space="preserve">PROXIMA MANTENCIÓN  </t>
  </si>
  <si>
    <t>AVANCE HRS  DESDE ULTIMA MP</t>
  </si>
  <si>
    <t>AVANCE HRS  DESDE ULTIMO RELLENO</t>
  </si>
  <si>
    <t>INFORMACIÓN DE EQUIPOS</t>
  </si>
  <si>
    <t>MAKEUP</t>
  </si>
  <si>
    <t>ULTIMO CICLO REALIZADO</t>
  </si>
  <si>
    <t>Dem. Pro</t>
  </si>
  <si>
    <t>Dem. Ope</t>
  </si>
  <si>
    <t>Res. NPr</t>
  </si>
  <si>
    <t>Pan. Mec</t>
  </si>
  <si>
    <t>Pan. Ele</t>
  </si>
  <si>
    <t>Pan. Ope</t>
  </si>
  <si>
    <t>Pan. GSO</t>
  </si>
  <si>
    <t>Pan. DMa</t>
  </si>
  <si>
    <t>Pan. MPr</t>
  </si>
  <si>
    <t>DisFis.</t>
  </si>
  <si>
    <t>DisMec.</t>
  </si>
  <si>
    <t>Uti.Op</t>
  </si>
  <si>
    <t>Uti.Ef</t>
  </si>
  <si>
    <t>0.00</t>
  </si>
  <si>
    <t>24.00</t>
  </si>
  <si>
    <t>100.00</t>
  </si>
  <si>
    <t>96.00</t>
  </si>
  <si>
    <t>80.00</t>
  </si>
  <si>
    <t>2.04</t>
  </si>
  <si>
    <t>0.09</t>
  </si>
  <si>
    <t>0.29</t>
  </si>
  <si>
    <t>Chanc. Sulfur</t>
  </si>
  <si>
    <t>50.00</t>
  </si>
  <si>
    <t>0.01</t>
  </si>
  <si>
    <t>0.82</t>
  </si>
  <si>
    <t>2.23</t>
  </si>
  <si>
    <t>1.09</t>
  </si>
  <si>
    <t>1.48</t>
  </si>
  <si>
    <t>0.75</t>
  </si>
  <si>
    <t>2.08</t>
  </si>
  <si>
    <t>48.00</t>
  </si>
  <si>
    <t>0.16</t>
  </si>
  <si>
    <t>0.08</t>
  </si>
  <si>
    <t>1.29</t>
  </si>
  <si>
    <t>0.62</t>
  </si>
  <si>
    <t>19.49</t>
  </si>
  <si>
    <t>2.06</t>
  </si>
  <si>
    <t>0.05</t>
  </si>
  <si>
    <t>0.55</t>
  </si>
  <si>
    <t>1.10</t>
  </si>
  <si>
    <t>0.53</t>
  </si>
  <si>
    <t>0.17</t>
  </si>
  <si>
    <t>0.64</t>
  </si>
  <si>
    <t>0.06</t>
  </si>
  <si>
    <t>2.10</t>
  </si>
  <si>
    <t>0.71</t>
  </si>
  <si>
    <t>0.74</t>
  </si>
  <si>
    <t>88.13</t>
  </si>
  <si>
    <t>20.47</t>
  </si>
  <si>
    <t>0.69</t>
  </si>
  <si>
    <t>0.30</t>
  </si>
  <si>
    <t>2.35</t>
  </si>
  <si>
    <t>2.68</t>
  </si>
  <si>
    <t>1.11</t>
  </si>
  <si>
    <t>1.36</t>
  </si>
  <si>
    <t>1.43</t>
  </si>
  <si>
    <t>2.59</t>
  </si>
  <si>
    <t>1.02</t>
  </si>
  <si>
    <t>1.15</t>
  </si>
  <si>
    <t>0.51</t>
  </si>
  <si>
    <t>1.32</t>
  </si>
  <si>
    <t>0.80</t>
  </si>
  <si>
    <t>2.38</t>
  </si>
  <si>
    <t>0.38</t>
  </si>
  <si>
    <t>2.05</t>
  </si>
  <si>
    <t>0.77</t>
  </si>
  <si>
    <t>2.27</t>
  </si>
  <si>
    <t>0.27</t>
  </si>
  <si>
    <t>0.65</t>
  </si>
  <si>
    <t>0.58</t>
  </si>
  <si>
    <t>2.11</t>
  </si>
  <si>
    <t>1.06</t>
  </si>
  <si>
    <t>0.92</t>
  </si>
  <si>
    <t>0.03</t>
  </si>
  <si>
    <t>1.39</t>
  </si>
  <si>
    <t>0.40</t>
  </si>
  <si>
    <t>2.18</t>
  </si>
  <si>
    <t>1.05</t>
  </si>
  <si>
    <t>1.19</t>
  </si>
  <si>
    <t>99.99</t>
  </si>
  <si>
    <t>2.16</t>
  </si>
  <si>
    <t>1.37</t>
  </si>
  <si>
    <t>1.17</t>
  </si>
  <si>
    <t>0.33</t>
  </si>
  <si>
    <t>0.20</t>
  </si>
  <si>
    <t>1.47</t>
  </si>
  <si>
    <t>2.37</t>
  </si>
  <si>
    <t>0.46</t>
  </si>
  <si>
    <t>0.22</t>
  </si>
  <si>
    <t>0.61</t>
  </si>
  <si>
    <t>0.10</t>
  </si>
  <si>
    <t>0.34</t>
  </si>
  <si>
    <t>0.45</t>
  </si>
  <si>
    <t>1.13</t>
  </si>
  <si>
    <t>0.76</t>
  </si>
  <si>
    <t>0.15</t>
  </si>
  <si>
    <t>0.23</t>
  </si>
  <si>
    <t>20.19</t>
  </si>
  <si>
    <t>88.95</t>
  </si>
  <si>
    <t>0.42</t>
  </si>
  <si>
    <t>0.26</t>
  </si>
  <si>
    <t>2.21</t>
  </si>
  <si>
    <t>1.18</t>
  </si>
  <si>
    <t>0.91</t>
  </si>
  <si>
    <t>1.69</t>
  </si>
  <si>
    <t>0.66</t>
  </si>
  <si>
    <t>2.47</t>
  </si>
  <si>
    <t>88.99</t>
  </si>
  <si>
    <t>1.40</t>
  </si>
  <si>
    <t>2.48</t>
  </si>
  <si>
    <t>0.89</t>
  </si>
  <si>
    <t>1.73</t>
  </si>
  <si>
    <t>0.11</t>
  </si>
  <si>
    <t>1.80</t>
  </si>
  <si>
    <t>1.89</t>
  </si>
  <si>
    <t>2.91</t>
  </si>
  <si>
    <t>72.00</t>
  </si>
  <si>
    <t>2.12</t>
  </si>
  <si>
    <t>1.00</t>
  </si>
  <si>
    <t>0.96</t>
  </si>
  <si>
    <t>2.63</t>
  </si>
  <si>
    <t>0.37</t>
  </si>
  <si>
    <t>0.98</t>
  </si>
  <si>
    <t>0.07</t>
  </si>
  <si>
    <t>0.85</t>
  </si>
  <si>
    <t>1.35</t>
  </si>
  <si>
    <t>0.83</t>
  </si>
  <si>
    <t>0.73</t>
  </si>
  <si>
    <t>0.84</t>
  </si>
  <si>
    <t>1.64</t>
  </si>
  <si>
    <t>0.67</t>
  </si>
  <si>
    <t>2.97</t>
  </si>
  <si>
    <t>0.47</t>
  </si>
  <si>
    <t>0.90</t>
  </si>
  <si>
    <t>1.53</t>
  </si>
  <si>
    <t>2.77</t>
  </si>
  <si>
    <t>1.24</t>
  </si>
  <si>
    <t>3.24</t>
  </si>
  <si>
    <t>1.30</t>
  </si>
  <si>
    <t>1.42</t>
  </si>
  <si>
    <t>HORÓMETRO OCTUBRE 2024</t>
  </si>
  <si>
    <t>CT-24 B -</t>
  </si>
  <si>
    <t>0.24</t>
  </si>
  <si>
    <t>0.21</t>
  </si>
  <si>
    <t>1.07</t>
  </si>
  <si>
    <t>1.74</t>
  </si>
  <si>
    <t>0.57</t>
  </si>
  <si>
    <t>2.46</t>
  </si>
  <si>
    <t>1.50</t>
  </si>
  <si>
    <t>87.16</t>
  </si>
  <si>
    <t>0.79</t>
  </si>
  <si>
    <t>2.67</t>
  </si>
  <si>
    <t>2.33</t>
  </si>
  <si>
    <t>2.07</t>
  </si>
  <si>
    <t>2.41</t>
  </si>
  <si>
    <t>2.01</t>
  </si>
  <si>
    <t>0.59</t>
  </si>
  <si>
    <t>90.45</t>
  </si>
  <si>
    <t>0.81</t>
  </si>
  <si>
    <t>1.59</t>
  </si>
  <si>
    <t>2.82</t>
  </si>
  <si>
    <t>89.20</t>
  </si>
  <si>
    <t>0.60</t>
  </si>
  <si>
    <t>2.60</t>
  </si>
  <si>
    <t>2.73</t>
  </si>
  <si>
    <t>1.56</t>
  </si>
  <si>
    <t>85.96</t>
  </si>
  <si>
    <t>1.25</t>
  </si>
  <si>
    <t>2.75</t>
  </si>
  <si>
    <t>10.30</t>
  </si>
  <si>
    <t>2.29</t>
  </si>
  <si>
    <t>0.43</t>
  </si>
  <si>
    <t>2.65</t>
  </si>
  <si>
    <t>1.90</t>
  </si>
  <si>
    <t>2.45</t>
  </si>
  <si>
    <t>87.73</t>
  </si>
  <si>
    <t>2.64</t>
  </si>
  <si>
    <t>75.00</t>
  </si>
  <si>
    <t>0.97</t>
  </si>
  <si>
    <t>0.87</t>
  </si>
  <si>
    <t>1.12</t>
  </si>
  <si>
    <t>86.82</t>
  </si>
  <si>
    <t>3.25</t>
  </si>
  <si>
    <t>1.22</t>
  </si>
  <si>
    <t>5.15</t>
  </si>
  <si>
    <t>96.75</t>
  </si>
  <si>
    <t>87.47</t>
  </si>
  <si>
    <t>97.04</t>
  </si>
  <si>
    <t>1.38</t>
  </si>
  <si>
    <t>1.23</t>
  </si>
  <si>
    <t>0.19</t>
  </si>
  <si>
    <t>99.00</t>
  </si>
  <si>
    <t>95.59</t>
  </si>
  <si>
    <t>0.13</t>
  </si>
  <si>
    <t>1.03</t>
  </si>
  <si>
    <t>1.16</t>
  </si>
  <si>
    <t>0.36</t>
  </si>
  <si>
    <t>4.72</t>
  </si>
  <si>
    <t>3.00</t>
  </si>
  <si>
    <t>0.70</t>
  </si>
  <si>
    <t>1.65</t>
  </si>
  <si>
    <t>0.44</t>
  </si>
  <si>
    <t>0.25</t>
  </si>
  <si>
    <t>1.58</t>
  </si>
  <si>
    <t>2.19</t>
  </si>
  <si>
    <t>3.19</t>
  </si>
  <si>
    <t>90.20</t>
  </si>
  <si>
    <t>90.22</t>
  </si>
  <si>
    <t>0.41</t>
  </si>
  <si>
    <t>3.66</t>
  </si>
  <si>
    <t>1.14</t>
  </si>
  <si>
    <t>89.60</t>
  </si>
  <si>
    <t>2.58</t>
  </si>
  <si>
    <t>2.76</t>
  </si>
  <si>
    <t>2.93</t>
  </si>
  <si>
    <t>87.80</t>
  </si>
  <si>
    <t>1.77</t>
  </si>
  <si>
    <t>0.86</t>
  </si>
  <si>
    <t>2.44</t>
  </si>
  <si>
    <t>2.83</t>
  </si>
  <si>
    <t>0.94</t>
  </si>
  <si>
    <t>2.50</t>
  </si>
  <si>
    <t>2.74</t>
  </si>
  <si>
    <t>4.06</t>
  </si>
  <si>
    <t>1.20</t>
  </si>
  <si>
    <t>19.82</t>
  </si>
  <si>
    <t>2.62</t>
  </si>
  <si>
    <t>88.05</t>
  </si>
  <si>
    <t>90.95</t>
  </si>
  <si>
    <t>1.79</t>
  </si>
  <si>
    <t>0.88</t>
  </si>
  <si>
    <t>90.70</t>
  </si>
  <si>
    <t>2.22</t>
  </si>
  <si>
    <t>1.21</t>
  </si>
  <si>
    <t>90.76</t>
  </si>
  <si>
    <t>90.36</t>
  </si>
  <si>
    <t>17.31</t>
  </si>
  <si>
    <t>83.87</t>
  </si>
  <si>
    <t>19.61</t>
  </si>
  <si>
    <t>19.74</t>
  </si>
  <si>
    <t>6.96</t>
  </si>
  <si>
    <t>7.36</t>
  </si>
  <si>
    <t>6.98</t>
  </si>
  <si>
    <t>6.13</t>
  </si>
  <si>
    <t>3.86</t>
  </si>
  <si>
    <t>75.38</t>
  </si>
  <si>
    <t>20.46</t>
  </si>
  <si>
    <t>79.67</t>
  </si>
  <si>
    <t>3.45</t>
  </si>
  <si>
    <t>19.73</t>
  </si>
  <si>
    <t>87.28</t>
  </si>
  <si>
    <t>3.91</t>
  </si>
  <si>
    <t>0.12</t>
  </si>
  <si>
    <t>16.40</t>
  </si>
  <si>
    <t>1.70</t>
  </si>
  <si>
    <t>89.37</t>
  </si>
  <si>
    <t>10.24</t>
  </si>
  <si>
    <t>90.15</t>
  </si>
  <si>
    <t>1.54</t>
  </si>
  <si>
    <t>88.41</t>
  </si>
  <si>
    <t>0.18</t>
  </si>
  <si>
    <t>2.85</t>
  </si>
  <si>
    <t>0.50</t>
  </si>
  <si>
    <t>89.06</t>
  </si>
  <si>
    <t>1.85</t>
  </si>
  <si>
    <t>89.18</t>
  </si>
  <si>
    <t>87.49</t>
  </si>
  <si>
    <t>96.60</t>
  </si>
  <si>
    <t>2.28</t>
  </si>
  <si>
    <t>0.63</t>
  </si>
  <si>
    <t>7.13</t>
  </si>
  <si>
    <t>81.25</t>
  </si>
  <si>
    <t>90.58</t>
  </si>
  <si>
    <t>2.86</t>
  </si>
  <si>
    <t>3.51</t>
  </si>
  <si>
    <t>0.95</t>
  </si>
  <si>
    <t>3.83</t>
  </si>
  <si>
    <t>82.81</t>
  </si>
  <si>
    <t>7.47</t>
  </si>
  <si>
    <t>83.66</t>
  </si>
  <si>
    <t>20.59</t>
  </si>
  <si>
    <t>3.32</t>
  </si>
  <si>
    <t>2.57</t>
  </si>
  <si>
    <t>0.72</t>
  </si>
  <si>
    <t>16.82</t>
  </si>
  <si>
    <t>4.80</t>
  </si>
  <si>
    <t>1.68</t>
  </si>
  <si>
    <t>92.98</t>
  </si>
  <si>
    <t>0.14</t>
  </si>
  <si>
    <t>14.50</t>
  </si>
  <si>
    <t>96.22</t>
  </si>
  <si>
    <t>19.30</t>
  </si>
  <si>
    <t>91.96</t>
  </si>
  <si>
    <t>3.29</t>
  </si>
  <si>
    <t>11.95</t>
  </si>
  <si>
    <t>6.72</t>
  </si>
  <si>
    <t>19.31</t>
  </si>
  <si>
    <t>15.41</t>
  </si>
  <si>
    <t>20.20</t>
  </si>
  <si>
    <t>1.51</t>
  </si>
  <si>
    <t>20.60</t>
  </si>
  <si>
    <t>90.39</t>
  </si>
  <si>
    <t>96.45</t>
  </si>
  <si>
    <t>0.56</t>
  </si>
  <si>
    <t>95.41</t>
  </si>
  <si>
    <t>96.16</t>
  </si>
  <si>
    <t>14.22</t>
  </si>
  <si>
    <t>20.04</t>
  </si>
  <si>
    <t>95.16</t>
  </si>
  <si>
    <t>98.82</t>
  </si>
  <si>
    <t>14.23</t>
  </si>
  <si>
    <t>96.67</t>
  </si>
  <si>
    <t>33.33</t>
  </si>
  <si>
    <t>11.37</t>
  </si>
  <si>
    <t>7.48</t>
  </si>
  <si>
    <t>41.89</t>
  </si>
  <si>
    <t>3.93</t>
  </si>
  <si>
    <t>2.90</t>
  </si>
  <si>
    <t>1.66</t>
  </si>
  <si>
    <t>04-OCT-24 --</t>
  </si>
  <si>
    <t>A a 03-O</t>
  </si>
  <si>
    <t>19.07</t>
  </si>
  <si>
    <t>97.09</t>
  </si>
  <si>
    <t>92.34</t>
  </si>
  <si>
    <t>20.30</t>
  </si>
  <si>
    <t>96.33</t>
  </si>
  <si>
    <t>14.79</t>
  </si>
  <si>
    <t>7.00</t>
  </si>
  <si>
    <t>70.83</t>
  </si>
  <si>
    <t>87.02</t>
  </si>
  <si>
    <t>35.09</t>
  </si>
  <si>
    <t>3.60</t>
  </si>
  <si>
    <t>83.58</t>
  </si>
  <si>
    <t>23.86</t>
  </si>
  <si>
    <t>99.43</t>
  </si>
  <si>
    <t>18.57</t>
  </si>
  <si>
    <t>5.38</t>
  </si>
  <si>
    <t>77.36</t>
  </si>
  <si>
    <t>8.71</t>
  </si>
  <si>
    <t>9.28</t>
  </si>
  <si>
    <t>60.25</t>
  </si>
  <si>
    <t>20.39</t>
  </si>
  <si>
    <t>89.25</t>
  </si>
  <si>
    <t>98.62</t>
  </si>
  <si>
    <t>71.04</t>
  </si>
  <si>
    <t>14.17</t>
  </si>
  <si>
    <t>5.22</t>
  </si>
  <si>
    <t>1.97</t>
  </si>
  <si>
    <t>2.51</t>
  </si>
  <si>
    <t>89.28</t>
  </si>
  <si>
    <t>99.74</t>
  </si>
  <si>
    <t>66.48</t>
  </si>
  <si>
    <t>40.97</t>
  </si>
  <si>
    <t>34.55</t>
  </si>
  <si>
    <t>5.21</t>
  </si>
  <si>
    <t>33.28</t>
  </si>
  <si>
    <t>59.70</t>
  </si>
  <si>
    <t>62.31</t>
  </si>
  <si>
    <t>66.08</t>
  </si>
  <si>
    <t>55.03</t>
  </si>
  <si>
    <t>5.35</t>
  </si>
  <si>
    <t>7.01</t>
  </si>
  <si>
    <t>70.79</t>
  </si>
  <si>
    <t>66.91</t>
  </si>
  <si>
    <t>18.31</t>
  </si>
  <si>
    <t>5.69</t>
  </si>
  <si>
    <t>76.29</t>
  </si>
  <si>
    <t>12.00</t>
  </si>
  <si>
    <t>10.58</t>
  </si>
  <si>
    <t>41.68</t>
  </si>
  <si>
    <t>5.97</t>
  </si>
  <si>
    <t>32.43</t>
  </si>
  <si>
    <t>55.20</t>
  </si>
  <si>
    <t>78.65</t>
  </si>
  <si>
    <t>10.60</t>
  </si>
  <si>
    <t>13.40</t>
  </si>
  <si>
    <t>44.18</t>
  </si>
  <si>
    <t>8.60</t>
  </si>
  <si>
    <t>4.16</t>
  </si>
  <si>
    <t>7.18</t>
  </si>
  <si>
    <t>88.25</t>
  </si>
  <si>
    <t>46.47</t>
  </si>
  <si>
    <t>59.95</t>
  </si>
  <si>
    <t>14.35</t>
  </si>
  <si>
    <t>1.96</t>
  </si>
  <si>
    <t>0.04</t>
  </si>
  <si>
    <t>97.11</t>
  </si>
  <si>
    <t>61.71</t>
  </si>
  <si>
    <t>80.47</t>
  </si>
  <si>
    <t>10.14</t>
  </si>
  <si>
    <t>4.73</t>
  </si>
  <si>
    <t>3.85</t>
  </si>
  <si>
    <t>3.63</t>
  </si>
  <si>
    <t>84.89</t>
  </si>
  <si>
    <t>68.68</t>
  </si>
  <si>
    <t>41.66</t>
  </si>
  <si>
    <t>3.54</t>
  </si>
  <si>
    <t>4.17</t>
  </si>
  <si>
    <t>76.45</t>
  </si>
  <si>
    <t>77.47</t>
  </si>
  <si>
    <t>69.22</t>
  </si>
  <si>
    <t>59.97</t>
  </si>
  <si>
    <t>13.17</t>
  </si>
  <si>
    <t>2.88</t>
  </si>
  <si>
    <t>5.67</t>
  </si>
  <si>
    <t>74.03</t>
  </si>
  <si>
    <t>76.34</t>
  </si>
  <si>
    <t>60.79</t>
  </si>
  <si>
    <t>58.21</t>
  </si>
  <si>
    <t>14.28</t>
  </si>
  <si>
    <t>6.28</t>
  </si>
  <si>
    <t>22.21</t>
  </si>
  <si>
    <t>8.36</t>
  </si>
  <si>
    <t>6.36</t>
  </si>
  <si>
    <t>84.15</t>
  </si>
  <si>
    <t>84.35</t>
  </si>
  <si>
    <t>63.86</t>
  </si>
  <si>
    <t>60.74</t>
  </si>
  <si>
    <t>17.52</t>
  </si>
  <si>
    <t>96.02</t>
  </si>
  <si>
    <t>80.81</t>
  </si>
  <si>
    <t>90.42</t>
  </si>
  <si>
    <t>19.86</t>
  </si>
  <si>
    <t>97.44</t>
  </si>
  <si>
    <t>87.75</t>
  </si>
  <si>
    <t>91.05</t>
  </si>
  <si>
    <t>11.05</t>
  </si>
  <si>
    <t>4.20</t>
  </si>
  <si>
    <t>5.36</t>
  </si>
  <si>
    <t>75.88</t>
  </si>
  <si>
    <t>63.93</t>
  </si>
  <si>
    <t>91.43</t>
  </si>
  <si>
    <t>18.30</t>
  </si>
  <si>
    <t>88.53</t>
  </si>
  <si>
    <t>89.63</t>
  </si>
  <si>
    <t>93.09</t>
  </si>
  <si>
    <t>87.15</t>
  </si>
  <si>
    <t>90.91</t>
  </si>
  <si>
    <t>17.08</t>
  </si>
  <si>
    <t>1.08</t>
  </si>
  <si>
    <t>1.83</t>
  </si>
  <si>
    <t>84.87</t>
  </si>
  <si>
    <t>89.62</t>
  </si>
  <si>
    <t>89.73</t>
  </si>
  <si>
    <t>89.04</t>
  </si>
  <si>
    <t>18.58</t>
  </si>
  <si>
    <t>2.54</t>
  </si>
  <si>
    <t>99.79</t>
  </si>
  <si>
    <t>82.01</t>
  </si>
  <si>
    <t>87.55</t>
  </si>
  <si>
    <t>20.81</t>
  </si>
  <si>
    <t>89.15</t>
  </si>
  <si>
    <t>88.29</t>
  </si>
  <si>
    <t>1.46</t>
  </si>
  <si>
    <t>91.56</t>
  </si>
  <si>
    <t>3.56</t>
  </si>
  <si>
    <t>20.44</t>
  </si>
  <si>
    <t>14.85</t>
  </si>
  <si>
    <t>2.42</t>
  </si>
  <si>
    <t>0.02</t>
  </si>
  <si>
    <t>89.84</t>
  </si>
  <si>
    <t>91.93</t>
  </si>
  <si>
    <t>19.32</t>
  </si>
  <si>
    <t>89.01</t>
  </si>
  <si>
    <t>84.81</t>
  </si>
  <si>
    <t>17.41</t>
  </si>
  <si>
    <t>2.40</t>
  </si>
  <si>
    <t>93.39</t>
  </si>
  <si>
    <t>79.57</t>
  </si>
  <si>
    <t>92.30</t>
  </si>
  <si>
    <t>20.48</t>
  </si>
  <si>
    <t>98.41</t>
  </si>
  <si>
    <t>89.55</t>
  </si>
  <si>
    <t>92.32</t>
  </si>
  <si>
    <t>88.47</t>
  </si>
  <si>
    <t>18.50</t>
  </si>
  <si>
    <t>2.17</t>
  </si>
  <si>
    <t>93.36</t>
  </si>
  <si>
    <t>87.13</t>
  </si>
  <si>
    <t>86.94</t>
  </si>
  <si>
    <t>15.39</t>
  </si>
  <si>
    <t>1.71</t>
  </si>
  <si>
    <t>4.31</t>
  </si>
  <si>
    <t>82.04</t>
  </si>
  <si>
    <t>84.07</t>
  </si>
  <si>
    <t>89.24</t>
  </si>
  <si>
    <t>0.28</t>
  </si>
  <si>
    <t>21.77</t>
  </si>
  <si>
    <t>9.30</t>
  </si>
  <si>
    <t>82.93</t>
  </si>
  <si>
    <t>52.45</t>
  </si>
  <si>
    <t>19.56</t>
  </si>
  <si>
    <t>2.80</t>
  </si>
  <si>
    <t>0.39</t>
  </si>
  <si>
    <t>86.73</t>
  </si>
  <si>
    <t>15.60</t>
  </si>
  <si>
    <t>3.74</t>
  </si>
  <si>
    <t>84.42</t>
  </si>
  <si>
    <t>82.97</t>
  </si>
  <si>
    <t>84.65</t>
  </si>
  <si>
    <t>9.78</t>
  </si>
  <si>
    <t>10.26</t>
  </si>
  <si>
    <t>57.25</t>
  </si>
  <si>
    <t>86.23</t>
  </si>
  <si>
    <t>77.80</t>
  </si>
  <si>
    <t>20.67</t>
  </si>
  <si>
    <t>88.97</t>
  </si>
  <si>
    <t>92.45</t>
  </si>
  <si>
    <t>18.40</t>
  </si>
  <si>
    <t>2.79</t>
  </si>
  <si>
    <t>99.58</t>
  </si>
  <si>
    <t>83.17</t>
  </si>
  <si>
    <t>88.88</t>
  </si>
  <si>
    <t>21.32</t>
  </si>
  <si>
    <t>92.86</t>
  </si>
  <si>
    <t>91.36</t>
  </si>
  <si>
    <t>20.79</t>
  </si>
  <si>
    <t>88.77</t>
  </si>
  <si>
    <t>93.90</t>
  </si>
  <si>
    <t>19.88</t>
  </si>
  <si>
    <t>1.62</t>
  </si>
  <si>
    <t>89.59</t>
  </si>
  <si>
    <t>7.76</t>
  </si>
  <si>
    <t>0.78</t>
  </si>
  <si>
    <t>5.34</t>
  </si>
  <si>
    <t>9.36</t>
  </si>
  <si>
    <t>59.05</t>
  </si>
  <si>
    <t>60.24</t>
  </si>
  <si>
    <t>90.28</t>
  </si>
  <si>
    <t>19.79</t>
  </si>
  <si>
    <t>1.55</t>
  </si>
  <si>
    <t>87.34</t>
  </si>
  <si>
    <t>15.02</t>
  </si>
  <si>
    <t>63.33</t>
  </si>
  <si>
    <t>73.60</t>
  </si>
  <si>
    <t>89.27</t>
  </si>
  <si>
    <t>19.65</t>
  </si>
  <si>
    <t>98.37</t>
  </si>
  <si>
    <t>86.54</t>
  </si>
  <si>
    <t>91.67</t>
  </si>
  <si>
    <t>20.51</t>
  </si>
  <si>
    <t>91.14</t>
  </si>
  <si>
    <t>86.57</t>
  </si>
  <si>
    <t>19.77</t>
  </si>
  <si>
    <t>2.02</t>
  </si>
  <si>
    <t>90.77</t>
  </si>
  <si>
    <t>88.78</t>
  </si>
  <si>
    <t>20.24</t>
  </si>
  <si>
    <t>99.02</t>
  </si>
  <si>
    <t>87.66</t>
  </si>
  <si>
    <t>86.46</t>
  </si>
  <si>
    <t>8.38</t>
  </si>
  <si>
    <t>10.61</t>
  </si>
  <si>
    <t>47.92</t>
  </si>
  <si>
    <t>76.04</t>
  </si>
  <si>
    <t>91.09</t>
  </si>
  <si>
    <t>18.16</t>
  </si>
  <si>
    <t>2.61</t>
  </si>
  <si>
    <t>96.09</t>
  </si>
  <si>
    <t>88.20</t>
  </si>
  <si>
    <t>2.70</t>
  </si>
  <si>
    <t>91.88</t>
  </si>
  <si>
    <t>80.15</t>
  </si>
  <si>
    <t>19.43</t>
  </si>
  <si>
    <t>1.75</t>
  </si>
  <si>
    <t>99.16</t>
  </si>
  <si>
    <t>89.00</t>
  </si>
  <si>
    <t>0.68</t>
  </si>
  <si>
    <t>87.30</t>
  </si>
  <si>
    <t>86.02</t>
  </si>
  <si>
    <t>10.45</t>
  </si>
  <si>
    <t>6.71</t>
  </si>
  <si>
    <t>4.14</t>
  </si>
  <si>
    <t>56.00</t>
  </si>
  <si>
    <t>92.55</t>
  </si>
  <si>
    <t>19.92</t>
  </si>
  <si>
    <t>1.91</t>
  </si>
  <si>
    <t>86.34</t>
  </si>
  <si>
    <t>4.67</t>
  </si>
  <si>
    <t>16.92</t>
  </si>
  <si>
    <t>29.52</t>
  </si>
  <si>
    <t>65.85</t>
  </si>
  <si>
    <t>93.60</t>
  </si>
  <si>
    <t>19.09</t>
  </si>
  <si>
    <t>3.68</t>
  </si>
  <si>
    <t>93.99</t>
  </si>
  <si>
    <t>16.86</t>
  </si>
  <si>
    <t>78.71</t>
  </si>
  <si>
    <t>17.38</t>
  </si>
  <si>
    <t>1.78</t>
  </si>
  <si>
    <t>86.44</t>
  </si>
  <si>
    <t>85.78</t>
  </si>
  <si>
    <t>91.31</t>
  </si>
  <si>
    <t>89.70</t>
  </si>
  <si>
    <t>1.95</t>
  </si>
  <si>
    <t>88.23</t>
  </si>
  <si>
    <t>85.62</t>
  </si>
  <si>
    <t>20.38</t>
  </si>
  <si>
    <t>88.24</t>
  </si>
  <si>
    <t>91.83</t>
  </si>
  <si>
    <t>8.33</t>
  </si>
  <si>
    <t>4.22</t>
  </si>
  <si>
    <t>9.97</t>
  </si>
  <si>
    <t>58.47</t>
  </si>
  <si>
    <t>60.22</t>
  </si>
  <si>
    <t>95.18</t>
  </si>
  <si>
    <t>22.86</t>
  </si>
  <si>
    <t>95.23</t>
  </si>
  <si>
    <t>95.24</t>
  </si>
  <si>
    <t>22.87</t>
  </si>
  <si>
    <t>95.27</t>
  </si>
  <si>
    <t>95.28</t>
  </si>
  <si>
    <t>3.50</t>
  </si>
  <si>
    <t>7.58</t>
  </si>
  <si>
    <t>42.31</t>
  </si>
  <si>
    <t>31.21</t>
  </si>
  <si>
    <t>85.86</t>
  </si>
  <si>
    <t>7.42</t>
  </si>
  <si>
    <t>5.42</t>
  </si>
  <si>
    <t>3.92</t>
  </si>
  <si>
    <t>61.06</t>
  </si>
  <si>
    <t>58.83</t>
  </si>
  <si>
    <t>82.02</t>
  </si>
  <si>
    <t>4.79</t>
  </si>
  <si>
    <t>13.96</t>
  </si>
  <si>
    <t>1.82</t>
  </si>
  <si>
    <t>79.06</t>
  </si>
  <si>
    <t>26.44</t>
  </si>
  <si>
    <t>86.88</t>
  </si>
  <si>
    <t>17.77</t>
  </si>
  <si>
    <t>3.28</t>
  </si>
  <si>
    <t>1.60</t>
  </si>
  <si>
    <t>80.70</t>
  </si>
  <si>
    <t>89.93</t>
  </si>
  <si>
    <t>11.66</t>
  </si>
  <si>
    <t>2.15</t>
  </si>
  <si>
    <t>7.14</t>
  </si>
  <si>
    <t>70.25</t>
  </si>
  <si>
    <t>74.68</t>
  </si>
  <si>
    <t>88.01</t>
  </si>
  <si>
    <t>15.53</t>
  </si>
  <si>
    <t>4.78</t>
  </si>
  <si>
    <t>70.40</t>
  </si>
  <si>
    <t>81.18</t>
  </si>
  <si>
    <t>19.50</t>
  </si>
  <si>
    <t>95.34</t>
  </si>
  <si>
    <t>89.75</t>
  </si>
  <si>
    <t>84.84</t>
  </si>
  <si>
    <t>19.71</t>
  </si>
  <si>
    <t>88.51</t>
  </si>
  <si>
    <t>84.43</t>
  </si>
  <si>
    <t>15.90</t>
  </si>
  <si>
    <t>5.32</t>
  </si>
  <si>
    <t>69.92</t>
  </si>
  <si>
    <t>92.22</t>
  </si>
  <si>
    <t>20.22</t>
  </si>
  <si>
    <t>2.72</t>
  </si>
  <si>
    <t>89.74</t>
  </si>
  <si>
    <t>18.51</t>
  </si>
  <si>
    <t>95.51</t>
  </si>
  <si>
    <t>88.14</t>
  </si>
  <si>
    <t>83.25</t>
  </si>
  <si>
    <t>11.07</t>
  </si>
  <si>
    <t>6.32</t>
  </si>
  <si>
    <t>4.82</t>
  </si>
  <si>
    <t>79.92</t>
  </si>
  <si>
    <t>60.77</t>
  </si>
  <si>
    <t>89.54</t>
  </si>
  <si>
    <t>16.43</t>
  </si>
  <si>
    <t>3.36</t>
  </si>
  <si>
    <t>74.39</t>
  </si>
  <si>
    <t>83.86</t>
  </si>
  <si>
    <t>3.79</t>
  </si>
  <si>
    <t>51.66</t>
  </si>
  <si>
    <t>61.53</t>
  </si>
  <si>
    <t>95.61</t>
  </si>
  <si>
    <t>18.29</t>
  </si>
  <si>
    <t>95.95</t>
  </si>
  <si>
    <t>86.27</t>
  </si>
  <si>
    <t>86.89</t>
  </si>
  <si>
    <t>20.43</t>
  </si>
  <si>
    <t>90.53</t>
  </si>
  <si>
    <t>86.86</t>
  </si>
  <si>
    <t>87.71</t>
  </si>
  <si>
    <t>91.27</t>
  </si>
  <si>
    <t>88.90</t>
  </si>
  <si>
    <t>88.48</t>
  </si>
  <si>
    <t>87.35</t>
  </si>
  <si>
    <t>2.49</t>
  </si>
  <si>
    <t>87.96</t>
  </si>
  <si>
    <t>89.02</t>
  </si>
  <si>
    <t>9.00</t>
  </si>
  <si>
    <t>9.52</t>
  </si>
  <si>
    <t>49.66</t>
  </si>
  <si>
    <t>60.35</t>
  </si>
  <si>
    <t>78.72</t>
  </si>
  <si>
    <t>19.39</t>
  </si>
  <si>
    <t>87.52</t>
  </si>
  <si>
    <t>87.97</t>
  </si>
  <si>
    <t>13.34</t>
  </si>
  <si>
    <t>7.74</t>
  </si>
  <si>
    <t>67.75</t>
  </si>
  <si>
    <t>85.71</t>
  </si>
  <si>
    <t>5.28</t>
  </si>
  <si>
    <t>6.79</t>
  </si>
  <si>
    <t>71.69</t>
  </si>
  <si>
    <t>63.43</t>
  </si>
  <si>
    <t>86.28</t>
  </si>
  <si>
    <t>2.31</t>
  </si>
  <si>
    <t>4.53</t>
  </si>
  <si>
    <t>70.04</t>
  </si>
  <si>
    <t>80.07</t>
  </si>
  <si>
    <t>31.65</t>
  </si>
  <si>
    <t>85.73</t>
  </si>
  <si>
    <t>84.45</t>
  </si>
  <si>
    <t>17.82</t>
  </si>
  <si>
    <t>96.17</t>
  </si>
  <si>
    <t>84.49</t>
  </si>
  <si>
    <t>86.25</t>
  </si>
  <si>
    <t>86.10</t>
  </si>
  <si>
    <t>13.22</t>
  </si>
  <si>
    <t>3.21</t>
  </si>
  <si>
    <t>2.96</t>
  </si>
  <si>
    <t>74.29</t>
  </si>
  <si>
    <t>77.04</t>
  </si>
  <si>
    <t>92.01</t>
  </si>
  <si>
    <t>15.77</t>
  </si>
  <si>
    <t>84.98</t>
  </si>
  <si>
    <t>82.79</t>
  </si>
  <si>
    <t>88.82</t>
  </si>
  <si>
    <t>7.50</t>
  </si>
  <si>
    <t>0.48</t>
  </si>
  <si>
    <t>3.64</t>
  </si>
  <si>
    <t>8.04</t>
  </si>
  <si>
    <t>58.32</t>
  </si>
  <si>
    <t>56.99</t>
  </si>
  <si>
    <t>15.98</t>
  </si>
  <si>
    <t>3.84</t>
  </si>
  <si>
    <t>84.01</t>
  </si>
  <si>
    <t>4.54</t>
  </si>
  <si>
    <t>6.21</t>
  </si>
  <si>
    <t>7.20</t>
  </si>
  <si>
    <t>44.12</t>
  </si>
  <si>
    <t>47.35</t>
  </si>
  <si>
    <t>88.52</t>
  </si>
  <si>
    <t>2.95</t>
  </si>
  <si>
    <t>1.26</t>
  </si>
  <si>
    <t>87.92</t>
  </si>
  <si>
    <t>9.49</t>
  </si>
  <si>
    <t>1.63</t>
  </si>
  <si>
    <t>7.57</t>
  </si>
  <si>
    <t>52.82</t>
  </si>
  <si>
    <t>57.91</t>
  </si>
  <si>
    <t>79.36</t>
  </si>
  <si>
    <t>88.56</t>
  </si>
  <si>
    <t>1528.68</t>
  </si>
  <si>
    <t>183.57</t>
  </si>
  <si>
    <t>137.65</t>
  </si>
  <si>
    <t>149.98</t>
  </si>
  <si>
    <t>86.31</t>
  </si>
  <si>
    <t>10.99</t>
  </si>
  <si>
    <t>11.03</t>
  </si>
  <si>
    <t>202.73</t>
  </si>
  <si>
    <t>80.79</t>
  </si>
  <si>
    <t>83.43</t>
  </si>
  <si>
    <t>5.93</t>
  </si>
  <si>
    <t>18.04</t>
  </si>
  <si>
    <t>24.71</t>
  </si>
  <si>
    <t>13.24</t>
  </si>
  <si>
    <t>29.69</t>
  </si>
  <si>
    <t>37.05</t>
  </si>
  <si>
    <t>55.28</t>
  </si>
  <si>
    <t>38.60</t>
  </si>
  <si>
    <t>14.25</t>
  </si>
  <si>
    <t>90.47</t>
  </si>
  <si>
    <t>34.39</t>
  </si>
  <si>
    <t>31.47</t>
  </si>
  <si>
    <t>110.25</t>
  </si>
  <si>
    <t>22.20</t>
  </si>
  <si>
    <t>9.01</t>
  </si>
  <si>
    <t>3.77</t>
  </si>
  <si>
    <t>2.55</t>
  </si>
  <si>
    <t>7.30</t>
  </si>
  <si>
    <t>94.27</t>
  </si>
  <si>
    <t>51.09</t>
  </si>
  <si>
    <t>77.97</t>
  </si>
  <si>
    <t>6.03</t>
  </si>
  <si>
    <t>11.45</t>
  </si>
  <si>
    <t>52.31</t>
  </si>
  <si>
    <t>67.47</t>
  </si>
  <si>
    <t>71.13</t>
  </si>
  <si>
    <t>4.69</t>
  </si>
  <si>
    <t>16.58</t>
  </si>
  <si>
    <t>20.75</t>
  </si>
  <si>
    <t>94.11</t>
  </si>
  <si>
    <t>22.35</t>
  </si>
  <si>
    <t>5.29</t>
  </si>
  <si>
    <t>11.82</t>
  </si>
  <si>
    <t>12.82</t>
  </si>
  <si>
    <t>61.65</t>
  </si>
  <si>
    <t>42.26</t>
  </si>
  <si>
    <t>78.87</t>
  </si>
  <si>
    <t>12.76</t>
  </si>
  <si>
    <t>6.75</t>
  </si>
  <si>
    <t>4.29</t>
  </si>
  <si>
    <t>82.13</t>
  </si>
  <si>
    <t>65.76</t>
  </si>
  <si>
    <t>98.48</t>
  </si>
  <si>
    <t>6.99</t>
  </si>
  <si>
    <t>6.69</t>
  </si>
  <si>
    <t>4.98</t>
  </si>
  <si>
    <t>57.00</t>
  </si>
  <si>
    <t>51.07</t>
  </si>
  <si>
    <t>22.71</t>
  </si>
  <si>
    <t>95.09</t>
  </si>
  <si>
    <t>99.51</t>
  </si>
  <si>
    <t>23.06</t>
  </si>
  <si>
    <t>96.94</t>
  </si>
  <si>
    <t>99.12</t>
  </si>
  <si>
    <t>113.52</t>
  </si>
  <si>
    <t>13.44</t>
  </si>
  <si>
    <t>9.27</t>
  </si>
  <si>
    <t>89.85</t>
  </si>
  <si>
    <t>99.55</t>
  </si>
  <si>
    <t>22.08</t>
  </si>
  <si>
    <t>91.99</t>
  </si>
  <si>
    <t>23.17</t>
  </si>
  <si>
    <t>96.98</t>
  </si>
  <si>
    <t>8.91</t>
  </si>
  <si>
    <t>7.17</t>
  </si>
  <si>
    <t>4.00</t>
  </si>
  <si>
    <t>83.32</t>
  </si>
  <si>
    <t>44.58</t>
  </si>
  <si>
    <t>20.96</t>
  </si>
  <si>
    <t>98.78</t>
  </si>
  <si>
    <t>18.80</t>
  </si>
  <si>
    <t>79.27</t>
  </si>
  <si>
    <t>98.83</t>
  </si>
  <si>
    <t>12.02</t>
  </si>
  <si>
    <t>11.98</t>
  </si>
  <si>
    <t>50.07</t>
  </si>
  <si>
    <t>19.75</t>
  </si>
  <si>
    <t>23.08</t>
  </si>
  <si>
    <t>148.77</t>
  </si>
  <si>
    <t>10.98</t>
  </si>
  <si>
    <t>3.08</t>
  </si>
  <si>
    <t>70.33</t>
  </si>
  <si>
    <t>6.85</t>
  </si>
  <si>
    <t>97.15</t>
  </si>
  <si>
    <t>65.13</t>
  </si>
  <si>
    <t>97.97</t>
  </si>
  <si>
    <t>10.13</t>
  </si>
  <si>
    <t>4.09</t>
  </si>
  <si>
    <t>59.25</t>
  </si>
  <si>
    <t>71.23</t>
  </si>
  <si>
    <t>23.10</t>
  </si>
  <si>
    <t>96.53</t>
  </si>
  <si>
    <t>99.70</t>
  </si>
  <si>
    <t>22.14</t>
  </si>
  <si>
    <t>92.90</t>
  </si>
  <si>
    <t>99.28</t>
  </si>
  <si>
    <t>21.87</t>
  </si>
  <si>
    <t>22.33</t>
  </si>
  <si>
    <t>96.61</t>
  </si>
  <si>
    <t>96.84</t>
  </si>
  <si>
    <t>99.47</t>
  </si>
  <si>
    <t>23.19</t>
  </si>
  <si>
    <t>97.32</t>
  </si>
  <si>
    <t>99.30</t>
  </si>
  <si>
    <t>15.01</t>
  </si>
  <si>
    <t>8.99</t>
  </si>
  <si>
    <t>21.22</t>
  </si>
  <si>
    <t>88.43</t>
  </si>
  <si>
    <t>143.99</t>
  </si>
  <si>
    <t>8.54</t>
  </si>
  <si>
    <t>4.37</t>
  </si>
  <si>
    <t>25.60</t>
  </si>
  <si>
    <t>32.99</t>
  </si>
  <si>
    <t>72.87</t>
  </si>
  <si>
    <t>91.80</t>
  </si>
  <si>
    <t>99.64</t>
  </si>
  <si>
    <t>21.28</t>
  </si>
  <si>
    <t>16.01</t>
  </si>
  <si>
    <t>7.22</t>
  </si>
  <si>
    <t>69.94</t>
  </si>
  <si>
    <t>12.95</t>
  </si>
  <si>
    <t>7.94</t>
  </si>
  <si>
    <t>92.52</t>
  </si>
  <si>
    <t>21.19</t>
  </si>
  <si>
    <t>21.14</t>
  </si>
  <si>
    <t>88.08</t>
  </si>
  <si>
    <t>22.49</t>
  </si>
  <si>
    <t>95.86</t>
  </si>
  <si>
    <t>97.77</t>
  </si>
  <si>
    <t>93.79</t>
  </si>
  <si>
    <t>3.78</t>
  </si>
  <si>
    <t>6.43</t>
  </si>
  <si>
    <t>31.94</t>
  </si>
  <si>
    <t>72.81</t>
  </si>
  <si>
    <t>93.59</t>
  </si>
  <si>
    <t>17.13</t>
  </si>
  <si>
    <t>96.58</t>
  </si>
  <si>
    <t>79.03</t>
  </si>
  <si>
    <t>93.52</t>
  </si>
  <si>
    <t>10.28</t>
  </si>
  <si>
    <t>96.91</t>
  </si>
  <si>
    <t>55.97</t>
  </si>
  <si>
    <t>78.92</t>
  </si>
  <si>
    <t>27.41</t>
  </si>
  <si>
    <t>12.59</t>
  </si>
  <si>
    <t>67.48</t>
  </si>
  <si>
    <t>87.46</t>
  </si>
  <si>
    <t>7.67</t>
  </si>
  <si>
    <t>4.85</t>
  </si>
  <si>
    <t>57.97</t>
  </si>
  <si>
    <t>60.48</t>
  </si>
  <si>
    <t>58.11</t>
  </si>
  <si>
    <t>94.85</t>
  </si>
  <si>
    <t>12.70</t>
  </si>
  <si>
    <t>6.95</t>
  </si>
  <si>
    <t>71.05</t>
  </si>
  <si>
    <t>95.50</t>
  </si>
  <si>
    <t>10.15</t>
  </si>
  <si>
    <t>3.44</t>
  </si>
  <si>
    <t>62.86</t>
  </si>
  <si>
    <t>71.28</t>
  </si>
  <si>
    <t>94.40</t>
  </si>
  <si>
    <t>10.18</t>
  </si>
  <si>
    <t>1.31</t>
  </si>
  <si>
    <t>10.48</t>
  </si>
  <si>
    <t>56.34</t>
  </si>
  <si>
    <t>78.94</t>
  </si>
  <si>
    <t>95.35</t>
  </si>
  <si>
    <t>96.11</t>
  </si>
  <si>
    <t>86.81</t>
  </si>
  <si>
    <t>97.91</t>
  </si>
  <si>
    <t>9.77</t>
  </si>
  <si>
    <t>4.81</t>
  </si>
  <si>
    <t>7.88</t>
  </si>
  <si>
    <t>67.15</t>
  </si>
  <si>
    <t>63.62</t>
  </si>
  <si>
    <t>95.31</t>
  </si>
  <si>
    <t>19.81</t>
  </si>
  <si>
    <t>89.35</t>
  </si>
  <si>
    <t>18.54</t>
  </si>
  <si>
    <t>93.37</t>
  </si>
  <si>
    <t>108.43</t>
  </si>
  <si>
    <t>12.97</t>
  </si>
  <si>
    <t>18.17</t>
  </si>
  <si>
    <t>35.99</t>
  </si>
  <si>
    <t>76.16</t>
  </si>
  <si>
    <t>78.48</t>
  </si>
  <si>
    <t>95.46</t>
  </si>
  <si>
    <t>4.46</t>
  </si>
  <si>
    <t>81.43</t>
  </si>
  <si>
    <t>98.73</t>
  </si>
  <si>
    <t>18.14</t>
  </si>
  <si>
    <t>76.81</t>
  </si>
  <si>
    <t>98.39</t>
  </si>
  <si>
    <t>14.91</t>
  </si>
  <si>
    <t>2.99</t>
  </si>
  <si>
    <t>78.39</t>
  </si>
  <si>
    <t>83.28</t>
  </si>
  <si>
    <t>20.03</t>
  </si>
  <si>
    <t>93.13</t>
  </si>
  <si>
    <t>16.44</t>
  </si>
  <si>
    <t>69.07</t>
  </si>
  <si>
    <t>99.19</t>
  </si>
  <si>
    <t>83.92</t>
  </si>
  <si>
    <t>95.88</t>
  </si>
  <si>
    <t>108.12</t>
  </si>
  <si>
    <t>5.98</t>
  </si>
  <si>
    <t>4.88</t>
  </si>
  <si>
    <t>79.88</t>
  </si>
  <si>
    <t>94.76</t>
  </si>
  <si>
    <t>21.67</t>
  </si>
  <si>
    <t>94.65</t>
  </si>
  <si>
    <t>29.53</t>
  </si>
  <si>
    <t>48.52</t>
  </si>
  <si>
    <t>14.62</t>
  </si>
  <si>
    <t>39.07</t>
  </si>
  <si>
    <t>81.84</t>
  </si>
  <si>
    <t>10.93</t>
  </si>
  <si>
    <t>5.16</t>
  </si>
  <si>
    <t>28.85</t>
  </si>
  <si>
    <t>48.66</t>
  </si>
  <si>
    <t>34.43</t>
  </si>
  <si>
    <t>67.94</t>
  </si>
  <si>
    <t>97.48</t>
  </si>
  <si>
    <t>97.75</t>
  </si>
  <si>
    <t>2.20</t>
  </si>
  <si>
    <t>97.00</t>
  </si>
  <si>
    <t>20.85</t>
  </si>
  <si>
    <t>97.02</t>
  </si>
  <si>
    <t>21.08</t>
  </si>
  <si>
    <t>89.92</t>
  </si>
  <si>
    <t>97.66</t>
  </si>
  <si>
    <t>16.34</t>
  </si>
  <si>
    <t>2.30</t>
  </si>
  <si>
    <t>90.40</t>
  </si>
  <si>
    <t>80.74</t>
  </si>
  <si>
    <t>93.32</t>
  </si>
  <si>
    <t>17.40</t>
  </si>
  <si>
    <t>75.05</t>
  </si>
  <si>
    <t>96.62</t>
  </si>
  <si>
    <t>18.33</t>
  </si>
  <si>
    <t>2.43</t>
  </si>
  <si>
    <t>1.86</t>
  </si>
  <si>
    <t>81.93</t>
  </si>
  <si>
    <t>94.19</t>
  </si>
  <si>
    <t>20.18</t>
  </si>
  <si>
    <t>86.75</t>
  </si>
  <si>
    <t>96.90</t>
  </si>
  <si>
    <t>19.90</t>
  </si>
  <si>
    <t>94.77</t>
  </si>
  <si>
    <t>16.52</t>
  </si>
  <si>
    <t>1.98</t>
  </si>
  <si>
    <t>4.43</t>
  </si>
  <si>
    <t>81.53</t>
  </si>
  <si>
    <t>94.47</t>
  </si>
  <si>
    <t>20.95</t>
  </si>
  <si>
    <t>89.57</t>
  </si>
  <si>
    <t>20.49</t>
  </si>
  <si>
    <t>88.50</t>
  </si>
  <si>
    <t>21.01</t>
  </si>
  <si>
    <t>98.14</t>
  </si>
  <si>
    <t>18.36</t>
  </si>
  <si>
    <t>89.61</t>
  </si>
  <si>
    <t>96.46</t>
  </si>
  <si>
    <t>20.16</t>
  </si>
  <si>
    <t>95.76</t>
  </si>
  <si>
    <t>86.49</t>
  </si>
  <si>
    <t>72.11</t>
  </si>
  <si>
    <t>95.20</t>
  </si>
  <si>
    <t>286.20</t>
  </si>
  <si>
    <t>34.15</t>
  </si>
  <si>
    <t>11.39</t>
  </si>
  <si>
    <t>15.28</t>
  </si>
  <si>
    <t>32.30</t>
  </si>
  <si>
    <t>90.37</t>
  </si>
  <si>
    <t>85.75</t>
  </si>
  <si>
    <t>19.97</t>
  </si>
  <si>
    <t>4.03</t>
  </si>
  <si>
    <t>83.20</t>
  </si>
  <si>
    <t>11.00</t>
  </si>
  <si>
    <t>16.03</t>
  </si>
  <si>
    <t>55.47</t>
  </si>
  <si>
    <t>11.59</t>
  </si>
  <si>
    <t>10.00</t>
  </si>
  <si>
    <t>58.33</t>
  </si>
  <si>
    <t>3.80</t>
  </si>
  <si>
    <t>84.19</t>
  </si>
  <si>
    <t>21.93</t>
  </si>
  <si>
    <t>91.37</t>
  </si>
  <si>
    <t>66.13</t>
  </si>
  <si>
    <t>5.87</t>
  </si>
  <si>
    <t>91.85</t>
  </si>
  <si>
    <t>16.61</t>
  </si>
  <si>
    <t>82.50</t>
  </si>
  <si>
    <t>10.79</t>
  </si>
  <si>
    <t>12.68</t>
  </si>
  <si>
    <t>45.64</t>
  </si>
  <si>
    <t>98.47</t>
  </si>
  <si>
    <t>6.31</t>
  </si>
  <si>
    <t>69.67</t>
  </si>
  <si>
    <t>86.70</t>
  </si>
  <si>
    <t>4.57</t>
  </si>
  <si>
    <t>5.58</t>
  </si>
  <si>
    <t>19.95</t>
  </si>
  <si>
    <t>65.94</t>
  </si>
  <si>
    <t>9.29</t>
  </si>
  <si>
    <t>5.77</t>
  </si>
  <si>
    <t>91.57</t>
  </si>
  <si>
    <t>61.80</t>
  </si>
  <si>
    <t>68.41</t>
  </si>
  <si>
    <t>12.58</t>
  </si>
  <si>
    <t>1.72</t>
  </si>
  <si>
    <t>71.57</t>
  </si>
  <si>
    <t>72.01</t>
  </si>
  <si>
    <t>84.61</t>
  </si>
  <si>
    <t>4.35</t>
  </si>
  <si>
    <t>6.58</t>
  </si>
  <si>
    <t>7.80</t>
  </si>
  <si>
    <t>81.57</t>
  </si>
  <si>
    <t>81.79</t>
  </si>
  <si>
    <t>72.65</t>
  </si>
  <si>
    <t>76.88</t>
  </si>
  <si>
    <t>8.61</t>
  </si>
  <si>
    <t>95.45</t>
  </si>
  <si>
    <t>54.45</t>
  </si>
  <si>
    <t>61.50</t>
  </si>
  <si>
    <t>3.39</t>
  </si>
  <si>
    <t>81.21</t>
  </si>
  <si>
    <t>16.23</t>
  </si>
  <si>
    <t>71.59</t>
  </si>
  <si>
    <t>39.31</t>
  </si>
  <si>
    <t>9.32</t>
  </si>
  <si>
    <t>14.11</t>
  </si>
  <si>
    <t>97.35</t>
  </si>
  <si>
    <t>69.38</t>
  </si>
  <si>
    <t>80.84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</si>
</sst>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280A]mmm\-yyyy"/>
    <numFmt numFmtId="165" formatCode="dd\-mmm"/>
    <numFmt numFmtId="166" formatCode="#0\ &quot;hrs&quot;"/>
    <numFmt numFmtId="167" formatCode="_-* #,##0.00\ &quot;€&quot;_-;\-* #,##0.00\ &quot;€&quot;_-;_-* &quot;-&quot;??\ &quot;€&quot;_-;_-@_-"/>
    <numFmt numFmtId="168" formatCode="#0.0\ &quot;hrs&quot;"/>
  </numFmts>
  <fonts count="1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0"/>
      <name val="Arial Narrow"/>
      <family val="2"/>
    </font>
    <font>
      <b/>
      <sz val="9"/>
      <color indexed="81"/>
      <name val="Tahoma"/>
      <family val="2"/>
    </font>
    <font>
      <sz val="11"/>
      <color rgb="FFFFFFFF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1"/>
      <color rgb="FF001642"/>
      <name val="Aptos Narrow"/>
      <family val="2"/>
      <scheme val="minor"/>
    </font>
    <font>
      <sz val="10"/>
      <name val="Arial"/>
      <family val="2"/>
    </font>
    <font>
      <b/>
      <u/>
      <sz val="15"/>
      <color theme="1"/>
      <name val="Aptos Narrow"/>
      <family val="2"/>
      <scheme val="minor"/>
    </font>
    <font>
      <b/>
      <sz val="10"/>
      <color rgb="FFFFC000"/>
      <name val="Aptos Narrow"/>
      <family val="2"/>
      <scheme val="minor"/>
    </font>
    <font>
      <b/>
      <u/>
      <sz val="16"/>
      <color rgb="FF001642"/>
      <name val="Arial Narrow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3DB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AFE4FF"/>
        <bgColor indexed="64"/>
      </patternFill>
    </fill>
    <fill>
      <patternFill patternType="solid">
        <fgColor rgb="FFE1F4FF"/>
        <bgColor indexed="64"/>
      </patternFill>
    </fill>
    <fill>
      <patternFill patternType="solid">
        <fgColor rgb="FF0016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206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167" fontId="13" fillId="0" borderId="0" applyFont="0" applyFill="0" applyBorder="0" applyAlignment="0" applyProtection="0"/>
  </cellStyleXfs>
  <cellXfs count="321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7" fillId="3" borderId="0" xfId="0" applyFont="1" applyFill="1" applyAlignment="1">
      <alignment horizontal="center" vertical="center"/>
    </xf>
    <xf numFmtId="0" fontId="0" fillId="0" borderId="5" xfId="0" applyBorder="1"/>
    <xf numFmtId="0" fontId="0" fillId="0" borderId="15" xfId="0" applyBorder="1"/>
    <xf numFmtId="0" fontId="0" fillId="0" borderId="17" xfId="0" applyBorder="1"/>
    <xf numFmtId="0" fontId="0" fillId="0" borderId="9" xfId="0" applyBorder="1"/>
    <xf numFmtId="0" fontId="0" fillId="0" borderId="11" xfId="0" applyBorder="1"/>
    <xf numFmtId="0" fontId="5" fillId="5" borderId="23" xfId="0" applyFont="1" applyFill="1" applyBorder="1"/>
    <xf numFmtId="0" fontId="0" fillId="0" borderId="25" xfId="0" applyBorder="1"/>
    <xf numFmtId="0" fontId="0" fillId="0" borderId="4" xfId="0" applyBorder="1"/>
    <xf numFmtId="0" fontId="0" fillId="0" borderId="26" xfId="0" applyBorder="1"/>
    <xf numFmtId="0" fontId="0" fillId="0" borderId="27" xfId="0" applyBorder="1"/>
    <xf numFmtId="14" fontId="1" fillId="4" borderId="22" xfId="0" applyNumberFormat="1" applyFont="1" applyFill="1" applyBorder="1"/>
    <xf numFmtId="0" fontId="0" fillId="0" borderId="33" xfId="0" applyBorder="1"/>
    <xf numFmtId="0" fontId="0" fillId="0" borderId="7" xfId="0" applyBorder="1"/>
    <xf numFmtId="0" fontId="0" fillId="0" borderId="34" xfId="0" applyBorder="1"/>
    <xf numFmtId="0" fontId="5" fillId="11" borderId="23" xfId="0" applyFont="1" applyFill="1" applyBorder="1"/>
    <xf numFmtId="0" fontId="0" fillId="0" borderId="36" xfId="0" applyBorder="1"/>
    <xf numFmtId="0" fontId="0" fillId="0" borderId="39" xfId="0" applyBorder="1"/>
    <xf numFmtId="0" fontId="0" fillId="0" borderId="2" xfId="0" applyBorder="1"/>
    <xf numFmtId="0" fontId="0" fillId="0" borderId="40" xfId="0" applyBorder="1"/>
    <xf numFmtId="0" fontId="4" fillId="2" borderId="17" xfId="0" applyFont="1" applyFill="1" applyBorder="1" applyAlignment="1">
      <alignment horizontal="center"/>
    </xf>
    <xf numFmtId="0" fontId="4" fillId="14" borderId="17" xfId="0" applyFont="1" applyFill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0" fontId="4" fillId="12" borderId="17" xfId="0" applyFont="1" applyFill="1" applyBorder="1" applyAlignment="1">
      <alignment horizontal="center"/>
    </xf>
    <xf numFmtId="0" fontId="4" fillId="12" borderId="1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164" fontId="7" fillId="3" borderId="0" xfId="0" applyNumberFormat="1" applyFont="1" applyFill="1"/>
    <xf numFmtId="16" fontId="4" fillId="15" borderId="41" xfId="0" applyNumberFormat="1" applyFont="1" applyFill="1" applyBorder="1" applyAlignment="1">
      <alignment vertical="center"/>
    </xf>
    <xf numFmtId="2" fontId="0" fillId="0" borderId="0" xfId="0" applyNumberFormat="1"/>
    <xf numFmtId="0" fontId="4" fillId="2" borderId="27" xfId="0" applyFont="1" applyFill="1" applyBorder="1" applyAlignment="1">
      <alignment horizontal="center"/>
    </xf>
    <xf numFmtId="0" fontId="1" fillId="13" borderId="23" xfId="0" applyFont="1" applyFill="1" applyBorder="1"/>
    <xf numFmtId="16" fontId="5" fillId="5" borderId="30" xfId="0" applyNumberFormat="1" applyFont="1" applyFill="1" applyBorder="1"/>
    <xf numFmtId="16" fontId="4" fillId="0" borderId="43" xfId="0" applyNumberFormat="1" applyFont="1" applyBorder="1" applyAlignment="1">
      <alignment vertical="center"/>
    </xf>
    <xf numFmtId="2" fontId="9" fillId="0" borderId="0" xfId="0" applyNumberFormat="1" applyFont="1"/>
    <xf numFmtId="165" fontId="4" fillId="3" borderId="28" xfId="0" applyNumberFormat="1" applyFont="1" applyFill="1" applyBorder="1"/>
    <xf numFmtId="165" fontId="4" fillId="3" borderId="29" xfId="0" applyNumberFormat="1" applyFont="1" applyFill="1" applyBorder="1"/>
    <xf numFmtId="165" fontId="4" fillId="3" borderId="32" xfId="0" applyNumberFormat="1" applyFont="1" applyFill="1" applyBorder="1"/>
    <xf numFmtId="165" fontId="4" fillId="3" borderId="30" xfId="0" applyNumberFormat="1" applyFont="1" applyFill="1" applyBorder="1"/>
    <xf numFmtId="165" fontId="4" fillId="3" borderId="35" xfId="0" applyNumberFormat="1" applyFont="1" applyFill="1" applyBorder="1"/>
    <xf numFmtId="0" fontId="4" fillId="0" borderId="1" xfId="0" applyFont="1" applyBorder="1"/>
    <xf numFmtId="2" fontId="0" fillId="0" borderId="27" xfId="0" applyNumberFormat="1" applyBorder="1"/>
    <xf numFmtId="2" fontId="0" fillId="0" borderId="31" xfId="0" applyNumberFormat="1" applyBorder="1"/>
    <xf numFmtId="1" fontId="0" fillId="0" borderId="27" xfId="0" applyNumberFormat="1" applyBorder="1"/>
    <xf numFmtId="1" fontId="0" fillId="0" borderId="17" xfId="0" applyNumberFormat="1" applyBorder="1"/>
    <xf numFmtId="2" fontId="0" fillId="0" borderId="5" xfId="0" applyNumberFormat="1" applyBorder="1"/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15" fontId="0" fillId="0" borderId="0" xfId="0" applyNumberFormat="1"/>
    <xf numFmtId="0" fontId="1" fillId="16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2" fontId="0" fillId="0" borderId="1" xfId="0" applyNumberFormat="1" applyBorder="1"/>
    <xf numFmtId="15" fontId="0" fillId="0" borderId="1" xfId="0" applyNumberFormat="1" applyBorder="1" applyAlignment="1">
      <alignment horizontal="center"/>
    </xf>
    <xf numFmtId="166" fontId="0" fillId="0" borderId="1" xfId="0" applyNumberFormat="1" applyBorder="1"/>
    <xf numFmtId="0" fontId="4" fillId="17" borderId="1" xfId="0" applyFont="1" applyFill="1" applyBorder="1"/>
    <xf numFmtId="2" fontId="12" fillId="5" borderId="0" xfId="0" applyNumberFormat="1" applyFont="1" applyFill="1" applyAlignment="1">
      <alignment horizontal="center" vertical="center" wrapText="1"/>
    </xf>
    <xf numFmtId="1" fontId="0" fillId="0" borderId="1" xfId="0" applyNumberFormat="1" applyBorder="1"/>
    <xf numFmtId="15" fontId="0" fillId="0" borderId="1" xfId="0" applyNumberFormat="1" applyBorder="1"/>
    <xf numFmtId="15" fontId="0" fillId="0" borderId="2" xfId="0" applyNumberFormat="1" applyBorder="1"/>
    <xf numFmtId="166" fontId="0" fillId="0" borderId="2" xfId="0" applyNumberFormat="1" applyBorder="1"/>
    <xf numFmtId="2" fontId="0" fillId="0" borderId="40" xfId="0" applyNumberFormat="1" applyBorder="1"/>
    <xf numFmtId="0" fontId="1" fillId="16" borderId="3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2" fontId="4" fillId="5" borderId="36" xfId="0" applyNumberFormat="1" applyFont="1" applyFill="1" applyBorder="1" applyAlignment="1">
      <alignment horizontal="center" vertical="center" wrapText="1"/>
    </xf>
    <xf numFmtId="2" fontId="0" fillId="0" borderId="7" xfId="0" applyNumberFormat="1" applyBorder="1"/>
    <xf numFmtId="15" fontId="0" fillId="0" borderId="1" xfId="0" applyNumberFormat="1" applyBorder="1" applyAlignment="1">
      <alignment horizontal="right"/>
    </xf>
    <xf numFmtId="1" fontId="0" fillId="0" borderId="5" xfId="0" applyNumberFormat="1" applyBorder="1"/>
    <xf numFmtId="2" fontId="0" fillId="0" borderId="39" xfId="0" applyNumberFormat="1" applyBorder="1"/>
    <xf numFmtId="1" fontId="0" fillId="0" borderId="2" xfId="0" applyNumberFormat="1" applyBorder="1"/>
    <xf numFmtId="15" fontId="0" fillId="0" borderId="2" xfId="0" applyNumberFormat="1" applyBorder="1" applyAlignment="1">
      <alignment horizontal="right"/>
    </xf>
    <xf numFmtId="1" fontId="0" fillId="0" borderId="40" xfId="0" applyNumberFormat="1" applyBorder="1"/>
    <xf numFmtId="0" fontId="1" fillId="4" borderId="33" xfId="0" applyFont="1" applyFill="1" applyBorder="1" applyAlignment="1">
      <alignment horizontal="center" vertical="center" wrapText="1"/>
    </xf>
    <xf numFmtId="14" fontId="1" fillId="4" borderId="4" xfId="0" applyNumberFormat="1" applyFont="1" applyFill="1" applyBorder="1" applyAlignment="1">
      <alignment horizontal="center" vertical="center" wrapText="1"/>
    </xf>
    <xf numFmtId="1" fontId="11" fillId="2" borderId="36" xfId="0" applyNumberFormat="1" applyFont="1" applyFill="1" applyBorder="1" applyAlignment="1">
      <alignment horizontal="center" vertical="center" wrapText="1"/>
    </xf>
    <xf numFmtId="0" fontId="14" fillId="0" borderId="0" xfId="0" applyFont="1"/>
    <xf numFmtId="0" fontId="4" fillId="2" borderId="7" xfId="0" applyFont="1" applyFill="1" applyBorder="1"/>
    <xf numFmtId="0" fontId="4" fillId="14" borderId="7" xfId="0" applyFont="1" applyFill="1" applyBorder="1"/>
    <xf numFmtId="0" fontId="4" fillId="14" borderId="39" xfId="0" applyFont="1" applyFill="1" applyBorder="1"/>
    <xf numFmtId="2" fontId="0" fillId="0" borderId="17" xfId="0" applyNumberFormat="1" applyBorder="1"/>
    <xf numFmtId="0" fontId="0" fillId="0" borderId="21" xfId="0" applyBorder="1"/>
    <xf numFmtId="2" fontId="0" fillId="0" borderId="21" xfId="0" applyNumberFormat="1" applyBorder="1"/>
    <xf numFmtId="0" fontId="1" fillId="4" borderId="50" xfId="0" applyFont="1" applyFill="1" applyBorder="1" applyAlignment="1">
      <alignment horizontal="left" vertical="center"/>
    </xf>
    <xf numFmtId="0" fontId="1" fillId="4" borderId="51" xfId="0" applyFont="1" applyFill="1" applyBorder="1" applyAlignment="1">
      <alignment horizontal="left" vertical="center"/>
    </xf>
    <xf numFmtId="0" fontId="1" fillId="4" borderId="52" xfId="0" applyFont="1" applyFill="1" applyBorder="1" applyAlignment="1">
      <alignment horizontal="left" vertical="center"/>
    </xf>
    <xf numFmtId="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4" fillId="14" borderId="53" xfId="0" applyFont="1" applyFill="1" applyBorder="1"/>
    <xf numFmtId="0" fontId="4" fillId="14" borderId="0" xfId="0" applyFont="1" applyFill="1"/>
    <xf numFmtId="0" fontId="4" fillId="14" borderId="54" xfId="0" applyFont="1" applyFill="1" applyBorder="1"/>
    <xf numFmtId="0" fontId="0" fillId="2" borderId="2" xfId="0" applyFill="1" applyBorder="1"/>
    <xf numFmtId="0" fontId="1" fillId="4" borderId="0" xfId="0" applyFont="1" applyFill="1" applyAlignment="1">
      <alignment horizontal="right"/>
    </xf>
    <xf numFmtId="15" fontId="1" fillId="4" borderId="0" xfId="0" applyNumberFormat="1" applyFont="1" applyFill="1"/>
    <xf numFmtId="0" fontId="4" fillId="0" borderId="53" xfId="0" applyFont="1" applyBorder="1"/>
    <xf numFmtId="0" fontId="0" fillId="0" borderId="54" xfId="0" applyBorder="1"/>
    <xf numFmtId="0" fontId="5" fillId="11" borderId="1" xfId="0" applyFont="1" applyFill="1" applyBorder="1" applyAlignment="1">
      <alignment horizontal="center" vertical="center"/>
    </xf>
    <xf numFmtId="0" fontId="0" fillId="2" borderId="3" xfId="0" applyFill="1" applyBorder="1"/>
    <xf numFmtId="0" fontId="0" fillId="14" borderId="55" xfId="0" applyFill="1" applyBorder="1"/>
    <xf numFmtId="0" fontId="0" fillId="14" borderId="56" xfId="0" applyFill="1" applyBorder="1"/>
    <xf numFmtId="0" fontId="0" fillId="14" borderId="57" xfId="0" applyFill="1" applyBorder="1"/>
    <xf numFmtId="0" fontId="3" fillId="4" borderId="1" xfId="0" applyFont="1" applyFill="1" applyBorder="1" applyAlignment="1">
      <alignment horizontal="center" vertical="center" wrapText="1"/>
    </xf>
    <xf numFmtId="0" fontId="10" fillId="16" borderId="4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right"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0" fillId="2" borderId="4" xfId="0" applyFill="1" applyBorder="1"/>
    <xf numFmtId="1" fontId="1" fillId="0" borderId="0" xfId="0" applyNumberFormat="1" applyFont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1" fillId="4" borderId="48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4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5" borderId="39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4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8" fontId="4" fillId="0" borderId="1" xfId="0" applyNumberFormat="1" applyFont="1" applyBorder="1" applyAlignment="1">
      <alignment horizontal="center" vertical="center"/>
    </xf>
    <xf numFmtId="9" fontId="4" fillId="0" borderId="5" xfId="0" applyNumberFormat="1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66" fontId="4" fillId="0" borderId="5" xfId="0" applyNumberFormat="1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1" fontId="4" fillId="0" borderId="36" xfId="0" applyNumberFormat="1" applyFont="1" applyBorder="1" applyAlignment="1">
      <alignment horizontal="center"/>
    </xf>
    <xf numFmtId="1" fontId="0" fillId="2" borderId="3" xfId="0" applyNumberFormat="1" applyFill="1" applyBorder="1"/>
    <xf numFmtId="0" fontId="4" fillId="14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40" xfId="0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9" fontId="4" fillId="0" borderId="12" xfId="0" applyNumberFormat="1" applyFont="1" applyBorder="1" applyAlignment="1">
      <alignment horizontal="center" vertical="center"/>
    </xf>
    <xf numFmtId="166" fontId="4" fillId="0" borderId="12" xfId="0" applyNumberFormat="1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/>
    </xf>
    <xf numFmtId="0" fontId="4" fillId="12" borderId="8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1" fontId="4" fillId="12" borderId="33" xfId="0" applyNumberFormat="1" applyFont="1" applyFill="1" applyBorder="1" applyAlignment="1">
      <alignment horizontal="center" vertical="center"/>
    </xf>
    <xf numFmtId="1" fontId="4" fillId="12" borderId="37" xfId="0" applyNumberFormat="1" applyFont="1" applyFill="1" applyBorder="1" applyAlignment="1">
      <alignment horizontal="center" vertical="center"/>
    </xf>
    <xf numFmtId="2" fontId="4" fillId="12" borderId="8" xfId="0" applyNumberFormat="1" applyFont="1" applyFill="1" applyBorder="1" applyAlignment="1">
      <alignment horizontal="center" vertical="center"/>
    </xf>
    <xf numFmtId="15" fontId="4" fillId="12" borderId="8" xfId="0" applyNumberFormat="1" applyFont="1" applyFill="1" applyBorder="1" applyAlignment="1">
      <alignment horizontal="center" vertical="center"/>
    </xf>
    <xf numFmtId="166" fontId="4" fillId="12" borderId="4" xfId="0" applyNumberFormat="1" applyFont="1" applyFill="1" applyBorder="1" applyAlignment="1">
      <alignment horizontal="center" vertical="center"/>
    </xf>
    <xf numFmtId="9" fontId="4" fillId="12" borderId="36" xfId="0" applyNumberFormat="1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15" fontId="4" fillId="12" borderId="47" xfId="0" applyNumberFormat="1" applyFont="1" applyFill="1" applyBorder="1" applyAlignment="1">
      <alignment horizontal="center" vertical="center"/>
    </xf>
    <xf numFmtId="2" fontId="4" fillId="12" borderId="36" xfId="0" applyNumberFormat="1" applyFont="1" applyFill="1" applyBorder="1" applyAlignment="1">
      <alignment horizontal="center" vertical="center"/>
    </xf>
    <xf numFmtId="166" fontId="4" fillId="12" borderId="36" xfId="0" applyNumberFormat="1" applyFont="1" applyFill="1" applyBorder="1" applyAlignment="1">
      <alignment horizontal="center" vertical="center"/>
    </xf>
    <xf numFmtId="0" fontId="0" fillId="12" borderId="3" xfId="0" applyFill="1" applyBorder="1"/>
    <xf numFmtId="0" fontId="4" fillId="12" borderId="33" xfId="0" applyFont="1" applyFill="1" applyBorder="1" applyAlignment="1">
      <alignment horizontal="center" vertical="center"/>
    </xf>
    <xf numFmtId="1" fontId="4" fillId="12" borderId="4" xfId="0" applyNumberFormat="1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/>
    </xf>
    <xf numFmtId="1" fontId="4" fillId="12" borderId="7" xfId="0" applyNumberFormat="1" applyFont="1" applyFill="1" applyBorder="1" applyAlignment="1">
      <alignment horizontal="center" vertical="center"/>
    </xf>
    <xf numFmtId="2" fontId="4" fillId="12" borderId="1" xfId="0" applyNumberFormat="1" applyFont="1" applyFill="1" applyBorder="1" applyAlignment="1">
      <alignment horizontal="center" vertical="center"/>
    </xf>
    <xf numFmtId="15" fontId="4" fillId="12" borderId="1" xfId="0" applyNumberFormat="1" applyFont="1" applyFill="1" applyBorder="1" applyAlignment="1">
      <alignment horizontal="center" vertical="center"/>
    </xf>
    <xf numFmtId="166" fontId="4" fillId="12" borderId="1" xfId="0" applyNumberFormat="1" applyFont="1" applyFill="1" applyBorder="1" applyAlignment="1">
      <alignment horizontal="center" vertical="center"/>
    </xf>
    <xf numFmtId="9" fontId="4" fillId="12" borderId="5" xfId="0" applyNumberFormat="1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15" fontId="4" fillId="12" borderId="6" xfId="0" applyNumberFormat="1" applyFont="1" applyFill="1" applyBorder="1" applyAlignment="1">
      <alignment horizontal="center" vertical="center"/>
    </xf>
    <xf numFmtId="2" fontId="4" fillId="12" borderId="5" xfId="0" applyNumberFormat="1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1" fontId="4" fillId="12" borderId="1" xfId="0" applyNumberFormat="1" applyFont="1" applyFill="1" applyBorder="1" applyAlignment="1">
      <alignment horizontal="center"/>
    </xf>
    <xf numFmtId="0" fontId="4" fillId="12" borderId="4" xfId="0" applyFont="1" applyFill="1" applyBorder="1" applyAlignment="1">
      <alignment horizontal="center" vertical="center"/>
    </xf>
    <xf numFmtId="0" fontId="0" fillId="12" borderId="4" xfId="0" applyFill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7" borderId="4" xfId="0" applyFont="1" applyFill="1" applyBorder="1" applyAlignment="1" applyProtection="1">
      <alignment horizontal="center" vertical="center"/>
      <protection locked="0"/>
    </xf>
    <xf numFmtId="0" fontId="4" fillId="10" borderId="4" xfId="0" applyFont="1" applyFill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0" borderId="7" xfId="0" applyNumberFormat="1" applyFont="1" applyBorder="1" applyAlignment="1" applyProtection="1">
      <alignment horizontal="center" vertical="center"/>
      <protection locked="0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5" fontId="4" fillId="0" borderId="1" xfId="0" applyNumberFormat="1" applyFont="1" applyBorder="1" applyAlignment="1" applyProtection="1">
      <alignment horizontal="center" vertical="center"/>
      <protection locked="0"/>
    </xf>
    <xf numFmtId="15" fontId="4" fillId="0" borderId="1" xfId="0" quotePrefix="1" applyNumberFormat="1" applyFont="1" applyBorder="1" applyAlignment="1" applyProtection="1">
      <alignment horizontal="center" vertical="center"/>
      <protection locked="0"/>
    </xf>
    <xf numFmtId="1" fontId="4" fillId="0" borderId="39" xfId="0" applyNumberFormat="1" applyFont="1" applyBorder="1" applyAlignment="1" applyProtection="1">
      <alignment horizontal="center" vertical="center"/>
      <protection locked="0"/>
    </xf>
    <xf numFmtId="2" fontId="4" fillId="0" borderId="2" xfId="0" applyNumberFormat="1" applyFont="1" applyBorder="1" applyAlignment="1" applyProtection="1">
      <alignment horizontal="center" vertical="center"/>
      <protection locked="0"/>
    </xf>
    <xf numFmtId="15" fontId="4" fillId="0" borderId="6" xfId="0" applyNumberFormat="1" applyFont="1" applyBorder="1" applyAlignment="1" applyProtection="1">
      <alignment horizontal="center" vertical="center"/>
      <protection locked="0"/>
    </xf>
    <xf numFmtId="15" fontId="4" fillId="0" borderId="34" xfId="0" applyNumberFormat="1" applyFont="1" applyBorder="1" applyAlignment="1" applyProtection="1">
      <alignment horizontal="center" vertical="center"/>
      <protection locked="0"/>
    </xf>
    <xf numFmtId="2" fontId="0" fillId="0" borderId="25" xfId="0" applyNumberFormat="1" applyBorder="1"/>
    <xf numFmtId="2" fontId="0" fillId="0" borderId="4" xfId="0" applyNumberFormat="1" applyBorder="1"/>
    <xf numFmtId="2" fontId="0" fillId="0" borderId="26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2" fontId="0" fillId="0" borderId="13" xfId="0" applyNumberFormat="1" applyBorder="1"/>
    <xf numFmtId="2" fontId="0" fillId="0" borderId="33" xfId="0" applyNumberFormat="1" applyBorder="1"/>
    <xf numFmtId="2" fontId="0" fillId="0" borderId="36" xfId="0" applyNumberFormat="1" applyBorder="1"/>
    <xf numFmtId="2" fontId="0" fillId="0" borderId="34" xfId="0" applyNumberFormat="1" applyBorder="1"/>
    <xf numFmtId="2" fontId="0" fillId="0" borderId="15" xfId="0" applyNumberFormat="1" applyBorder="1"/>
    <xf numFmtId="2" fontId="4" fillId="0" borderId="5" xfId="0" applyNumberFormat="1" applyFont="1" applyBorder="1"/>
    <xf numFmtId="2" fontId="4" fillId="0" borderId="1" xfId="0" applyNumberFormat="1" applyFont="1" applyBorder="1"/>
    <xf numFmtId="2" fontId="4" fillId="0" borderId="12" xfId="0" applyNumberFormat="1" applyFont="1" applyBorder="1"/>
    <xf numFmtId="2" fontId="4" fillId="0" borderId="5" xfId="0" applyNumberFormat="1" applyFont="1" applyBorder="1" applyAlignment="1" applyProtection="1">
      <alignment horizontal="center" vertical="center"/>
      <protection locked="0"/>
    </xf>
    <xf numFmtId="2" fontId="4" fillId="0" borderId="12" xfId="0" applyNumberFormat="1" applyFont="1" applyBorder="1" applyAlignment="1" applyProtection="1">
      <alignment horizontal="center" vertical="center"/>
      <protection locked="0"/>
    </xf>
    <xf numFmtId="2" fontId="4" fillId="12" borderId="36" xfId="0" applyNumberFormat="1" applyFont="1" applyFill="1" applyBorder="1"/>
    <xf numFmtId="2" fontId="4" fillId="12" borderId="5" xfId="0" applyNumberFormat="1" applyFont="1" applyFill="1" applyBorder="1"/>
    <xf numFmtId="0" fontId="15" fillId="16" borderId="3" xfId="0" applyFont="1" applyFill="1" applyBorder="1" applyAlignment="1">
      <alignment horizontal="center" vertical="center" wrapText="1"/>
    </xf>
    <xf numFmtId="0" fontId="10" fillId="16" borderId="2" xfId="0" applyFont="1" applyFill="1" applyBorder="1" applyAlignment="1">
      <alignment horizontal="center" vertical="center" wrapText="1"/>
    </xf>
    <xf numFmtId="0" fontId="10" fillId="16" borderId="40" xfId="0" applyFont="1" applyFill="1" applyBorder="1" applyAlignment="1">
      <alignment horizontal="center" vertical="center" wrapText="1"/>
    </xf>
    <xf numFmtId="0" fontId="4" fillId="9" borderId="7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4" borderId="12" xfId="0" applyFont="1" applyFill="1" applyBorder="1" applyAlignment="1">
      <alignment horizontal="center" vertical="center"/>
    </xf>
    <xf numFmtId="0" fontId="1" fillId="4" borderId="47" xfId="0" applyFont="1" applyFill="1" applyBorder="1"/>
    <xf numFmtId="9" fontId="1" fillId="4" borderId="0" xfId="0" applyNumberFormat="1" applyFont="1" applyFill="1"/>
    <xf numFmtId="9" fontId="1" fillId="4" borderId="47" xfId="0" applyNumberFormat="1" applyFont="1" applyFill="1" applyBorder="1"/>
    <xf numFmtId="0" fontId="1" fillId="4" borderId="58" xfId="0" applyFont="1" applyFill="1" applyBorder="1" applyAlignment="1">
      <alignment horizontal="right"/>
    </xf>
    <xf numFmtId="0" fontId="1" fillId="4" borderId="59" xfId="0" applyFont="1" applyFill="1" applyBorder="1"/>
    <xf numFmtId="2" fontId="0" fillId="12" borderId="8" xfId="0" applyNumberFormat="1" applyFill="1" applyBorder="1"/>
    <xf numFmtId="2" fontId="0" fillId="12" borderId="14" xfId="0" applyNumberFormat="1" applyFill="1" applyBorder="1"/>
    <xf numFmtId="0" fontId="0" fillId="12" borderId="16" xfId="0" applyFill="1" applyBorder="1"/>
    <xf numFmtId="2" fontId="0" fillId="12" borderId="1" xfId="0" applyNumberFormat="1" applyFill="1" applyBorder="1"/>
    <xf numFmtId="2" fontId="0" fillId="12" borderId="5" xfId="0" applyNumberFormat="1" applyFill="1" applyBorder="1"/>
    <xf numFmtId="0" fontId="0" fillId="12" borderId="17" xfId="0" applyFill="1" applyBorder="1"/>
    <xf numFmtId="2" fontId="0" fillId="12" borderId="7" xfId="0" applyNumberFormat="1" applyFill="1" applyBorder="1"/>
    <xf numFmtId="2" fontId="0" fillId="12" borderId="48" xfId="0" applyNumberFormat="1" applyFill="1" applyBorder="1"/>
    <xf numFmtId="2" fontId="0" fillId="12" borderId="34" xfId="0" applyNumberFormat="1" applyFill="1" applyBorder="1"/>
    <xf numFmtId="2" fontId="0" fillId="12" borderId="12" xfId="0" applyNumberFormat="1" applyFill="1" applyBorder="1"/>
    <xf numFmtId="2" fontId="0" fillId="12" borderId="15" xfId="0" applyNumberFormat="1" applyFill="1" applyBorder="1"/>
    <xf numFmtId="0" fontId="0" fillId="12" borderId="18" xfId="0" applyFill="1" applyBorder="1"/>
    <xf numFmtId="2" fontId="0" fillId="12" borderId="16" xfId="0" applyNumberFormat="1" applyFill="1" applyBorder="1"/>
    <xf numFmtId="2" fontId="0" fillId="12" borderId="17" xfId="0" applyNumberFormat="1" applyFill="1" applyBorder="1"/>
    <xf numFmtId="2" fontId="0" fillId="12" borderId="18" xfId="0" applyNumberFormat="1" applyFill="1" applyBorder="1"/>
    <xf numFmtId="0" fontId="0" fillId="12" borderId="37" xfId="0" applyFill="1" applyBorder="1"/>
    <xf numFmtId="0" fontId="0" fillId="12" borderId="8" xfId="0" applyFill="1" applyBorder="1"/>
    <xf numFmtId="0" fontId="0" fillId="12" borderId="14" xfId="0" applyFill="1" applyBorder="1"/>
    <xf numFmtId="0" fontId="0" fillId="12" borderId="7" xfId="0" applyFill="1" applyBorder="1"/>
    <xf numFmtId="0" fontId="0" fillId="12" borderId="1" xfId="0" applyFill="1" applyBorder="1"/>
    <xf numFmtId="0" fontId="0" fillId="12" borderId="5" xfId="0" applyFill="1" applyBorder="1"/>
    <xf numFmtId="0" fontId="0" fillId="12" borderId="34" xfId="0" applyFill="1" applyBorder="1"/>
    <xf numFmtId="0" fontId="0" fillId="12" borderId="12" xfId="0" applyFill="1" applyBorder="1"/>
    <xf numFmtId="0" fontId="0" fillId="12" borderId="15" xfId="0" applyFill="1" applyBorder="1"/>
    <xf numFmtId="0" fontId="4" fillId="12" borderId="8" xfId="0" quotePrefix="1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vertical="center"/>
    </xf>
    <xf numFmtId="0" fontId="4" fillId="12" borderId="14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vertical="center"/>
    </xf>
    <xf numFmtId="1" fontId="0" fillId="0" borderId="1" xfId="0" applyNumberFormat="1" applyBorder="1" applyAlignment="1" applyProtection="1">
      <alignment horizontal="center" vertical="center"/>
      <protection hidden="1"/>
    </xf>
    <xf numFmtId="1" fontId="4" fillId="0" borderId="7" xfId="0" applyNumberFormat="1" applyFont="1" applyBorder="1" applyAlignment="1" applyProtection="1">
      <alignment horizontal="center" vertical="center"/>
      <protection hidden="1"/>
    </xf>
    <xf numFmtId="1" fontId="4" fillId="0" borderId="1" xfId="0" applyNumberFormat="1" applyFont="1" applyBorder="1" applyAlignment="1" applyProtection="1">
      <alignment horizontal="center"/>
      <protection hidden="1"/>
    </xf>
    <xf numFmtId="1" fontId="4" fillId="0" borderId="12" xfId="0" applyNumberFormat="1" applyFont="1" applyBorder="1" applyAlignment="1" applyProtection="1">
      <alignment horizontal="center" vertical="center"/>
      <protection hidden="1"/>
    </xf>
    <xf numFmtId="0" fontId="4" fillId="0" borderId="5" xfId="0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0" fontId="4" fillId="0" borderId="12" xfId="0" applyFont="1" applyBorder="1" applyAlignment="1" applyProtection="1">
      <alignment horizontal="center" vertical="center"/>
      <protection hidden="1"/>
    </xf>
    <xf numFmtId="0" fontId="4" fillId="12" borderId="36" xfId="0" applyFont="1" applyFill="1" applyBorder="1" applyAlignment="1" applyProtection="1">
      <alignment horizontal="center" vertical="center"/>
      <protection hidden="1"/>
    </xf>
    <xf numFmtId="0" fontId="4" fillId="12" borderId="5" xfId="0" applyFont="1" applyFill="1" applyBorder="1" applyAlignment="1" applyProtection="1">
      <alignment horizontal="center" vertical="center"/>
      <protection hidden="1"/>
    </xf>
    <xf numFmtId="1" fontId="4" fillId="12" borderId="1" xfId="0" applyNumberFormat="1" applyFont="1" applyFill="1" applyBorder="1" applyAlignment="1" applyProtection="1">
      <alignment horizontal="center"/>
      <protection hidden="1"/>
    </xf>
    <xf numFmtId="1" fontId="4" fillId="12" borderId="4" xfId="0" applyNumberFormat="1" applyFont="1" applyFill="1" applyBorder="1" applyAlignment="1" applyProtection="1">
      <alignment horizontal="center"/>
      <protection hidden="1"/>
    </xf>
    <xf numFmtId="1" fontId="4" fillId="0" borderId="12" xfId="0" applyNumberFormat="1" applyFont="1" applyBorder="1" applyAlignment="1" applyProtection="1">
      <alignment horizontal="center"/>
      <protection hidden="1"/>
    </xf>
    <xf numFmtId="0" fontId="4" fillId="18" borderId="19" xfId="0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 applyProtection="1">
      <alignment horizontal="center" vertical="center"/>
      <protection hidden="1"/>
    </xf>
    <xf numFmtId="1" fontId="4" fillId="2" borderId="7" xfId="0" applyNumberFormat="1" applyFont="1" applyFill="1" applyBorder="1" applyAlignment="1" applyProtection="1">
      <alignment horizontal="center" vertical="center"/>
      <protection locked="0"/>
    </xf>
    <xf numFmtId="2" fontId="4" fillId="2" borderId="1" xfId="0" applyNumberFormat="1" applyFont="1" applyFill="1" applyBorder="1" applyAlignment="1" applyProtection="1">
      <alignment horizontal="center" vertical="center"/>
      <protection locked="0"/>
    </xf>
    <xf numFmtId="16" fontId="4" fillId="2" borderId="1" xfId="0" applyNumberFormat="1" applyFont="1" applyFill="1" applyBorder="1" applyAlignment="1" applyProtection="1">
      <alignment horizontal="center" vertical="center"/>
      <protection locked="0"/>
    </xf>
    <xf numFmtId="166" fontId="4" fillId="2" borderId="1" xfId="0" applyNumberFormat="1" applyFont="1" applyFill="1" applyBorder="1" applyAlignment="1">
      <alignment horizontal="right" vertical="center"/>
    </xf>
    <xf numFmtId="9" fontId="4" fillId="2" borderId="1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locked="0"/>
    </xf>
    <xf numFmtId="16" fontId="4" fillId="15" borderId="41" xfId="0" applyNumberFormat="1" applyFont="1" applyFill="1" applyBorder="1" applyAlignment="1" applyProtection="1">
      <alignment horizontal="center" vertical="center"/>
      <protection locked="0"/>
    </xf>
    <xf numFmtId="16" fontId="4" fillId="15" borderId="49" xfId="0" applyNumberFormat="1" applyFont="1" applyFill="1" applyBorder="1" applyAlignment="1" applyProtection="1">
      <alignment horizontal="center" vertical="center"/>
      <protection locked="0"/>
    </xf>
    <xf numFmtId="0" fontId="4" fillId="15" borderId="42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/>
    </xf>
    <xf numFmtId="0" fontId="5" fillId="11" borderId="5" xfId="0" applyFont="1" applyFill="1" applyBorder="1" applyAlignment="1">
      <alignment horizontal="center"/>
    </xf>
    <xf numFmtId="0" fontId="4" fillId="11" borderId="7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4" fillId="11" borderId="5" xfId="0" applyFont="1" applyFill="1" applyBorder="1" applyAlignment="1">
      <alignment horizontal="center"/>
    </xf>
    <xf numFmtId="0" fontId="12" fillId="5" borderId="5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0" fillId="16" borderId="5" xfId="0" applyFont="1" applyFill="1" applyBorder="1" applyAlignment="1">
      <alignment horizontal="center" vertical="center" wrapText="1"/>
    </xf>
    <xf numFmtId="0" fontId="10" fillId="16" borderId="7" xfId="0" applyFont="1" applyFill="1" applyBorder="1" applyAlignment="1">
      <alignment horizontal="center" vertical="center" wrapText="1"/>
    </xf>
    <xf numFmtId="0" fontId="4" fillId="15" borderId="44" xfId="0" applyFont="1" applyFill="1" applyBorder="1" applyAlignment="1">
      <alignment horizontal="center" vertical="center"/>
    </xf>
    <xf numFmtId="0" fontId="4" fillId="15" borderId="21" xfId="0" applyFont="1" applyFill="1" applyBorder="1" applyAlignment="1">
      <alignment horizontal="center" vertical="center"/>
    </xf>
    <xf numFmtId="0" fontId="4" fillId="15" borderId="45" xfId="0" applyFont="1" applyFill="1" applyBorder="1" applyAlignment="1">
      <alignment horizontal="center" vertical="center"/>
    </xf>
  </cellXfs>
  <cellStyles count="3">
    <cellStyle name="Moneda 3" xfId="2" xr:uid="{476500C6-B7A3-4CD1-A1B8-BA82295F26AA}"/>
    <cellStyle name="Normal" xfId="0" builtinId="0"/>
    <cellStyle name="Normal 2 2" xfId="1" xr:uid="{9F4C6D5E-5D13-416E-BF0D-BFECCA536DE1}"/>
  </cellStyles>
  <dxfs count="56">
    <dxf>
      <numFmt numFmtId="1" formatCode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0" formatCode="dd/m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#0\ &quot;hrs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0" formatCode="dd/mmm/yy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#0\ &quot;hrs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#0\ &quot;hrs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0" formatCode="dd/m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#0\ &quot;hrs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164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C1F0C8"/>
        </patternFill>
      </fill>
    </dxf>
    <dxf>
      <font>
        <b/>
        <i val="0"/>
        <color theme="0"/>
      </font>
      <fill>
        <patternFill>
          <bgColor rgb="FF66CCFF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5" tint="-0.499984740745262"/>
      </font>
      <fill>
        <patternFill>
          <bgColor rgb="FFFFFF99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5" tint="-0.499984740745262"/>
      </font>
      <fill>
        <patternFill>
          <bgColor rgb="FFFFFF99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000"/>
      <color rgb="FFC1F0C8"/>
      <color rgb="FF66CCFF"/>
      <color rgb="FF001642"/>
      <color rgb="FF93DBFF"/>
      <color rgb="FFAFE4FF"/>
      <color rgb="FFFFC7CE"/>
      <color rgb="FF9C0006"/>
      <color rgb="FFA5000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60960</xdr:colOff>
      <xdr:row>1</xdr:row>
      <xdr:rowOff>30480</xdr:rowOff>
    </xdr:from>
    <xdr:to>
      <xdr:col>14</xdr:col>
      <xdr:colOff>762000</xdr:colOff>
      <xdr:row>1</xdr:row>
      <xdr:rowOff>281940</xdr:rowOff>
    </xdr:to>
    <xdr:sp macro="[0]!ThisWorkbook.ProcesarDat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AADEFBB3-5C1D-45D8-891D-A6D81BC5365E}"/>
            </a:ext>
          </a:extLst>
        </xdr:cNvPr>
        <xdr:cNvSpPr/>
      </xdr:nvSpPr>
      <xdr:spPr>
        <a:xfrm>
          <a:off x="10363200" y="220980"/>
          <a:ext cx="1493520" cy="251460"/>
        </a:xfrm>
        <a:prstGeom prst="roundRect">
          <a:avLst/>
        </a:prstGeom>
        <a:solidFill>
          <a:srgbClr val="0099FF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 Narrow" panose="020B0606020202030204" pitchFamily="34" charset="0"/>
            </a:rPr>
            <a:t>INGRESAR</a:t>
          </a:r>
          <a:r>
            <a:rPr lang="es-CL" sz="1100" b="1" baseline="0">
              <a:latin typeface="Arial Narrow" panose="020B0606020202030204" pitchFamily="34" charset="0"/>
            </a:rPr>
            <a:t> HORAS</a:t>
          </a:r>
          <a:endParaRPr lang="es-CL" sz="1100" b="1">
            <a:latin typeface="Arial Narrow" panose="020B0606020202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4916</xdr:colOff>
      <xdr:row>4</xdr:row>
      <xdr:rowOff>4917</xdr:rowOff>
    </xdr:from>
    <xdr:to>
      <xdr:col>1</xdr:col>
      <xdr:colOff>791496</xdr:colOff>
      <xdr:row>4</xdr:row>
      <xdr:rowOff>179439</xdr:rowOff>
    </xdr:to>
    <xdr:sp macro="[0]!Ocultar930980" textlink="">
      <xdr:nvSpPr>
        <xdr:cNvPr id="2" name="Rectángulo 1">
          <a:extLst>
            <a:ext uri="{FF2B5EF4-FFF2-40B4-BE49-F238E27FC236}">
              <a16:creationId xmlns:a16="http://schemas.microsoft.com/office/drawing/2014/main" id="{39971DC5-2DBA-7AD3-547C-F17AB5239702}"/>
            </a:ext>
          </a:extLst>
        </xdr:cNvPr>
        <xdr:cNvSpPr/>
      </xdr:nvSpPr>
      <xdr:spPr>
        <a:xfrm>
          <a:off x="164690" y="506362"/>
          <a:ext cx="786580" cy="174522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tx1"/>
              </a:solidFill>
            </a:rPr>
            <a:t>CAEX</a:t>
          </a:r>
        </a:p>
      </xdr:txBody>
    </xdr:sp>
    <xdr:clientData/>
  </xdr:twoCellAnchor>
  <xdr:twoCellAnchor>
    <xdr:from>
      <xdr:col>24</xdr:col>
      <xdr:colOff>7620</xdr:colOff>
      <xdr:row>1</xdr:row>
      <xdr:rowOff>38100</xdr:rowOff>
    </xdr:from>
    <xdr:to>
      <xdr:col>24</xdr:col>
      <xdr:colOff>784860</xdr:colOff>
      <xdr:row>1</xdr:row>
      <xdr:rowOff>289560</xdr:rowOff>
    </xdr:to>
    <xdr:sp macro="[0]!CrearNueva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421D8B2-A202-9D27-719F-7387FD3DDB25}"/>
            </a:ext>
          </a:extLst>
        </xdr:cNvPr>
        <xdr:cNvSpPr/>
      </xdr:nvSpPr>
      <xdr:spPr>
        <a:xfrm>
          <a:off x="11353800" y="38100"/>
          <a:ext cx="777240" cy="251460"/>
        </a:xfrm>
        <a:prstGeom prst="roundRect">
          <a:avLst/>
        </a:prstGeom>
        <a:solidFill>
          <a:srgbClr val="0099FF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latin typeface="Arial Narrow" panose="020B0606020202030204" pitchFamily="34" charset="0"/>
            </a:rPr>
            <a:t>MES</a:t>
          </a:r>
        </a:p>
      </xdr:txBody>
    </xdr:sp>
    <xdr:clientData/>
  </xdr:twoCellAnchor>
  <xdr:twoCellAnchor>
    <xdr:from>
      <xdr:col>24</xdr:col>
      <xdr:colOff>7620</xdr:colOff>
      <xdr:row>4</xdr:row>
      <xdr:rowOff>5862</xdr:rowOff>
    </xdr:from>
    <xdr:to>
      <xdr:col>27</xdr:col>
      <xdr:colOff>891540</xdr:colOff>
      <xdr:row>4</xdr:row>
      <xdr:rowOff>187569</xdr:rowOff>
    </xdr:to>
    <xdr:sp macro="[0]!MesHorometro930980" textlink="">
      <xdr:nvSpPr>
        <xdr:cNvPr id="4" name="Rectángulo 3">
          <a:extLst>
            <a:ext uri="{FF2B5EF4-FFF2-40B4-BE49-F238E27FC236}">
              <a16:creationId xmlns:a16="http://schemas.microsoft.com/office/drawing/2014/main" id="{FC50CC43-D0AB-434C-D91F-B4E7D4135AAE}"/>
            </a:ext>
          </a:extLst>
        </xdr:cNvPr>
        <xdr:cNvSpPr/>
      </xdr:nvSpPr>
      <xdr:spPr>
        <a:xfrm>
          <a:off x="11677943" y="715108"/>
          <a:ext cx="3468859" cy="181707"/>
        </a:xfrm>
        <a:prstGeom prst="rect">
          <a:avLst/>
        </a:prstGeom>
        <a:solidFill>
          <a:srgbClr val="66CCFF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ysClr val="windowText" lastClr="000000"/>
              </a:solidFill>
            </a:rPr>
            <a:t>HORÓMETRO</a:t>
          </a:r>
          <a:r>
            <a:rPr lang="es-CL" sz="1100" b="1" baseline="0">
              <a:solidFill>
                <a:sysClr val="windowText" lastClr="000000"/>
              </a:solidFill>
            </a:rPr>
            <a:t> ACTUAL CAEX</a:t>
          </a:r>
          <a:endParaRPr lang="es-CL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8966</xdr:colOff>
      <xdr:row>4</xdr:row>
      <xdr:rowOff>6929</xdr:rowOff>
    </xdr:from>
    <xdr:to>
      <xdr:col>16</xdr:col>
      <xdr:colOff>1</xdr:colOff>
      <xdr:row>4</xdr:row>
      <xdr:rowOff>183776</xdr:rowOff>
    </xdr:to>
    <xdr:sp macro="[0]!OrdenarColumnaN930980" textlink="">
      <xdr:nvSpPr>
        <xdr:cNvPr id="5" name="Rectángulo 4">
          <a:extLst>
            <a:ext uri="{FF2B5EF4-FFF2-40B4-BE49-F238E27FC236}">
              <a16:creationId xmlns:a16="http://schemas.microsoft.com/office/drawing/2014/main" id="{F7AA7E2C-24CE-6A0F-C083-6735A1929B66}"/>
            </a:ext>
          </a:extLst>
        </xdr:cNvPr>
        <xdr:cNvSpPr/>
      </xdr:nvSpPr>
      <xdr:spPr>
        <a:xfrm>
          <a:off x="959461" y="716792"/>
          <a:ext cx="5621814" cy="176847"/>
        </a:xfrm>
        <a:prstGeom prst="rect">
          <a:avLst/>
        </a:prstGeom>
        <a:solidFill>
          <a:srgbClr val="93DBFF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ysClr val="windowText" lastClr="000000"/>
              </a:solidFill>
            </a:rPr>
            <a:t>MANTENCIÓN 500HRS - CAEX 980-5 / 1000 HRS - 2000 HRS - CAEX 930E &amp; 980E-4</a:t>
          </a:r>
        </a:p>
      </xdr:txBody>
    </xdr:sp>
    <xdr:clientData/>
  </xdr:twoCellAnchor>
  <xdr:twoCellAnchor>
    <xdr:from>
      <xdr:col>17</xdr:col>
      <xdr:colOff>4481</xdr:colOff>
      <xdr:row>4</xdr:row>
      <xdr:rowOff>6534</xdr:rowOff>
    </xdr:from>
    <xdr:to>
      <xdr:col>23</xdr:col>
      <xdr:colOff>0</xdr:colOff>
      <xdr:row>4</xdr:row>
      <xdr:rowOff>183381</xdr:rowOff>
    </xdr:to>
    <xdr:sp macro="[0]!OrdenarColumnaT930980" textlink="">
      <xdr:nvSpPr>
        <xdr:cNvPr id="7" name="Rectángulo 6">
          <a:extLst>
            <a:ext uri="{FF2B5EF4-FFF2-40B4-BE49-F238E27FC236}">
              <a16:creationId xmlns:a16="http://schemas.microsoft.com/office/drawing/2014/main" id="{D03A336A-E2EC-4FE1-8905-7F9BD8E156C6}"/>
            </a:ext>
          </a:extLst>
        </xdr:cNvPr>
        <xdr:cNvSpPr/>
      </xdr:nvSpPr>
      <xdr:spPr>
        <a:xfrm>
          <a:off x="6611021" y="715194"/>
          <a:ext cx="5017099" cy="176847"/>
        </a:xfrm>
        <a:prstGeom prst="rect">
          <a:avLst/>
        </a:prstGeom>
        <a:solidFill>
          <a:srgbClr val="93DBFF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ysClr val="windowText" lastClr="000000"/>
              </a:solidFill>
            </a:rPr>
            <a:t>RELLENO</a:t>
          </a:r>
          <a:r>
            <a:rPr lang="es-CL" sz="1100" b="1" baseline="0">
              <a:solidFill>
                <a:sysClr val="windowText" lastClr="000000"/>
              </a:solidFill>
            </a:rPr>
            <a:t> DE GRASA CADA 500HRS</a:t>
          </a:r>
          <a:endParaRPr lang="es-CL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20347</xdr:colOff>
      <xdr:row>0</xdr:row>
      <xdr:rowOff>50798</xdr:rowOff>
    </xdr:from>
    <xdr:to>
      <xdr:col>2</xdr:col>
      <xdr:colOff>0</xdr:colOff>
      <xdr:row>3</xdr:row>
      <xdr:rowOff>99059</xdr:rowOff>
    </xdr:to>
    <xdr:pic macro="[0]!OrdenarAZ">
      <xdr:nvPicPr>
        <xdr:cNvPr id="11" name="Imagen 10">
          <a:extLst>
            <a:ext uri="{FF2B5EF4-FFF2-40B4-BE49-F238E27FC236}">
              <a16:creationId xmlns:a16="http://schemas.microsoft.com/office/drawing/2014/main" id="{732D28D8-2E34-7D85-21F0-AA40C315D9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47" y="50798"/>
          <a:ext cx="886434" cy="5816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</xdr:col>
      <xdr:colOff>786580</xdr:colOff>
      <xdr:row>4</xdr:row>
      <xdr:rowOff>174522</xdr:rowOff>
    </xdr:to>
    <xdr:sp macro="[0]!Ocultar830" textlink="">
      <xdr:nvSpPr>
        <xdr:cNvPr id="5" name="Rectángulo 4">
          <a:extLst>
            <a:ext uri="{FF2B5EF4-FFF2-40B4-BE49-F238E27FC236}">
              <a16:creationId xmlns:a16="http://schemas.microsoft.com/office/drawing/2014/main" id="{40AC43CD-FDCF-4BB2-9F8A-83F0CB835EC9}"/>
            </a:ext>
          </a:extLst>
        </xdr:cNvPr>
        <xdr:cNvSpPr/>
      </xdr:nvSpPr>
      <xdr:spPr>
        <a:xfrm>
          <a:off x="160867" y="503767"/>
          <a:ext cx="786580" cy="174522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tx1"/>
              </a:solidFill>
            </a:rPr>
            <a:t>CAEX</a:t>
          </a:r>
        </a:p>
      </xdr:txBody>
    </xdr:sp>
    <xdr:clientData/>
  </xdr:twoCellAnchor>
  <xdr:twoCellAnchor>
    <xdr:from>
      <xdr:col>22</xdr:col>
      <xdr:colOff>7220</xdr:colOff>
      <xdr:row>4</xdr:row>
      <xdr:rowOff>6819</xdr:rowOff>
    </xdr:from>
    <xdr:to>
      <xdr:col>25</xdr:col>
      <xdr:colOff>874296</xdr:colOff>
      <xdr:row>4</xdr:row>
      <xdr:rowOff>185057</xdr:rowOff>
    </xdr:to>
    <xdr:sp macro="[0]!MesHorometro830E" textlink="">
      <xdr:nvSpPr>
        <xdr:cNvPr id="2" name="Rectángulo 1">
          <a:extLst>
            <a:ext uri="{FF2B5EF4-FFF2-40B4-BE49-F238E27FC236}">
              <a16:creationId xmlns:a16="http://schemas.microsoft.com/office/drawing/2014/main" id="{D0DB37E9-3A85-07AE-6B2F-EECF59A51AAC}"/>
            </a:ext>
          </a:extLst>
        </xdr:cNvPr>
        <xdr:cNvSpPr/>
      </xdr:nvSpPr>
      <xdr:spPr>
        <a:xfrm>
          <a:off x="9940434" y="719833"/>
          <a:ext cx="3414333" cy="178238"/>
        </a:xfrm>
        <a:prstGeom prst="rect">
          <a:avLst/>
        </a:prstGeom>
        <a:solidFill>
          <a:srgbClr val="66CCFF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ysClr val="windowText" lastClr="000000"/>
              </a:solidFill>
            </a:rPr>
            <a:t>HORÓMETRO ACTUAL CAEX</a:t>
          </a:r>
        </a:p>
      </xdr:txBody>
    </xdr:sp>
    <xdr:clientData/>
  </xdr:twoCellAnchor>
  <xdr:twoCellAnchor>
    <xdr:from>
      <xdr:col>9</xdr:col>
      <xdr:colOff>4763</xdr:colOff>
      <xdr:row>4</xdr:row>
      <xdr:rowOff>5443</xdr:rowOff>
    </xdr:from>
    <xdr:to>
      <xdr:col>20</xdr:col>
      <xdr:colOff>790574</xdr:colOff>
      <xdr:row>4</xdr:row>
      <xdr:rowOff>182635</xdr:rowOff>
    </xdr:to>
    <xdr:sp macro="[0]!OrdenarColumnaN830" textlink="">
      <xdr:nvSpPr>
        <xdr:cNvPr id="4" name="Rectángulo 3">
          <a:extLst>
            <a:ext uri="{FF2B5EF4-FFF2-40B4-BE49-F238E27FC236}">
              <a16:creationId xmlns:a16="http://schemas.microsoft.com/office/drawing/2014/main" id="{7F2887E2-0967-4D34-A46A-643A55080B1A}"/>
            </a:ext>
          </a:extLst>
        </xdr:cNvPr>
        <xdr:cNvSpPr/>
      </xdr:nvSpPr>
      <xdr:spPr>
        <a:xfrm>
          <a:off x="957263" y="718457"/>
          <a:ext cx="8933768" cy="177192"/>
        </a:xfrm>
        <a:prstGeom prst="rect">
          <a:avLst/>
        </a:prstGeom>
        <a:solidFill>
          <a:srgbClr val="93DBFF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ysClr val="windowText" lastClr="000000"/>
              </a:solidFill>
            </a:rPr>
            <a:t>MANTENCIÓN 250HRS</a:t>
          </a:r>
          <a:r>
            <a:rPr lang="es-CL" sz="1100" b="1" baseline="0">
              <a:solidFill>
                <a:sysClr val="windowText" lastClr="000000"/>
              </a:solidFill>
            </a:rPr>
            <a:t> - 500HRS - 750HRS - 1000HRS - 2000HRS - 5000HRS</a:t>
          </a:r>
          <a:endParaRPr lang="es-CL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30480</xdr:colOff>
      <xdr:row>0</xdr:row>
      <xdr:rowOff>45720</xdr:rowOff>
    </xdr:from>
    <xdr:to>
      <xdr:col>2</xdr:col>
      <xdr:colOff>0</xdr:colOff>
      <xdr:row>3</xdr:row>
      <xdr:rowOff>93981</xdr:rowOff>
    </xdr:to>
    <xdr:pic macro="[0]!OrdenarAZ830">
      <xdr:nvPicPr>
        <xdr:cNvPr id="8" name="Imagen 7">
          <a:extLst>
            <a:ext uri="{FF2B5EF4-FFF2-40B4-BE49-F238E27FC236}">
              <a16:creationId xmlns:a16="http://schemas.microsoft.com/office/drawing/2014/main" id="{114E23EB-CF4E-44B7-B476-6C95C3DA5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" y="45720"/>
          <a:ext cx="886433" cy="5816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0</xdr:row>
      <xdr:rowOff>0</xdr:rowOff>
    </xdr:from>
    <xdr:to>
      <xdr:col>38</xdr:col>
      <xdr:colOff>113627</xdr:colOff>
      <xdr:row>27</xdr:row>
      <xdr:rowOff>69346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0FC44FB-EA80-E6B4-3F11-4EE5737D0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24720" y="441960"/>
          <a:ext cx="8830907" cy="5487166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38</xdr:col>
      <xdr:colOff>408944</xdr:colOff>
      <xdr:row>19</xdr:row>
      <xdr:rowOff>112963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6132EC9-CE60-F7EA-DBB8-0E07CD2BA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24720" y="6659880"/>
          <a:ext cx="9126224" cy="406774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200EB-BC87-4460-A04B-F3EE0F92B1B7}" name="Tabla1" displayName="Tabla1" ref="A4:E123" totalsRowShown="0" headerRowDxfId="32">
  <tableColumns count="5">
    <tableColumn id="1" xr3:uid="{36B91368-0229-40B3-B2BF-B2870FC2795C}" name="EQUIPO" dataDxfId="31"/>
    <tableColumn id="2" xr3:uid="{59158391-FE88-4D74-B8CB-CDB49222132F}" name="HORÓMETRO_x000a_ ULTIMA MP" dataDxfId="30">
      <calculatedColumnFormula>_xlfn.XLOOKUP(A5,'930E-980E'!$B$7:$B$125,'930E-980E'!$L$7:$L$125)</calculatedColumnFormula>
    </tableColumn>
    <tableColumn id="3" xr3:uid="{2FAF7559-9020-48E2-B9D7-D044D4AE0B35}" name="FECHA _x000a_ULTIMA MP " dataDxfId="29">
      <calculatedColumnFormula>_xlfn.XLOOKUP(A5,'930E-980E'!$B$7:$B$125,'930E-980E'!$M$7:$M$125)</calculatedColumnFormula>
    </tableColumn>
    <tableColumn id="4" xr3:uid="{0582E28A-B900-45FA-BE41-B8C8203AF5A2}" name="AVANCE HRS DESDE LA ULTIMA MP" dataDxfId="28">
      <calculatedColumnFormula>_xlfn.XLOOKUP(A5,'930E-980E'!$B$7:$B$125,'930E-980E'!$N$7:$N$125)</calculatedColumnFormula>
    </tableColumn>
    <tableColumn id="5" xr3:uid="{5DAAEEE8-2571-4DE2-9E6C-121E80872AAC}" name="HORÓMETRO_x000a_ACTUAL CAEX" dataDxfId="27">
      <calculatedColumnFormula>_xlfn.XLOOKUP(A5,'930E-980E'!$B$7:$B$125,'930E-980E'!$AB$7:$AB$125)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F2FD93-D617-41C3-8E6B-79AF4831314A}" name="Tabla2" displayName="Tabla2" ref="A128:E137" totalsRowShown="0" headerRowDxfId="26" headerRowBorderDxfId="25" tableBorderDxfId="24" totalsRowBorderDxfId="23">
  <tableColumns count="5">
    <tableColumn id="1" xr3:uid="{09852D8E-6237-4EEA-923A-CB41B91DF05D}" name="EQUIPO" dataDxfId="22"/>
    <tableColumn id="2" xr3:uid="{E937DDD1-D478-4119-AE7A-E098385AD9D6}" name="HORÓMETRO_x000a_ ULTIMA MP" dataDxfId="21">
      <calculatedColumnFormula>_xlfn.XLOOKUP(A129,'830E'!$B$7:$B$15,'830E'!$L$7:$L$15)</calculatedColumnFormula>
    </tableColumn>
    <tableColumn id="3" xr3:uid="{86E03F8A-3576-4EFB-8BCA-89BEF4BFB43D}" name="FECHA _x000a_ULTIMA MP " dataDxfId="20">
      <calculatedColumnFormula>_xlfn.XLOOKUP(A129,'830E'!$B$7:$B$15,'830E'!$M$7:$M$15)</calculatedColumnFormula>
    </tableColumn>
    <tableColumn id="4" xr3:uid="{F6108785-8658-4B40-8E3D-7BA769B0263D}" name="AVANCE HRS DESDE LA ULTIMA MP" dataDxfId="19">
      <calculatedColumnFormula>_xlfn.XLOOKUP(A129,'830E'!$B$7:$B$15,'830E'!$N$7:$N$15)</calculatedColumnFormula>
    </tableColumn>
    <tableColumn id="5" xr3:uid="{8A9A607F-A2EB-4C8D-9D88-9C9ABA3CC56E}" name="HORÓMETRO_x000a_ACTUAL CAEX" dataDxfId="18">
      <calculatedColumnFormula>_xlfn.XLOOKUP(A129,'830E'!$B$7:$B$15,'830E'!$Z$7:$Z$15)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AFCB6A-C855-420C-8757-F7F0CCD25DA6}" name="Tabla4" displayName="Tabla4" ref="G4:K123" totalsRowShown="0" headerRowDxfId="17" headerRowBorderDxfId="16" tableBorderDxfId="15" totalsRowBorderDxfId="14">
  <tableColumns count="5">
    <tableColumn id="1" xr3:uid="{91056837-0A03-468F-9AFC-B6A23F3D0357}" name="PRÓXIMO_x000a_HORÓMETRO MP_x000a_CAEX" dataDxfId="13">
      <calculatedColumnFormula>B5+500</calculatedColumnFormula>
    </tableColumn>
    <tableColumn id="2" xr3:uid="{7B885AF6-F461-44D2-96B4-0718D952B50E}" name="HORAS PARA LA PROXIMA MP" dataDxfId="12">
      <calculatedColumnFormula>500-D5</calculatedColumnFormula>
    </tableColumn>
    <tableColumn id="3" xr3:uid="{90CAD8F5-2363-4426-9EBC-5AB5011082DB}" name="DÍAS RESTANTES PRÓXIMA MP" dataDxfId="11">
      <calculatedColumnFormula>IF(D5&lt;1,"MP-RECIENTE",IF(J5&lt;TODAY()-1,-((TODAY()-1)-J5),J5-TODAY()-1))</calculatedColumnFormula>
    </tableColumn>
    <tableColumn id="4" xr3:uid="{DCA2B8E6-950B-4A95-A7C7-F481C264F3DE}" name="FECHA TENTATIVA_x000a_ DE PRÓXIMA MP" dataDxfId="10">
      <calculatedColumnFormula>IF(D5&lt;1,"MP-RECIENTE",TODAY()+((500-D5)/(D5/(TODAY()-C5))))</calculatedColumnFormula>
    </tableColumn>
    <tableColumn id="5" xr3:uid="{80AFFE37-978E-47B5-9CD8-37042A88F25A}" name="SUGERENCIA" dataDxfId="9">
      <calculatedColumnFormula array="1">_xlfn.IFS(I5&gt;=19,"Normal",I5&gt;11.999,"Proyectar",I5&gt;0,"Programar",TRUE,"Atrasado")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FFAEFD-3118-4234-954B-A4617DA6974E}" name="Tabla5" displayName="Tabla5" ref="G128:K137" totalsRowShown="0" headerRowDxfId="8" headerRowBorderDxfId="7" tableBorderDxfId="6" totalsRowBorderDxfId="5">
  <tableColumns count="5">
    <tableColumn id="1" xr3:uid="{C1CEA600-48F8-4614-A456-062435339A44}" name="PRÓXIMO_x000a_HORÓMETRO MP_x000a_CAEX" dataDxfId="4">
      <calculatedColumnFormula>B129+250</calculatedColumnFormula>
    </tableColumn>
    <tableColumn id="2" xr3:uid="{538BE5DE-CAE9-434E-A78B-4BF91B573C4D}" name="HRS RETANTES PARA LA PROXIMA MP" dataDxfId="3">
      <calculatedColumnFormula>250-D129</calculatedColumnFormula>
    </tableColumn>
    <tableColumn id="3" xr3:uid="{2317D691-28FC-40C7-A8DD-6332A23B5DF3}" name="DÍAS RESTANTES PRÓXIMA MP" dataDxfId="2">
      <calculatedColumnFormula>IF(D129&lt;1,"MP-RECIENTE",IF(J129&lt;TODAY()-1,-((TODAY()-1)-J129),J129-TODAY()-1))</calculatedColumnFormula>
    </tableColumn>
    <tableColumn id="4" xr3:uid="{599959D0-8201-4AF1-9F1D-4F89D23ACEA5}" name="FECHA TENTATIVA_x000a_ DE PRÓXIMA MP" dataDxfId="1">
      <calculatedColumnFormula>IF(D129&lt;1,"MP-RECIENTE",TODAY()+((250-D129)/(D129/(TODAY()-C129))))</calculatedColumnFormula>
    </tableColumn>
    <tableColumn id="5" xr3:uid="{8318CD47-DB6B-426E-B6CB-7ADCE014FFD2}" name="SUGERENCIA" dataDxfId="0">
      <calculatedColumnFormula array="1">_xlfn.IFS(I129&gt;=19,"Normal",I129&gt;11.999,"Proyectar",I129&gt;0,"Programar",TRUE,"Atrasado")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60D60-88B4-4F49-8E45-2F8DFF21783E}">
  <sheetPr codeName="Hoja1">
    <tabColor rgb="FFFFC000"/>
  </sheetPr>
  <dimension ref="A1:Q357"/>
  <sheetViews>
    <sheetView zoomScale="85" zoomScaleNormal="85" workbookViewId="0">
      <selection activeCell="P2" sqref="P2"/>
    </sheetView>
  </sheetViews>
  <sheetFormatPr baseColWidth="10" defaultRowHeight="14.5" x14ac:dyDescent="0.35"/>
  <cols>
    <col min="16" max="16" width="26.81640625" customWidth="1"/>
    <col min="17" max="17" width="13.08984375" customWidth="1"/>
  </cols>
  <sheetData>
    <row r="1" spans="1:17" ht="15" thickBot="1" x14ac:dyDescent="0.4">
      <c r="A1" t="s">
        <v>896</v>
      </c>
      <c r="B1" t="s">
        <v>350</v>
      </c>
      <c r="C1" t="s">
        <v>351</v>
      </c>
      <c r="D1" t="s">
        <v>352</v>
      </c>
      <c r="E1" t="s">
        <v>353</v>
      </c>
      <c r="F1">
        <v>0.36296296296296299</v>
      </c>
    </row>
    <row r="2" spans="1:17" ht="15.5" thickTop="1" thickBot="1" x14ac:dyDescent="0.4">
      <c r="P2" s="38" t="s">
        <v>717</v>
      </c>
      <c r="Q2" s="43"/>
    </row>
    <row r="3" spans="1:17" ht="15" thickTop="1" x14ac:dyDescent="0.35"/>
    <row r="4" spans="1:17" x14ac:dyDescent="0.35">
      <c r="B4" t="s">
        <v>354</v>
      </c>
      <c r="C4" t="s">
        <v>355</v>
      </c>
      <c r="D4" t="s">
        <v>356</v>
      </c>
      <c r="E4" t="s">
        <v>357</v>
      </c>
      <c r="F4" t="s">
        <v>358</v>
      </c>
    </row>
    <row r="5" spans="1:17" x14ac:dyDescent="0.35">
      <c r="B5" s="56">
        <v>45568</v>
      </c>
      <c r="C5" t="s">
        <v>897</v>
      </c>
      <c r="D5" t="s">
        <v>718</v>
      </c>
      <c r="E5" t="s">
        <v>359</v>
      </c>
      <c r="F5" t="s">
        <v>360</v>
      </c>
    </row>
    <row r="7" spans="1:17" x14ac:dyDescent="0.35">
      <c r="A7" t="s">
        <v>361</v>
      </c>
      <c r="B7" t="s">
        <v>362</v>
      </c>
      <c r="C7" t="s">
        <v>577</v>
      </c>
      <c r="D7" t="s">
        <v>578</v>
      </c>
      <c r="E7" t="s">
        <v>579</v>
      </c>
      <c r="F7" t="s">
        <v>580</v>
      </c>
      <c r="G7" t="s">
        <v>581</v>
      </c>
      <c r="H7" t="s">
        <v>582</v>
      </c>
      <c r="I7" t="s">
        <v>583</v>
      </c>
      <c r="J7" t="s">
        <v>584</v>
      </c>
      <c r="K7" t="s">
        <v>585</v>
      </c>
      <c r="L7" t="s">
        <v>363</v>
      </c>
      <c r="M7" t="s">
        <v>586</v>
      </c>
      <c r="N7" t="s">
        <v>587</v>
      </c>
      <c r="O7" t="s">
        <v>588</v>
      </c>
      <c r="P7" t="s">
        <v>589</v>
      </c>
    </row>
    <row r="8" spans="1:17" x14ac:dyDescent="0.35">
      <c r="A8" t="s">
        <v>364</v>
      </c>
      <c r="B8" t="s">
        <v>365</v>
      </c>
      <c r="C8" t="s">
        <v>365</v>
      </c>
      <c r="D8" t="s">
        <v>365</v>
      </c>
      <c r="E8" t="s">
        <v>365</v>
      </c>
      <c r="F8" t="s">
        <v>365</v>
      </c>
      <c r="G8" t="s">
        <v>365</v>
      </c>
      <c r="H8" t="s">
        <v>365</v>
      </c>
      <c r="I8" t="s">
        <v>365</v>
      </c>
      <c r="J8" t="s">
        <v>365</v>
      </c>
      <c r="K8" t="s">
        <v>365</v>
      </c>
      <c r="L8" t="s">
        <v>365</v>
      </c>
      <c r="M8" t="s">
        <v>365</v>
      </c>
      <c r="N8" t="s">
        <v>365</v>
      </c>
      <c r="O8" t="s">
        <v>365</v>
      </c>
      <c r="P8" t="s">
        <v>365</v>
      </c>
    </row>
    <row r="9" spans="1:17" x14ac:dyDescent="0.35">
      <c r="A9" t="s">
        <v>366</v>
      </c>
      <c r="B9" t="s">
        <v>590</v>
      </c>
      <c r="C9" t="s">
        <v>590</v>
      </c>
      <c r="D9" t="s">
        <v>590</v>
      </c>
      <c r="E9" t="s">
        <v>591</v>
      </c>
      <c r="F9" t="s">
        <v>590</v>
      </c>
      <c r="G9" t="s">
        <v>590</v>
      </c>
      <c r="H9" t="s">
        <v>590</v>
      </c>
      <c r="I9" t="s">
        <v>590</v>
      </c>
      <c r="J9" t="s">
        <v>590</v>
      </c>
      <c r="K9" t="s">
        <v>590</v>
      </c>
      <c r="L9">
        <v>24</v>
      </c>
      <c r="M9" t="s">
        <v>592</v>
      </c>
      <c r="N9" t="s">
        <v>592</v>
      </c>
      <c r="O9" t="s">
        <v>590</v>
      </c>
      <c r="P9" t="s">
        <v>590</v>
      </c>
    </row>
    <row r="10" spans="1:17" x14ac:dyDescent="0.35">
      <c r="A10" t="s">
        <v>367</v>
      </c>
      <c r="B10" t="s">
        <v>590</v>
      </c>
      <c r="C10" t="s">
        <v>590</v>
      </c>
      <c r="D10" t="s">
        <v>590</v>
      </c>
      <c r="E10" t="s">
        <v>591</v>
      </c>
      <c r="F10" t="s">
        <v>590</v>
      </c>
      <c r="G10" t="s">
        <v>590</v>
      </c>
      <c r="H10" t="s">
        <v>590</v>
      </c>
      <c r="I10" t="s">
        <v>590</v>
      </c>
      <c r="J10" t="s">
        <v>590</v>
      </c>
      <c r="K10" t="s">
        <v>590</v>
      </c>
      <c r="L10">
        <v>24</v>
      </c>
      <c r="M10" t="s">
        <v>592</v>
      </c>
      <c r="N10" t="s">
        <v>592</v>
      </c>
      <c r="O10" t="s">
        <v>590</v>
      </c>
      <c r="P10" t="s">
        <v>590</v>
      </c>
    </row>
    <row r="11" spans="1:17" x14ac:dyDescent="0.35">
      <c r="A11" t="s">
        <v>368</v>
      </c>
      <c r="B11" t="s">
        <v>590</v>
      </c>
      <c r="C11" t="s">
        <v>590</v>
      </c>
      <c r="D11" t="s">
        <v>590</v>
      </c>
      <c r="E11" t="s">
        <v>591</v>
      </c>
      <c r="F11" t="s">
        <v>590</v>
      </c>
      <c r="G11" t="s">
        <v>590</v>
      </c>
      <c r="H11" t="s">
        <v>590</v>
      </c>
      <c r="I11" t="s">
        <v>590</v>
      </c>
      <c r="J11" t="s">
        <v>590</v>
      </c>
      <c r="K11" t="s">
        <v>590</v>
      </c>
      <c r="L11">
        <v>24</v>
      </c>
      <c r="M11" t="s">
        <v>592</v>
      </c>
      <c r="N11" t="s">
        <v>592</v>
      </c>
      <c r="O11" t="s">
        <v>590</v>
      </c>
      <c r="P11" t="s">
        <v>590</v>
      </c>
    </row>
    <row r="12" spans="1:17" x14ac:dyDescent="0.35">
      <c r="A12" t="s">
        <v>369</v>
      </c>
      <c r="B12" t="s">
        <v>590</v>
      </c>
      <c r="C12" t="s">
        <v>590</v>
      </c>
      <c r="D12" t="s">
        <v>590</v>
      </c>
      <c r="E12" t="s">
        <v>590</v>
      </c>
      <c r="F12" t="s">
        <v>590</v>
      </c>
      <c r="G12" t="s">
        <v>590</v>
      </c>
      <c r="H12" t="s">
        <v>590</v>
      </c>
      <c r="I12" t="s">
        <v>590</v>
      </c>
      <c r="J12" t="s">
        <v>590</v>
      </c>
      <c r="K12" t="s">
        <v>591</v>
      </c>
      <c r="L12">
        <v>24</v>
      </c>
      <c r="M12" t="s">
        <v>590</v>
      </c>
      <c r="N12" t="s">
        <v>590</v>
      </c>
      <c r="O12" t="s">
        <v>590</v>
      </c>
      <c r="P12" t="s">
        <v>590</v>
      </c>
    </row>
    <row r="13" spans="1:17" x14ac:dyDescent="0.35">
      <c r="A13" t="s">
        <v>370</v>
      </c>
      <c r="B13" t="s">
        <v>590</v>
      </c>
      <c r="C13" t="s">
        <v>590</v>
      </c>
      <c r="D13" t="s">
        <v>590</v>
      </c>
      <c r="E13" t="s">
        <v>591</v>
      </c>
      <c r="F13" t="s">
        <v>590</v>
      </c>
      <c r="G13" t="s">
        <v>590</v>
      </c>
      <c r="H13" t="s">
        <v>590</v>
      </c>
      <c r="I13" t="s">
        <v>590</v>
      </c>
      <c r="J13" t="s">
        <v>590</v>
      </c>
      <c r="K13" t="s">
        <v>590</v>
      </c>
      <c r="L13">
        <v>24</v>
      </c>
      <c r="M13" t="s">
        <v>592</v>
      </c>
      <c r="N13" t="s">
        <v>592</v>
      </c>
      <c r="O13" t="s">
        <v>590</v>
      </c>
      <c r="P13" t="s">
        <v>590</v>
      </c>
    </row>
    <row r="14" spans="1:17" x14ac:dyDescent="0.35">
      <c r="A14" t="s">
        <v>364</v>
      </c>
      <c r="B14" t="s">
        <v>365</v>
      </c>
      <c r="C14" t="s">
        <v>365</v>
      </c>
      <c r="D14" t="s">
        <v>365</v>
      </c>
      <c r="E14" t="s">
        <v>365</v>
      </c>
      <c r="F14" t="s">
        <v>365</v>
      </c>
      <c r="G14" t="s">
        <v>365</v>
      </c>
      <c r="H14" t="s">
        <v>365</v>
      </c>
      <c r="I14" t="s">
        <v>365</v>
      </c>
      <c r="J14" t="s">
        <v>365</v>
      </c>
      <c r="K14" t="s">
        <v>365</v>
      </c>
      <c r="L14" t="s">
        <v>365</v>
      </c>
      <c r="M14" t="s">
        <v>365</v>
      </c>
      <c r="N14" t="s">
        <v>365</v>
      </c>
      <c r="O14" t="s">
        <v>365</v>
      </c>
      <c r="P14" t="s">
        <v>365</v>
      </c>
    </row>
    <row r="15" spans="1:17" x14ac:dyDescent="0.35">
      <c r="A15" t="s">
        <v>371</v>
      </c>
      <c r="B15" t="s">
        <v>590</v>
      </c>
      <c r="C15" t="s">
        <v>590</v>
      </c>
      <c r="D15" t="s">
        <v>590</v>
      </c>
      <c r="E15" t="s">
        <v>593</v>
      </c>
      <c r="F15" t="s">
        <v>590</v>
      </c>
      <c r="G15" t="s">
        <v>590</v>
      </c>
      <c r="H15" t="s">
        <v>590</v>
      </c>
      <c r="I15" t="s">
        <v>590</v>
      </c>
      <c r="J15" t="s">
        <v>590</v>
      </c>
      <c r="K15" t="s">
        <v>591</v>
      </c>
      <c r="L15">
        <v>120</v>
      </c>
      <c r="M15" t="s">
        <v>594</v>
      </c>
      <c r="N15" t="s">
        <v>594</v>
      </c>
      <c r="O15" t="s">
        <v>590</v>
      </c>
      <c r="P15" t="s">
        <v>590</v>
      </c>
    </row>
    <row r="17" spans="1:16" x14ac:dyDescent="0.35">
      <c r="A17" t="s">
        <v>372</v>
      </c>
      <c r="B17" t="s">
        <v>898</v>
      </c>
      <c r="C17" t="s">
        <v>806</v>
      </c>
      <c r="D17" t="s">
        <v>751</v>
      </c>
      <c r="E17" t="s">
        <v>590</v>
      </c>
      <c r="F17" t="s">
        <v>776</v>
      </c>
      <c r="G17" t="s">
        <v>590</v>
      </c>
      <c r="H17" t="s">
        <v>590</v>
      </c>
      <c r="I17" t="s">
        <v>590</v>
      </c>
      <c r="J17" t="s">
        <v>590</v>
      </c>
      <c r="K17" t="s">
        <v>590</v>
      </c>
      <c r="L17">
        <v>24</v>
      </c>
      <c r="M17" t="s">
        <v>899</v>
      </c>
      <c r="N17" t="s">
        <v>899</v>
      </c>
      <c r="O17" t="s">
        <v>900</v>
      </c>
      <c r="P17" t="s">
        <v>721</v>
      </c>
    </row>
    <row r="18" spans="1:16" x14ac:dyDescent="0.35">
      <c r="A18" t="s">
        <v>373</v>
      </c>
      <c r="B18" t="s">
        <v>901</v>
      </c>
      <c r="C18" t="s">
        <v>651</v>
      </c>
      <c r="D18" t="s">
        <v>590</v>
      </c>
      <c r="E18" t="s">
        <v>632</v>
      </c>
      <c r="F18" t="s">
        <v>807</v>
      </c>
      <c r="G18" t="s">
        <v>590</v>
      </c>
      <c r="H18" t="s">
        <v>590</v>
      </c>
      <c r="I18" t="s">
        <v>590</v>
      </c>
      <c r="J18" t="s">
        <v>590</v>
      </c>
      <c r="K18" t="s">
        <v>590</v>
      </c>
      <c r="L18">
        <v>24</v>
      </c>
      <c r="M18" t="s">
        <v>902</v>
      </c>
      <c r="N18" t="s">
        <v>902</v>
      </c>
      <c r="O18" t="s">
        <v>792</v>
      </c>
      <c r="P18" t="s">
        <v>592</v>
      </c>
    </row>
    <row r="19" spans="1:16" x14ac:dyDescent="0.35">
      <c r="A19" t="s">
        <v>374</v>
      </c>
      <c r="B19" t="s">
        <v>903</v>
      </c>
      <c r="C19" t="s">
        <v>678</v>
      </c>
      <c r="D19" t="s">
        <v>590</v>
      </c>
      <c r="E19" t="s">
        <v>590</v>
      </c>
      <c r="F19" t="s">
        <v>590</v>
      </c>
      <c r="G19" t="s">
        <v>904</v>
      </c>
      <c r="H19" t="s">
        <v>590</v>
      </c>
      <c r="I19" t="s">
        <v>590</v>
      </c>
      <c r="J19" t="s">
        <v>590</v>
      </c>
      <c r="K19" t="s">
        <v>590</v>
      </c>
      <c r="L19">
        <v>24</v>
      </c>
      <c r="M19" t="s">
        <v>905</v>
      </c>
      <c r="N19" t="s">
        <v>905</v>
      </c>
      <c r="O19" t="s">
        <v>906</v>
      </c>
      <c r="P19" t="s">
        <v>592</v>
      </c>
    </row>
    <row r="20" spans="1:16" x14ac:dyDescent="0.35">
      <c r="A20" t="s">
        <v>364</v>
      </c>
      <c r="B20" t="s">
        <v>365</v>
      </c>
      <c r="C20" t="s">
        <v>365</v>
      </c>
      <c r="D20" t="s">
        <v>365</v>
      </c>
      <c r="E20" t="s">
        <v>365</v>
      </c>
      <c r="F20" t="s">
        <v>365</v>
      </c>
      <c r="G20" t="s">
        <v>365</v>
      </c>
      <c r="H20" t="s">
        <v>365</v>
      </c>
      <c r="I20" t="s">
        <v>365</v>
      </c>
      <c r="J20" t="s">
        <v>365</v>
      </c>
      <c r="K20" t="s">
        <v>365</v>
      </c>
      <c r="L20" t="s">
        <v>365</v>
      </c>
      <c r="M20" t="s">
        <v>365</v>
      </c>
      <c r="N20" t="s">
        <v>365</v>
      </c>
      <c r="O20" t="s">
        <v>365</v>
      </c>
      <c r="P20" t="s">
        <v>365</v>
      </c>
    </row>
    <row r="21" spans="1:16" x14ac:dyDescent="0.35">
      <c r="A21" t="s">
        <v>375</v>
      </c>
      <c r="B21" t="s">
        <v>907</v>
      </c>
      <c r="C21" t="s">
        <v>908</v>
      </c>
      <c r="D21" t="s">
        <v>590</v>
      </c>
      <c r="E21" t="s">
        <v>632</v>
      </c>
      <c r="F21" t="s">
        <v>807</v>
      </c>
      <c r="G21" t="s">
        <v>904</v>
      </c>
      <c r="H21" t="s">
        <v>590</v>
      </c>
      <c r="I21" t="s">
        <v>590</v>
      </c>
      <c r="J21" t="s">
        <v>590</v>
      </c>
      <c r="K21" t="s">
        <v>590</v>
      </c>
      <c r="L21">
        <v>48</v>
      </c>
      <c r="M21" t="s">
        <v>909</v>
      </c>
      <c r="N21" t="s">
        <v>909</v>
      </c>
      <c r="O21" t="s">
        <v>763</v>
      </c>
      <c r="P21" t="s">
        <v>592</v>
      </c>
    </row>
    <row r="23" spans="1:16" x14ac:dyDescent="0.35">
      <c r="A23" t="s">
        <v>376</v>
      </c>
      <c r="B23" t="s">
        <v>590</v>
      </c>
      <c r="C23" t="s">
        <v>590</v>
      </c>
      <c r="D23" t="s">
        <v>590</v>
      </c>
      <c r="E23" t="s">
        <v>590</v>
      </c>
      <c r="F23" t="s">
        <v>591</v>
      </c>
      <c r="G23" t="s">
        <v>590</v>
      </c>
      <c r="H23" t="s">
        <v>590</v>
      </c>
      <c r="I23" t="s">
        <v>590</v>
      </c>
      <c r="J23" t="s">
        <v>590</v>
      </c>
      <c r="K23" t="s">
        <v>590</v>
      </c>
      <c r="L23">
        <v>24</v>
      </c>
      <c r="M23" t="s">
        <v>590</v>
      </c>
      <c r="N23" t="s">
        <v>590</v>
      </c>
      <c r="O23" t="s">
        <v>590</v>
      </c>
      <c r="P23" t="s">
        <v>590</v>
      </c>
    </row>
    <row r="24" spans="1:16" x14ac:dyDescent="0.35">
      <c r="A24" t="s">
        <v>377</v>
      </c>
      <c r="B24" t="s">
        <v>910</v>
      </c>
      <c r="C24" t="s">
        <v>590</v>
      </c>
      <c r="D24" t="s">
        <v>865</v>
      </c>
      <c r="E24" t="s">
        <v>590</v>
      </c>
      <c r="F24" t="s">
        <v>590</v>
      </c>
      <c r="G24" t="s">
        <v>590</v>
      </c>
      <c r="H24" t="s">
        <v>590</v>
      </c>
      <c r="I24" t="s">
        <v>590</v>
      </c>
      <c r="J24" t="s">
        <v>590</v>
      </c>
      <c r="K24" t="s">
        <v>590</v>
      </c>
      <c r="L24">
        <v>24</v>
      </c>
      <c r="M24" t="s">
        <v>592</v>
      </c>
      <c r="N24" t="s">
        <v>592</v>
      </c>
      <c r="O24" t="s">
        <v>592</v>
      </c>
      <c r="P24" t="s">
        <v>911</v>
      </c>
    </row>
    <row r="25" spans="1:16" x14ac:dyDescent="0.35">
      <c r="A25" t="s">
        <v>364</v>
      </c>
      <c r="B25" t="s">
        <v>365</v>
      </c>
      <c r="C25" t="s">
        <v>365</v>
      </c>
      <c r="D25" t="s">
        <v>365</v>
      </c>
      <c r="E25" t="s">
        <v>365</v>
      </c>
      <c r="F25" t="s">
        <v>365</v>
      </c>
      <c r="G25" t="s">
        <v>365</v>
      </c>
      <c r="H25" t="s">
        <v>365</v>
      </c>
      <c r="I25" t="s">
        <v>365</v>
      </c>
      <c r="J25" t="s">
        <v>365</v>
      </c>
      <c r="K25" t="s">
        <v>365</v>
      </c>
      <c r="L25" t="s">
        <v>365</v>
      </c>
      <c r="M25" t="s">
        <v>365</v>
      </c>
      <c r="N25" t="s">
        <v>365</v>
      </c>
      <c r="O25" t="s">
        <v>365</v>
      </c>
      <c r="P25" t="s">
        <v>365</v>
      </c>
    </row>
    <row r="26" spans="1:16" x14ac:dyDescent="0.35">
      <c r="A26" t="s">
        <v>598</v>
      </c>
      <c r="B26" t="s">
        <v>910</v>
      </c>
      <c r="C26" t="s">
        <v>590</v>
      </c>
      <c r="D26" t="s">
        <v>865</v>
      </c>
      <c r="E26" t="s">
        <v>590</v>
      </c>
      <c r="F26" t="s">
        <v>591</v>
      </c>
      <c r="G26" t="s">
        <v>590</v>
      </c>
      <c r="H26" t="s">
        <v>590</v>
      </c>
      <c r="I26" t="s">
        <v>590</v>
      </c>
      <c r="J26" t="s">
        <v>590</v>
      </c>
      <c r="K26" t="s">
        <v>590</v>
      </c>
      <c r="L26">
        <v>48</v>
      </c>
      <c r="M26" t="s">
        <v>599</v>
      </c>
      <c r="N26" t="s">
        <v>599</v>
      </c>
      <c r="O26" t="s">
        <v>592</v>
      </c>
      <c r="P26" t="s">
        <v>911</v>
      </c>
    </row>
    <row r="28" spans="1:16" x14ac:dyDescent="0.35">
      <c r="A28" t="s">
        <v>378</v>
      </c>
      <c r="B28" t="s">
        <v>590</v>
      </c>
      <c r="C28" t="s">
        <v>590</v>
      </c>
      <c r="D28" t="s">
        <v>591</v>
      </c>
      <c r="E28" t="s">
        <v>590</v>
      </c>
      <c r="F28" t="s">
        <v>590</v>
      </c>
      <c r="G28" t="s">
        <v>590</v>
      </c>
      <c r="H28" t="s">
        <v>590</v>
      </c>
      <c r="I28" t="s">
        <v>590</v>
      </c>
      <c r="J28" t="s">
        <v>590</v>
      </c>
      <c r="K28" t="s">
        <v>590</v>
      </c>
      <c r="L28">
        <v>24</v>
      </c>
      <c r="M28" t="s">
        <v>592</v>
      </c>
      <c r="N28" t="s">
        <v>592</v>
      </c>
      <c r="O28" t="s">
        <v>592</v>
      </c>
      <c r="P28" t="s">
        <v>590</v>
      </c>
    </row>
    <row r="29" spans="1:16" x14ac:dyDescent="0.35">
      <c r="A29" t="s">
        <v>379</v>
      </c>
      <c r="B29" t="s">
        <v>590</v>
      </c>
      <c r="C29" t="s">
        <v>590</v>
      </c>
      <c r="D29" t="s">
        <v>590</v>
      </c>
      <c r="E29" t="s">
        <v>591</v>
      </c>
      <c r="F29" t="s">
        <v>590</v>
      </c>
      <c r="G29" t="s">
        <v>590</v>
      </c>
      <c r="H29" t="s">
        <v>590</v>
      </c>
      <c r="I29" t="s">
        <v>590</v>
      </c>
      <c r="J29" t="s">
        <v>590</v>
      </c>
      <c r="K29" t="s">
        <v>590</v>
      </c>
      <c r="L29">
        <v>24</v>
      </c>
      <c r="M29" t="s">
        <v>592</v>
      </c>
      <c r="N29" t="s">
        <v>592</v>
      </c>
      <c r="O29" t="s">
        <v>590</v>
      </c>
      <c r="P29" t="s">
        <v>590</v>
      </c>
    </row>
    <row r="30" spans="1:16" x14ac:dyDescent="0.35">
      <c r="A30" t="s">
        <v>380</v>
      </c>
      <c r="B30" t="s">
        <v>590</v>
      </c>
      <c r="C30" t="s">
        <v>590</v>
      </c>
      <c r="D30" t="s">
        <v>590</v>
      </c>
      <c r="E30" t="s">
        <v>591</v>
      </c>
      <c r="F30" t="s">
        <v>590</v>
      </c>
      <c r="G30" t="s">
        <v>590</v>
      </c>
      <c r="H30" t="s">
        <v>590</v>
      </c>
      <c r="I30" t="s">
        <v>590</v>
      </c>
      <c r="J30" t="s">
        <v>590</v>
      </c>
      <c r="K30" t="s">
        <v>590</v>
      </c>
      <c r="L30">
        <v>24</v>
      </c>
      <c r="M30" t="s">
        <v>592</v>
      </c>
      <c r="N30" t="s">
        <v>592</v>
      </c>
      <c r="O30" t="s">
        <v>590</v>
      </c>
      <c r="P30" t="s">
        <v>590</v>
      </c>
    </row>
    <row r="31" spans="1:16" x14ac:dyDescent="0.35">
      <c r="A31" t="s">
        <v>381</v>
      </c>
      <c r="B31" t="s">
        <v>912</v>
      </c>
      <c r="C31" t="s">
        <v>913</v>
      </c>
      <c r="D31" t="s">
        <v>590</v>
      </c>
      <c r="E31" t="s">
        <v>614</v>
      </c>
      <c r="F31" t="s">
        <v>590</v>
      </c>
      <c r="G31" t="s">
        <v>590</v>
      </c>
      <c r="H31" t="s">
        <v>590</v>
      </c>
      <c r="I31" t="s">
        <v>590</v>
      </c>
      <c r="J31" t="s">
        <v>590</v>
      </c>
      <c r="K31" t="s">
        <v>590</v>
      </c>
      <c r="L31">
        <v>24</v>
      </c>
      <c r="M31" t="s">
        <v>592</v>
      </c>
      <c r="N31" t="s">
        <v>592</v>
      </c>
      <c r="O31" t="s">
        <v>914</v>
      </c>
      <c r="P31" t="s">
        <v>592</v>
      </c>
    </row>
    <row r="32" spans="1:16" x14ac:dyDescent="0.35">
      <c r="A32" t="s">
        <v>382</v>
      </c>
      <c r="B32" t="s">
        <v>590</v>
      </c>
      <c r="C32" t="s">
        <v>915</v>
      </c>
      <c r="D32" t="s">
        <v>798</v>
      </c>
      <c r="E32" t="s">
        <v>714</v>
      </c>
      <c r="F32" t="s">
        <v>677</v>
      </c>
      <c r="G32" t="s">
        <v>590</v>
      </c>
      <c r="H32" t="s">
        <v>590</v>
      </c>
      <c r="I32" t="s">
        <v>590</v>
      </c>
      <c r="J32" t="s">
        <v>590</v>
      </c>
      <c r="K32" t="s">
        <v>916</v>
      </c>
      <c r="L32">
        <v>24</v>
      </c>
      <c r="M32" t="s">
        <v>917</v>
      </c>
      <c r="N32" t="s">
        <v>917</v>
      </c>
      <c r="O32" t="s">
        <v>813</v>
      </c>
      <c r="P32" t="s">
        <v>590</v>
      </c>
    </row>
    <row r="33" spans="1:16" x14ac:dyDescent="0.35">
      <c r="A33" t="s">
        <v>383</v>
      </c>
      <c r="B33" t="s">
        <v>590</v>
      </c>
      <c r="C33" t="s">
        <v>590</v>
      </c>
      <c r="D33" t="s">
        <v>590</v>
      </c>
      <c r="E33" t="s">
        <v>590</v>
      </c>
      <c r="F33" t="s">
        <v>590</v>
      </c>
      <c r="G33" t="s">
        <v>590</v>
      </c>
      <c r="H33" t="s">
        <v>590</v>
      </c>
      <c r="I33" t="s">
        <v>590</v>
      </c>
      <c r="J33" t="s">
        <v>590</v>
      </c>
      <c r="K33" t="s">
        <v>591</v>
      </c>
      <c r="L33">
        <v>24</v>
      </c>
      <c r="M33" t="s">
        <v>590</v>
      </c>
      <c r="N33" t="s">
        <v>590</v>
      </c>
      <c r="O33" t="s">
        <v>590</v>
      </c>
      <c r="P33" t="s">
        <v>590</v>
      </c>
    </row>
    <row r="34" spans="1:16" x14ac:dyDescent="0.35">
      <c r="A34" t="s">
        <v>384</v>
      </c>
      <c r="B34" t="s">
        <v>918</v>
      </c>
      <c r="C34" t="s">
        <v>627</v>
      </c>
      <c r="D34" t="s">
        <v>623</v>
      </c>
      <c r="E34" t="s">
        <v>590</v>
      </c>
      <c r="F34" t="s">
        <v>789</v>
      </c>
      <c r="G34" t="s">
        <v>590</v>
      </c>
      <c r="H34" t="s">
        <v>590</v>
      </c>
      <c r="I34" t="s">
        <v>590</v>
      </c>
      <c r="J34" t="s">
        <v>590</v>
      </c>
      <c r="K34" t="s">
        <v>590</v>
      </c>
      <c r="L34">
        <v>24</v>
      </c>
      <c r="M34" t="s">
        <v>919</v>
      </c>
      <c r="N34" t="s">
        <v>919</v>
      </c>
      <c r="O34" t="s">
        <v>920</v>
      </c>
      <c r="P34" t="s">
        <v>921</v>
      </c>
    </row>
    <row r="35" spans="1:16" x14ac:dyDescent="0.35">
      <c r="A35" t="s">
        <v>385</v>
      </c>
      <c r="B35" t="s">
        <v>922</v>
      </c>
      <c r="C35" t="s">
        <v>923</v>
      </c>
      <c r="D35" t="s">
        <v>609</v>
      </c>
      <c r="E35" t="s">
        <v>924</v>
      </c>
      <c r="F35" t="s">
        <v>620</v>
      </c>
      <c r="G35" t="s">
        <v>590</v>
      </c>
      <c r="H35" t="s">
        <v>590</v>
      </c>
      <c r="I35" t="s">
        <v>925</v>
      </c>
      <c r="J35" t="s">
        <v>590</v>
      </c>
      <c r="K35" t="s">
        <v>590</v>
      </c>
      <c r="L35">
        <v>24</v>
      </c>
      <c r="M35" t="s">
        <v>926</v>
      </c>
      <c r="N35" t="s">
        <v>927</v>
      </c>
      <c r="O35" t="s">
        <v>928</v>
      </c>
      <c r="P35" t="s">
        <v>929</v>
      </c>
    </row>
    <row r="36" spans="1:16" x14ac:dyDescent="0.35">
      <c r="A36" t="s">
        <v>364</v>
      </c>
      <c r="B36" t="s">
        <v>365</v>
      </c>
      <c r="C36" t="s">
        <v>365</v>
      </c>
      <c r="D36" t="s">
        <v>365</v>
      </c>
      <c r="E36" t="s">
        <v>365</v>
      </c>
      <c r="F36" t="s">
        <v>365</v>
      </c>
      <c r="G36" t="s">
        <v>365</v>
      </c>
      <c r="H36" t="s">
        <v>365</v>
      </c>
      <c r="I36" t="s">
        <v>365</v>
      </c>
      <c r="J36" t="s">
        <v>365</v>
      </c>
      <c r="K36" t="s">
        <v>365</v>
      </c>
      <c r="L36" t="s">
        <v>365</v>
      </c>
      <c r="M36" t="s">
        <v>365</v>
      </c>
      <c r="N36" t="s">
        <v>365</v>
      </c>
      <c r="O36" t="s">
        <v>365</v>
      </c>
      <c r="P36" t="s">
        <v>365</v>
      </c>
    </row>
    <row r="37" spans="1:16" x14ac:dyDescent="0.35">
      <c r="A37" t="s">
        <v>386</v>
      </c>
      <c r="B37" t="s">
        <v>930</v>
      </c>
      <c r="C37" t="s">
        <v>887</v>
      </c>
      <c r="D37" t="s">
        <v>858</v>
      </c>
      <c r="E37" t="s">
        <v>931</v>
      </c>
      <c r="F37" t="s">
        <v>692</v>
      </c>
      <c r="G37" t="s">
        <v>590</v>
      </c>
      <c r="H37" t="s">
        <v>590</v>
      </c>
      <c r="I37" t="s">
        <v>925</v>
      </c>
      <c r="J37" t="s">
        <v>590</v>
      </c>
      <c r="K37" t="s">
        <v>932</v>
      </c>
      <c r="L37">
        <v>96</v>
      </c>
      <c r="M37" t="s">
        <v>933</v>
      </c>
      <c r="N37" t="s">
        <v>934</v>
      </c>
      <c r="O37" t="s">
        <v>935</v>
      </c>
      <c r="P37" t="s">
        <v>936</v>
      </c>
    </row>
    <row r="39" spans="1:16" x14ac:dyDescent="0.35">
      <c r="A39" t="s">
        <v>387</v>
      </c>
      <c r="B39" t="s">
        <v>590</v>
      </c>
      <c r="C39" t="s">
        <v>590</v>
      </c>
      <c r="D39" t="s">
        <v>590</v>
      </c>
      <c r="E39" t="s">
        <v>590</v>
      </c>
      <c r="F39" t="s">
        <v>591</v>
      </c>
      <c r="G39" t="s">
        <v>590</v>
      </c>
      <c r="H39" t="s">
        <v>590</v>
      </c>
      <c r="I39" t="s">
        <v>590</v>
      </c>
      <c r="J39" t="s">
        <v>590</v>
      </c>
      <c r="K39" t="s">
        <v>590</v>
      </c>
      <c r="L39">
        <v>24</v>
      </c>
      <c r="M39" t="s">
        <v>590</v>
      </c>
      <c r="N39" t="s">
        <v>590</v>
      </c>
      <c r="O39" t="s">
        <v>590</v>
      </c>
      <c r="P39" t="s">
        <v>590</v>
      </c>
    </row>
    <row r="40" spans="1:16" x14ac:dyDescent="0.35">
      <c r="A40" t="s">
        <v>388</v>
      </c>
      <c r="B40" t="s">
        <v>890</v>
      </c>
      <c r="C40" t="s">
        <v>644</v>
      </c>
      <c r="D40" t="s">
        <v>590</v>
      </c>
      <c r="E40" t="s">
        <v>937</v>
      </c>
      <c r="F40" t="s">
        <v>938</v>
      </c>
      <c r="G40" t="s">
        <v>590</v>
      </c>
      <c r="H40" t="s">
        <v>590</v>
      </c>
      <c r="I40" t="s">
        <v>590</v>
      </c>
      <c r="J40" t="s">
        <v>590</v>
      </c>
      <c r="K40" t="s">
        <v>590</v>
      </c>
      <c r="L40">
        <v>24</v>
      </c>
      <c r="M40" t="s">
        <v>939</v>
      </c>
      <c r="N40" t="s">
        <v>939</v>
      </c>
      <c r="O40" t="s">
        <v>940</v>
      </c>
      <c r="P40" t="s">
        <v>592</v>
      </c>
    </row>
    <row r="41" spans="1:16" x14ac:dyDescent="0.35">
      <c r="A41" t="s">
        <v>389</v>
      </c>
      <c r="B41" t="s">
        <v>941</v>
      </c>
      <c r="C41" t="s">
        <v>942</v>
      </c>
      <c r="D41" t="s">
        <v>590</v>
      </c>
      <c r="E41" t="s">
        <v>590</v>
      </c>
      <c r="F41" t="s">
        <v>590</v>
      </c>
      <c r="G41" t="s">
        <v>590</v>
      </c>
      <c r="H41" t="s">
        <v>590</v>
      </c>
      <c r="I41" t="s">
        <v>590</v>
      </c>
      <c r="J41" t="s">
        <v>590</v>
      </c>
      <c r="K41" t="s">
        <v>590</v>
      </c>
      <c r="L41">
        <v>24</v>
      </c>
      <c r="M41" t="s">
        <v>592</v>
      </c>
      <c r="N41" t="s">
        <v>592</v>
      </c>
      <c r="O41" t="s">
        <v>943</v>
      </c>
      <c r="P41" t="s">
        <v>592</v>
      </c>
    </row>
    <row r="42" spans="1:16" x14ac:dyDescent="0.35">
      <c r="A42" t="s">
        <v>390</v>
      </c>
      <c r="B42" t="s">
        <v>944</v>
      </c>
      <c r="C42" t="s">
        <v>590</v>
      </c>
      <c r="D42" t="s">
        <v>590</v>
      </c>
      <c r="E42" t="s">
        <v>590</v>
      </c>
      <c r="F42" t="s">
        <v>716</v>
      </c>
      <c r="G42" t="s">
        <v>590</v>
      </c>
      <c r="H42" t="s">
        <v>590</v>
      </c>
      <c r="I42" t="s">
        <v>590</v>
      </c>
      <c r="J42" t="s">
        <v>590</v>
      </c>
      <c r="K42" t="s">
        <v>945</v>
      </c>
      <c r="L42">
        <v>24</v>
      </c>
      <c r="M42" t="s">
        <v>599</v>
      </c>
      <c r="N42" t="s">
        <v>599</v>
      </c>
      <c r="O42" t="s">
        <v>592</v>
      </c>
      <c r="P42" t="s">
        <v>592</v>
      </c>
    </row>
    <row r="43" spans="1:16" x14ac:dyDescent="0.35">
      <c r="A43" t="s">
        <v>364</v>
      </c>
      <c r="B43" t="s">
        <v>365</v>
      </c>
      <c r="C43" t="s">
        <v>365</v>
      </c>
      <c r="D43" t="s">
        <v>365</v>
      </c>
      <c r="E43" t="s">
        <v>365</v>
      </c>
      <c r="F43" t="s">
        <v>365</v>
      </c>
      <c r="G43" t="s">
        <v>365</v>
      </c>
      <c r="H43" t="s">
        <v>365</v>
      </c>
      <c r="I43" t="s">
        <v>365</v>
      </c>
      <c r="J43" t="s">
        <v>365</v>
      </c>
      <c r="K43" t="s">
        <v>365</v>
      </c>
      <c r="L43" t="s">
        <v>365</v>
      </c>
      <c r="M43" t="s">
        <v>365</v>
      </c>
      <c r="N43" t="s">
        <v>365</v>
      </c>
      <c r="O43" t="s">
        <v>365</v>
      </c>
      <c r="P43" t="s">
        <v>365</v>
      </c>
    </row>
    <row r="44" spans="1:16" x14ac:dyDescent="0.35">
      <c r="A44" t="s">
        <v>391</v>
      </c>
      <c r="B44" t="s">
        <v>946</v>
      </c>
      <c r="C44" t="s">
        <v>947</v>
      </c>
      <c r="D44" t="s">
        <v>590</v>
      </c>
      <c r="E44" t="s">
        <v>937</v>
      </c>
      <c r="F44" t="s">
        <v>948</v>
      </c>
      <c r="G44" t="s">
        <v>590</v>
      </c>
      <c r="H44" t="s">
        <v>590</v>
      </c>
      <c r="I44" t="s">
        <v>590</v>
      </c>
      <c r="J44" t="s">
        <v>590</v>
      </c>
      <c r="K44" t="s">
        <v>945</v>
      </c>
      <c r="L44">
        <v>96</v>
      </c>
      <c r="M44" t="s">
        <v>949</v>
      </c>
      <c r="N44" t="s">
        <v>949</v>
      </c>
      <c r="O44" t="s">
        <v>950</v>
      </c>
      <c r="P44" t="s">
        <v>592</v>
      </c>
    </row>
    <row r="46" spans="1:16" x14ac:dyDescent="0.35">
      <c r="A46" t="s">
        <v>392</v>
      </c>
      <c r="B46" t="s">
        <v>590</v>
      </c>
      <c r="C46" t="s">
        <v>590</v>
      </c>
      <c r="D46" t="s">
        <v>590</v>
      </c>
      <c r="E46" t="s">
        <v>590</v>
      </c>
      <c r="F46" t="s">
        <v>590</v>
      </c>
      <c r="G46" t="s">
        <v>590</v>
      </c>
      <c r="H46" t="s">
        <v>590</v>
      </c>
      <c r="I46" t="s">
        <v>590</v>
      </c>
      <c r="J46" t="s">
        <v>590</v>
      </c>
      <c r="K46" t="s">
        <v>591</v>
      </c>
      <c r="L46">
        <v>24</v>
      </c>
      <c r="M46" t="s">
        <v>590</v>
      </c>
      <c r="N46" t="s">
        <v>590</v>
      </c>
      <c r="O46" t="s">
        <v>590</v>
      </c>
      <c r="P46" t="s">
        <v>590</v>
      </c>
    </row>
    <row r="47" spans="1:16" x14ac:dyDescent="0.35">
      <c r="A47" t="s">
        <v>393</v>
      </c>
      <c r="B47" t="s">
        <v>951</v>
      </c>
      <c r="C47" t="s">
        <v>590</v>
      </c>
      <c r="D47" t="s">
        <v>590</v>
      </c>
      <c r="E47" t="s">
        <v>952</v>
      </c>
      <c r="F47" t="s">
        <v>590</v>
      </c>
      <c r="G47" t="s">
        <v>590</v>
      </c>
      <c r="H47" t="s">
        <v>590</v>
      </c>
      <c r="I47" t="s">
        <v>590</v>
      </c>
      <c r="J47" t="s">
        <v>590</v>
      </c>
      <c r="K47" t="s">
        <v>590</v>
      </c>
      <c r="L47">
        <v>24</v>
      </c>
      <c r="M47" t="s">
        <v>592</v>
      </c>
      <c r="N47" t="s">
        <v>592</v>
      </c>
      <c r="O47" t="s">
        <v>953</v>
      </c>
      <c r="P47" t="s">
        <v>592</v>
      </c>
    </row>
    <row r="48" spans="1:16" x14ac:dyDescent="0.35">
      <c r="A48" t="s">
        <v>364</v>
      </c>
      <c r="B48" t="s">
        <v>365</v>
      </c>
      <c r="C48" t="s">
        <v>365</v>
      </c>
      <c r="D48" t="s">
        <v>365</v>
      </c>
      <c r="E48" t="s">
        <v>365</v>
      </c>
      <c r="F48" t="s">
        <v>365</v>
      </c>
      <c r="G48" t="s">
        <v>365</v>
      </c>
      <c r="H48" t="s">
        <v>365</v>
      </c>
      <c r="I48" t="s">
        <v>365</v>
      </c>
      <c r="J48" t="s">
        <v>365</v>
      </c>
      <c r="K48" t="s">
        <v>365</v>
      </c>
      <c r="L48" t="s">
        <v>365</v>
      </c>
      <c r="M48" t="s">
        <v>365</v>
      </c>
      <c r="N48" t="s">
        <v>365</v>
      </c>
      <c r="O48" t="s">
        <v>365</v>
      </c>
      <c r="P48" t="s">
        <v>365</v>
      </c>
    </row>
    <row r="49" spans="1:16" x14ac:dyDescent="0.35">
      <c r="A49" t="s">
        <v>394</v>
      </c>
      <c r="B49" t="s">
        <v>951</v>
      </c>
      <c r="C49" t="s">
        <v>590</v>
      </c>
      <c r="D49" t="s">
        <v>590</v>
      </c>
      <c r="E49" t="s">
        <v>952</v>
      </c>
      <c r="F49" t="s">
        <v>590</v>
      </c>
      <c r="G49" t="s">
        <v>590</v>
      </c>
      <c r="H49" t="s">
        <v>590</v>
      </c>
      <c r="I49" t="s">
        <v>590</v>
      </c>
      <c r="J49" t="s">
        <v>590</v>
      </c>
      <c r="K49" t="s">
        <v>591</v>
      </c>
      <c r="L49">
        <v>48</v>
      </c>
      <c r="M49" t="s">
        <v>599</v>
      </c>
      <c r="N49" t="s">
        <v>599</v>
      </c>
      <c r="O49" t="s">
        <v>953</v>
      </c>
      <c r="P49" t="s">
        <v>592</v>
      </c>
    </row>
    <row r="51" spans="1:16" x14ac:dyDescent="0.35">
      <c r="A51" t="s">
        <v>395</v>
      </c>
      <c r="B51" t="s">
        <v>590</v>
      </c>
      <c r="C51" t="s">
        <v>590</v>
      </c>
      <c r="D51" t="s">
        <v>590</v>
      </c>
      <c r="E51" t="s">
        <v>591</v>
      </c>
      <c r="F51" t="s">
        <v>590</v>
      </c>
      <c r="G51" t="s">
        <v>590</v>
      </c>
      <c r="H51" t="s">
        <v>590</v>
      </c>
      <c r="I51" t="s">
        <v>590</v>
      </c>
      <c r="J51" t="s">
        <v>590</v>
      </c>
      <c r="K51" t="s">
        <v>590</v>
      </c>
      <c r="L51">
        <v>24</v>
      </c>
      <c r="M51" t="s">
        <v>592</v>
      </c>
      <c r="N51" t="s">
        <v>592</v>
      </c>
      <c r="O51" t="s">
        <v>590</v>
      </c>
      <c r="P51" t="s">
        <v>590</v>
      </c>
    </row>
    <row r="52" spans="1:16" x14ac:dyDescent="0.35">
      <c r="A52" t="s">
        <v>396</v>
      </c>
      <c r="B52" t="s">
        <v>590</v>
      </c>
      <c r="C52" t="s">
        <v>590</v>
      </c>
      <c r="D52" t="s">
        <v>590</v>
      </c>
      <c r="E52" t="s">
        <v>591</v>
      </c>
      <c r="F52" t="s">
        <v>590</v>
      </c>
      <c r="G52" t="s">
        <v>590</v>
      </c>
      <c r="H52" t="s">
        <v>590</v>
      </c>
      <c r="I52" t="s">
        <v>590</v>
      </c>
      <c r="J52" t="s">
        <v>590</v>
      </c>
      <c r="K52" t="s">
        <v>590</v>
      </c>
      <c r="L52">
        <v>24</v>
      </c>
      <c r="M52" t="s">
        <v>592</v>
      </c>
      <c r="N52" t="s">
        <v>592</v>
      </c>
      <c r="O52" t="s">
        <v>590</v>
      </c>
      <c r="P52" t="s">
        <v>590</v>
      </c>
    </row>
    <row r="53" spans="1:16" x14ac:dyDescent="0.35">
      <c r="A53" t="s">
        <v>364</v>
      </c>
      <c r="B53" t="s">
        <v>365</v>
      </c>
      <c r="C53" t="s">
        <v>365</v>
      </c>
      <c r="D53" t="s">
        <v>365</v>
      </c>
      <c r="E53" t="s">
        <v>365</v>
      </c>
      <c r="F53" t="s">
        <v>365</v>
      </c>
      <c r="G53" t="s">
        <v>365</v>
      </c>
      <c r="H53" t="s">
        <v>365</v>
      </c>
      <c r="I53" t="s">
        <v>365</v>
      </c>
      <c r="J53" t="s">
        <v>365</v>
      </c>
      <c r="K53" t="s">
        <v>365</v>
      </c>
      <c r="L53" t="s">
        <v>365</v>
      </c>
      <c r="M53" t="s">
        <v>365</v>
      </c>
      <c r="N53" t="s">
        <v>365</v>
      </c>
      <c r="O53" t="s">
        <v>365</v>
      </c>
      <c r="P53" t="s">
        <v>365</v>
      </c>
    </row>
    <row r="54" spans="1:16" x14ac:dyDescent="0.35">
      <c r="A54" t="s">
        <v>397</v>
      </c>
      <c r="B54" t="s">
        <v>590</v>
      </c>
      <c r="C54" t="s">
        <v>590</v>
      </c>
      <c r="D54" t="s">
        <v>590</v>
      </c>
      <c r="E54" t="s">
        <v>607</v>
      </c>
      <c r="F54" t="s">
        <v>590</v>
      </c>
      <c r="G54" t="s">
        <v>590</v>
      </c>
      <c r="H54" t="s">
        <v>590</v>
      </c>
      <c r="I54" t="s">
        <v>590</v>
      </c>
      <c r="J54" t="s">
        <v>590</v>
      </c>
      <c r="K54" t="s">
        <v>590</v>
      </c>
      <c r="L54">
        <v>48</v>
      </c>
      <c r="M54" t="s">
        <v>592</v>
      </c>
      <c r="N54" t="s">
        <v>592</v>
      </c>
      <c r="O54" t="s">
        <v>590</v>
      </c>
      <c r="P54" t="s">
        <v>590</v>
      </c>
    </row>
    <row r="56" spans="1:16" x14ac:dyDescent="0.35">
      <c r="A56" t="s">
        <v>398</v>
      </c>
      <c r="B56" t="s">
        <v>954</v>
      </c>
      <c r="C56" t="s">
        <v>955</v>
      </c>
      <c r="D56" t="s">
        <v>713</v>
      </c>
      <c r="E56" t="s">
        <v>956</v>
      </c>
      <c r="F56" t="s">
        <v>590</v>
      </c>
      <c r="G56" t="s">
        <v>737</v>
      </c>
      <c r="H56" t="s">
        <v>590</v>
      </c>
      <c r="I56" t="s">
        <v>590</v>
      </c>
      <c r="J56" t="s">
        <v>590</v>
      </c>
      <c r="K56" t="s">
        <v>590</v>
      </c>
      <c r="L56">
        <v>24</v>
      </c>
      <c r="M56" t="s">
        <v>957</v>
      </c>
      <c r="N56" t="s">
        <v>957</v>
      </c>
      <c r="O56" t="s">
        <v>958</v>
      </c>
      <c r="P56" t="s">
        <v>959</v>
      </c>
    </row>
    <row r="57" spans="1:16" x14ac:dyDescent="0.35">
      <c r="A57" t="s">
        <v>399</v>
      </c>
      <c r="B57" t="s">
        <v>960</v>
      </c>
      <c r="C57" t="s">
        <v>961</v>
      </c>
      <c r="D57" t="s">
        <v>962</v>
      </c>
      <c r="E57" t="s">
        <v>817</v>
      </c>
      <c r="F57" t="s">
        <v>590</v>
      </c>
      <c r="G57" t="s">
        <v>590</v>
      </c>
      <c r="H57" t="s">
        <v>590</v>
      </c>
      <c r="I57" t="s">
        <v>590</v>
      </c>
      <c r="J57" t="s">
        <v>590</v>
      </c>
      <c r="K57" t="s">
        <v>626</v>
      </c>
      <c r="L57">
        <v>24</v>
      </c>
      <c r="M57" t="s">
        <v>963</v>
      </c>
      <c r="N57" t="s">
        <v>963</v>
      </c>
      <c r="O57" t="s">
        <v>964</v>
      </c>
      <c r="P57" t="s">
        <v>965</v>
      </c>
    </row>
    <row r="58" spans="1:16" x14ac:dyDescent="0.35">
      <c r="A58" t="s">
        <v>400</v>
      </c>
      <c r="B58" t="s">
        <v>966</v>
      </c>
      <c r="C58" t="s">
        <v>967</v>
      </c>
      <c r="D58" t="s">
        <v>968</v>
      </c>
      <c r="E58" t="s">
        <v>777</v>
      </c>
      <c r="F58" t="s">
        <v>590</v>
      </c>
      <c r="G58" t="s">
        <v>590</v>
      </c>
      <c r="H58" t="s">
        <v>590</v>
      </c>
      <c r="I58" t="s">
        <v>590</v>
      </c>
      <c r="J58" t="s">
        <v>969</v>
      </c>
      <c r="K58" t="s">
        <v>590</v>
      </c>
      <c r="L58">
        <v>24</v>
      </c>
      <c r="M58" t="s">
        <v>970</v>
      </c>
      <c r="N58" t="s">
        <v>970</v>
      </c>
      <c r="O58" t="s">
        <v>971</v>
      </c>
      <c r="P58" t="s">
        <v>972</v>
      </c>
    </row>
    <row r="59" spans="1:16" x14ac:dyDescent="0.35">
      <c r="A59" t="s">
        <v>401</v>
      </c>
      <c r="B59" t="s">
        <v>871</v>
      </c>
      <c r="C59" t="s">
        <v>647</v>
      </c>
      <c r="D59" t="s">
        <v>605</v>
      </c>
      <c r="E59" t="s">
        <v>973</v>
      </c>
      <c r="F59" t="s">
        <v>590</v>
      </c>
      <c r="G59" t="s">
        <v>713</v>
      </c>
      <c r="H59" t="s">
        <v>600</v>
      </c>
      <c r="I59" t="s">
        <v>719</v>
      </c>
      <c r="J59" t="s">
        <v>974</v>
      </c>
      <c r="K59" t="s">
        <v>590</v>
      </c>
      <c r="L59">
        <v>24</v>
      </c>
      <c r="M59" t="s">
        <v>975</v>
      </c>
      <c r="N59" t="s">
        <v>976</v>
      </c>
      <c r="O59" t="s">
        <v>977</v>
      </c>
      <c r="P59" t="s">
        <v>978</v>
      </c>
    </row>
    <row r="60" spans="1:16" x14ac:dyDescent="0.35">
      <c r="A60" t="s">
        <v>402</v>
      </c>
      <c r="B60" t="s">
        <v>979</v>
      </c>
      <c r="C60" t="s">
        <v>637</v>
      </c>
      <c r="D60" t="s">
        <v>652</v>
      </c>
      <c r="E60" t="s">
        <v>980</v>
      </c>
      <c r="F60" t="s">
        <v>590</v>
      </c>
      <c r="G60" t="s">
        <v>590</v>
      </c>
      <c r="H60" t="s">
        <v>590</v>
      </c>
      <c r="I60" t="s">
        <v>590</v>
      </c>
      <c r="J60" t="s">
        <v>880</v>
      </c>
      <c r="K60" t="s">
        <v>981</v>
      </c>
      <c r="L60">
        <v>24</v>
      </c>
      <c r="M60" t="s">
        <v>982</v>
      </c>
      <c r="N60" t="s">
        <v>982</v>
      </c>
      <c r="O60" t="s">
        <v>983</v>
      </c>
      <c r="P60" t="s">
        <v>984</v>
      </c>
    </row>
    <row r="61" spans="1:16" x14ac:dyDescent="0.35">
      <c r="A61" t="s">
        <v>364</v>
      </c>
      <c r="B61" t="s">
        <v>365</v>
      </c>
      <c r="C61" t="s">
        <v>365</v>
      </c>
      <c r="D61" t="s">
        <v>365</v>
      </c>
      <c r="E61" t="s">
        <v>365</v>
      </c>
      <c r="F61" t="s">
        <v>365</v>
      </c>
      <c r="G61" t="s">
        <v>365</v>
      </c>
      <c r="H61" t="s">
        <v>365</v>
      </c>
      <c r="I61" t="s">
        <v>365</v>
      </c>
      <c r="J61" t="s">
        <v>365</v>
      </c>
      <c r="K61" t="s">
        <v>365</v>
      </c>
      <c r="L61" t="s">
        <v>365</v>
      </c>
      <c r="M61" t="s">
        <v>365</v>
      </c>
      <c r="N61" t="s">
        <v>365</v>
      </c>
      <c r="O61" t="s">
        <v>365</v>
      </c>
      <c r="P61" t="s">
        <v>365</v>
      </c>
    </row>
    <row r="62" spans="1:16" x14ac:dyDescent="0.35">
      <c r="A62" t="s">
        <v>403</v>
      </c>
      <c r="B62" t="s">
        <v>985</v>
      </c>
      <c r="C62" t="s">
        <v>986</v>
      </c>
      <c r="D62" t="s">
        <v>987</v>
      </c>
      <c r="E62" t="s">
        <v>988</v>
      </c>
      <c r="F62" t="s">
        <v>590</v>
      </c>
      <c r="G62" t="s">
        <v>800</v>
      </c>
      <c r="H62" t="s">
        <v>600</v>
      </c>
      <c r="I62" t="s">
        <v>719</v>
      </c>
      <c r="J62" t="s">
        <v>989</v>
      </c>
      <c r="K62" t="s">
        <v>990</v>
      </c>
      <c r="L62">
        <v>120</v>
      </c>
      <c r="M62" t="s">
        <v>991</v>
      </c>
      <c r="N62" t="s">
        <v>992</v>
      </c>
      <c r="O62" t="s">
        <v>993</v>
      </c>
      <c r="P62" t="s">
        <v>994</v>
      </c>
    </row>
    <row r="64" spans="1:16" x14ac:dyDescent="0.35">
      <c r="A64" t="s">
        <v>10</v>
      </c>
      <c r="B64" t="s">
        <v>995</v>
      </c>
      <c r="C64" t="s">
        <v>641</v>
      </c>
      <c r="D64" t="s">
        <v>616</v>
      </c>
      <c r="E64" t="s">
        <v>663</v>
      </c>
      <c r="F64" t="s">
        <v>680</v>
      </c>
      <c r="G64" t="s">
        <v>590</v>
      </c>
      <c r="H64" t="s">
        <v>590</v>
      </c>
      <c r="I64" t="s">
        <v>590</v>
      </c>
      <c r="J64" t="s">
        <v>962</v>
      </c>
      <c r="K64" t="s">
        <v>590</v>
      </c>
      <c r="L64">
        <v>24</v>
      </c>
      <c r="M64" t="s">
        <v>996</v>
      </c>
      <c r="N64" t="s">
        <v>996</v>
      </c>
      <c r="O64" t="s">
        <v>997</v>
      </c>
      <c r="P64" t="s">
        <v>998</v>
      </c>
    </row>
    <row r="65" spans="1:16" x14ac:dyDescent="0.35">
      <c r="A65" t="s">
        <v>11</v>
      </c>
      <c r="B65" t="s">
        <v>999</v>
      </c>
      <c r="C65" t="s">
        <v>798</v>
      </c>
      <c r="D65" t="s">
        <v>682</v>
      </c>
      <c r="E65" t="s">
        <v>773</v>
      </c>
      <c r="F65" t="s">
        <v>590</v>
      </c>
      <c r="G65" t="s">
        <v>590</v>
      </c>
      <c r="H65" t="s">
        <v>590</v>
      </c>
      <c r="I65" t="s">
        <v>590</v>
      </c>
      <c r="J65" t="s">
        <v>590</v>
      </c>
      <c r="K65" t="s">
        <v>666</v>
      </c>
      <c r="L65">
        <v>24</v>
      </c>
      <c r="M65" t="s">
        <v>1000</v>
      </c>
      <c r="N65" t="s">
        <v>1000</v>
      </c>
      <c r="O65" t="s">
        <v>1001</v>
      </c>
      <c r="P65" t="s">
        <v>1002</v>
      </c>
    </row>
    <row r="66" spans="1:16" x14ac:dyDescent="0.35">
      <c r="A66" t="s">
        <v>12</v>
      </c>
      <c r="B66" t="s">
        <v>1003</v>
      </c>
      <c r="C66" t="s">
        <v>663</v>
      </c>
      <c r="D66" t="s">
        <v>733</v>
      </c>
      <c r="E66" t="s">
        <v>1004</v>
      </c>
      <c r="F66" t="s">
        <v>1005</v>
      </c>
      <c r="G66" t="s">
        <v>590</v>
      </c>
      <c r="H66" t="s">
        <v>590</v>
      </c>
      <c r="I66" t="s">
        <v>590</v>
      </c>
      <c r="J66" t="s">
        <v>596</v>
      </c>
      <c r="K66" t="s">
        <v>668</v>
      </c>
      <c r="L66">
        <v>24</v>
      </c>
      <c r="M66" t="s">
        <v>1006</v>
      </c>
      <c r="N66" t="s">
        <v>1006</v>
      </c>
      <c r="O66" t="s">
        <v>1007</v>
      </c>
      <c r="P66" t="s">
        <v>1008</v>
      </c>
    </row>
    <row r="67" spans="1:16" x14ac:dyDescent="0.35">
      <c r="A67" t="s">
        <v>13</v>
      </c>
      <c r="B67" t="s">
        <v>1009</v>
      </c>
      <c r="C67" t="s">
        <v>604</v>
      </c>
      <c r="D67" t="s">
        <v>623</v>
      </c>
      <c r="E67" t="s">
        <v>860</v>
      </c>
      <c r="F67" t="s">
        <v>590</v>
      </c>
      <c r="G67" t="s">
        <v>590</v>
      </c>
      <c r="H67" t="s">
        <v>590</v>
      </c>
      <c r="I67" t="s">
        <v>590</v>
      </c>
      <c r="J67" t="s">
        <v>590</v>
      </c>
      <c r="K67" t="s">
        <v>745</v>
      </c>
      <c r="L67">
        <v>24</v>
      </c>
      <c r="M67" t="s">
        <v>1010</v>
      </c>
      <c r="N67" t="s">
        <v>1010</v>
      </c>
      <c r="O67" t="s">
        <v>1011</v>
      </c>
      <c r="P67" t="s">
        <v>1012</v>
      </c>
    </row>
    <row r="68" spans="1:16" x14ac:dyDescent="0.35">
      <c r="A68" t="s">
        <v>14</v>
      </c>
      <c r="B68" t="s">
        <v>674</v>
      </c>
      <c r="C68" t="s">
        <v>633</v>
      </c>
      <c r="D68" t="s">
        <v>860</v>
      </c>
      <c r="E68" t="s">
        <v>839</v>
      </c>
      <c r="F68" t="s">
        <v>590</v>
      </c>
      <c r="G68" t="s">
        <v>590</v>
      </c>
      <c r="H68" t="s">
        <v>590</v>
      </c>
      <c r="I68" t="s">
        <v>590</v>
      </c>
      <c r="J68" t="s">
        <v>590</v>
      </c>
      <c r="K68" t="s">
        <v>590</v>
      </c>
      <c r="L68">
        <v>24</v>
      </c>
      <c r="M68" t="s">
        <v>592</v>
      </c>
      <c r="N68" t="s">
        <v>592</v>
      </c>
      <c r="O68" t="s">
        <v>1013</v>
      </c>
      <c r="P68" t="s">
        <v>1014</v>
      </c>
    </row>
    <row r="69" spans="1:16" x14ac:dyDescent="0.35">
      <c r="A69" t="s">
        <v>15</v>
      </c>
      <c r="B69" t="s">
        <v>1015</v>
      </c>
      <c r="C69" t="s">
        <v>771</v>
      </c>
      <c r="D69" t="s">
        <v>1016</v>
      </c>
      <c r="E69" t="s">
        <v>659</v>
      </c>
      <c r="F69" t="s">
        <v>690</v>
      </c>
      <c r="G69" t="s">
        <v>1017</v>
      </c>
      <c r="H69" t="s">
        <v>590</v>
      </c>
      <c r="I69" t="s">
        <v>590</v>
      </c>
      <c r="J69" t="s">
        <v>590</v>
      </c>
      <c r="K69" t="s">
        <v>590</v>
      </c>
      <c r="L69">
        <v>24</v>
      </c>
      <c r="M69" t="s">
        <v>1018</v>
      </c>
      <c r="N69" t="s">
        <v>1018</v>
      </c>
      <c r="O69" t="s">
        <v>842</v>
      </c>
      <c r="P69" t="s">
        <v>1019</v>
      </c>
    </row>
    <row r="70" spans="1:16" x14ac:dyDescent="0.35">
      <c r="A70" t="s">
        <v>16</v>
      </c>
      <c r="B70" t="s">
        <v>884</v>
      </c>
      <c r="C70" t="s">
        <v>683</v>
      </c>
      <c r="D70" t="s">
        <v>725</v>
      </c>
      <c r="E70" t="s">
        <v>590</v>
      </c>
      <c r="F70" t="s">
        <v>590</v>
      </c>
      <c r="G70" t="s">
        <v>590</v>
      </c>
      <c r="H70" t="s">
        <v>590</v>
      </c>
      <c r="I70" t="s">
        <v>590</v>
      </c>
      <c r="J70" t="s">
        <v>590</v>
      </c>
      <c r="K70" t="s">
        <v>590</v>
      </c>
      <c r="L70">
        <v>24</v>
      </c>
      <c r="M70" t="s">
        <v>592</v>
      </c>
      <c r="N70" t="s">
        <v>592</v>
      </c>
      <c r="O70" t="s">
        <v>1020</v>
      </c>
      <c r="P70" t="s">
        <v>1021</v>
      </c>
    </row>
    <row r="71" spans="1:16" x14ac:dyDescent="0.35">
      <c r="A71" t="s">
        <v>17</v>
      </c>
      <c r="B71" t="s">
        <v>1022</v>
      </c>
      <c r="C71" t="s">
        <v>1023</v>
      </c>
      <c r="D71" t="s">
        <v>648</v>
      </c>
      <c r="E71" t="s">
        <v>793</v>
      </c>
      <c r="F71" t="s">
        <v>590</v>
      </c>
      <c r="G71" t="s">
        <v>614</v>
      </c>
      <c r="H71" t="s">
        <v>590</v>
      </c>
      <c r="I71" t="s">
        <v>590</v>
      </c>
      <c r="J71" t="s">
        <v>590</v>
      </c>
      <c r="K71" t="s">
        <v>590</v>
      </c>
      <c r="L71">
        <v>24</v>
      </c>
      <c r="M71" t="s">
        <v>1024</v>
      </c>
      <c r="N71" t="s">
        <v>1024</v>
      </c>
      <c r="O71" t="s">
        <v>1025</v>
      </c>
      <c r="P71" t="s">
        <v>1026</v>
      </c>
    </row>
    <row r="72" spans="1:16" x14ac:dyDescent="0.35">
      <c r="A72" t="s">
        <v>18</v>
      </c>
      <c r="B72" t="s">
        <v>1027</v>
      </c>
      <c r="C72" t="s">
        <v>740</v>
      </c>
      <c r="D72" t="s">
        <v>646</v>
      </c>
      <c r="E72" t="s">
        <v>590</v>
      </c>
      <c r="F72" t="s">
        <v>590</v>
      </c>
      <c r="G72" t="s">
        <v>590</v>
      </c>
      <c r="H72" t="s">
        <v>590</v>
      </c>
      <c r="I72" t="s">
        <v>590</v>
      </c>
      <c r="J72" t="s">
        <v>590</v>
      </c>
      <c r="K72" t="s">
        <v>590</v>
      </c>
      <c r="L72">
        <v>24</v>
      </c>
      <c r="M72" t="s">
        <v>592</v>
      </c>
      <c r="N72" t="s">
        <v>592</v>
      </c>
      <c r="O72" t="s">
        <v>1028</v>
      </c>
      <c r="P72" t="s">
        <v>1029</v>
      </c>
    </row>
    <row r="73" spans="1:16" x14ac:dyDescent="0.35">
      <c r="A73" t="s">
        <v>19</v>
      </c>
      <c r="B73" t="s">
        <v>873</v>
      </c>
      <c r="C73" t="s">
        <v>724</v>
      </c>
      <c r="D73" t="s">
        <v>642</v>
      </c>
      <c r="E73" t="s">
        <v>1030</v>
      </c>
      <c r="F73" t="s">
        <v>590</v>
      </c>
      <c r="G73" t="s">
        <v>590</v>
      </c>
      <c r="H73" t="s">
        <v>590</v>
      </c>
      <c r="I73" t="s">
        <v>590</v>
      </c>
      <c r="J73" t="s">
        <v>590</v>
      </c>
      <c r="K73" t="s">
        <v>590</v>
      </c>
      <c r="L73">
        <v>24</v>
      </c>
      <c r="M73" t="s">
        <v>592</v>
      </c>
      <c r="N73" t="s">
        <v>592</v>
      </c>
      <c r="O73" t="s">
        <v>856</v>
      </c>
      <c r="P73" t="s">
        <v>1031</v>
      </c>
    </row>
    <row r="74" spans="1:16" x14ac:dyDescent="0.35">
      <c r="A74" t="s">
        <v>20</v>
      </c>
      <c r="B74" t="s">
        <v>590</v>
      </c>
      <c r="C74" t="s">
        <v>590</v>
      </c>
      <c r="D74" t="s">
        <v>590</v>
      </c>
      <c r="E74" t="s">
        <v>1032</v>
      </c>
      <c r="F74" t="s">
        <v>1033</v>
      </c>
      <c r="G74" t="s">
        <v>590</v>
      </c>
      <c r="H74" t="s">
        <v>590</v>
      </c>
      <c r="I74" t="s">
        <v>590</v>
      </c>
      <c r="J74" t="s">
        <v>590</v>
      </c>
      <c r="K74" t="s">
        <v>590</v>
      </c>
      <c r="L74">
        <v>24</v>
      </c>
      <c r="M74" t="s">
        <v>1034</v>
      </c>
      <c r="N74" t="s">
        <v>1034</v>
      </c>
      <c r="O74" t="s">
        <v>590</v>
      </c>
      <c r="P74" t="s">
        <v>590</v>
      </c>
    </row>
    <row r="75" spans="1:16" x14ac:dyDescent="0.35">
      <c r="A75" t="s">
        <v>21</v>
      </c>
      <c r="B75" t="s">
        <v>625</v>
      </c>
      <c r="C75" t="s">
        <v>1035</v>
      </c>
      <c r="D75" t="s">
        <v>616</v>
      </c>
      <c r="E75" t="s">
        <v>1036</v>
      </c>
      <c r="F75" t="s">
        <v>590</v>
      </c>
      <c r="G75" t="s">
        <v>590</v>
      </c>
      <c r="H75" t="s">
        <v>590</v>
      </c>
      <c r="I75" t="s">
        <v>590</v>
      </c>
      <c r="J75" t="s">
        <v>590</v>
      </c>
      <c r="K75" t="s">
        <v>590</v>
      </c>
      <c r="L75">
        <v>24</v>
      </c>
      <c r="M75" t="s">
        <v>592</v>
      </c>
      <c r="N75" t="s">
        <v>592</v>
      </c>
      <c r="O75" t="s">
        <v>1037</v>
      </c>
      <c r="P75" t="s">
        <v>1038</v>
      </c>
    </row>
    <row r="76" spans="1:16" x14ac:dyDescent="0.35">
      <c r="A76" t="s">
        <v>22</v>
      </c>
      <c r="B76" t="s">
        <v>1039</v>
      </c>
      <c r="C76" t="s">
        <v>753</v>
      </c>
      <c r="D76" t="s">
        <v>641</v>
      </c>
      <c r="E76" t="s">
        <v>590</v>
      </c>
      <c r="F76" t="s">
        <v>590</v>
      </c>
      <c r="G76" t="s">
        <v>590</v>
      </c>
      <c r="H76" t="s">
        <v>590</v>
      </c>
      <c r="I76" t="s">
        <v>590</v>
      </c>
      <c r="J76" t="s">
        <v>590</v>
      </c>
      <c r="K76" t="s">
        <v>590</v>
      </c>
      <c r="L76">
        <v>24</v>
      </c>
      <c r="M76" t="s">
        <v>592</v>
      </c>
      <c r="N76" t="s">
        <v>592</v>
      </c>
      <c r="O76" t="s">
        <v>1040</v>
      </c>
      <c r="P76" t="s">
        <v>1041</v>
      </c>
    </row>
    <row r="77" spans="1:16" x14ac:dyDescent="0.35">
      <c r="A77" t="s">
        <v>23</v>
      </c>
      <c r="B77" t="s">
        <v>1042</v>
      </c>
      <c r="C77" t="s">
        <v>653</v>
      </c>
      <c r="D77" t="s">
        <v>676</v>
      </c>
      <c r="E77" t="s">
        <v>1043</v>
      </c>
      <c r="F77" t="s">
        <v>736</v>
      </c>
      <c r="G77" t="s">
        <v>590</v>
      </c>
      <c r="H77" t="s">
        <v>590</v>
      </c>
      <c r="I77" t="s">
        <v>590</v>
      </c>
      <c r="J77" t="s">
        <v>590</v>
      </c>
      <c r="K77" t="s">
        <v>590</v>
      </c>
      <c r="L77">
        <v>24</v>
      </c>
      <c r="M77" t="s">
        <v>1044</v>
      </c>
      <c r="N77" t="s">
        <v>1044</v>
      </c>
      <c r="O77" t="s">
        <v>1045</v>
      </c>
      <c r="P77" t="s">
        <v>1046</v>
      </c>
    </row>
    <row r="78" spans="1:16" x14ac:dyDescent="0.35">
      <c r="A78" t="s">
        <v>24</v>
      </c>
      <c r="B78" t="s">
        <v>1047</v>
      </c>
      <c r="C78" t="s">
        <v>639</v>
      </c>
      <c r="D78" t="s">
        <v>707</v>
      </c>
      <c r="E78" t="s">
        <v>596</v>
      </c>
      <c r="F78" t="s">
        <v>590</v>
      </c>
      <c r="G78" t="s">
        <v>590</v>
      </c>
      <c r="H78" t="s">
        <v>590</v>
      </c>
      <c r="I78" t="s">
        <v>590</v>
      </c>
      <c r="J78" t="s">
        <v>1036</v>
      </c>
      <c r="K78" t="s">
        <v>773</v>
      </c>
      <c r="L78">
        <v>24</v>
      </c>
      <c r="M78" t="s">
        <v>1048</v>
      </c>
      <c r="N78" t="s">
        <v>1048</v>
      </c>
      <c r="O78" t="s">
        <v>1049</v>
      </c>
      <c r="P78" t="s">
        <v>1050</v>
      </c>
    </row>
    <row r="79" spans="1:16" x14ac:dyDescent="0.35">
      <c r="A79" t="s">
        <v>25</v>
      </c>
      <c r="B79" t="s">
        <v>823</v>
      </c>
      <c r="C79" t="s">
        <v>712</v>
      </c>
      <c r="D79" t="s">
        <v>642</v>
      </c>
      <c r="E79" t="s">
        <v>590</v>
      </c>
      <c r="F79" t="s">
        <v>590</v>
      </c>
      <c r="G79" t="s">
        <v>590</v>
      </c>
      <c r="H79" t="s">
        <v>590</v>
      </c>
      <c r="I79" t="s">
        <v>590</v>
      </c>
      <c r="J79" t="s">
        <v>590</v>
      </c>
      <c r="K79" t="s">
        <v>590</v>
      </c>
      <c r="L79">
        <v>24</v>
      </c>
      <c r="M79" t="s">
        <v>592</v>
      </c>
      <c r="N79" t="s">
        <v>592</v>
      </c>
      <c r="O79" t="s">
        <v>1051</v>
      </c>
      <c r="P79" t="s">
        <v>1026</v>
      </c>
    </row>
    <row r="80" spans="1:16" x14ac:dyDescent="0.35">
      <c r="A80" t="s">
        <v>26</v>
      </c>
      <c r="B80" t="s">
        <v>1052</v>
      </c>
      <c r="C80" t="s">
        <v>1053</v>
      </c>
      <c r="D80" t="s">
        <v>634</v>
      </c>
      <c r="E80" t="s">
        <v>860</v>
      </c>
      <c r="F80" t="s">
        <v>736</v>
      </c>
      <c r="G80" t="s">
        <v>590</v>
      </c>
      <c r="H80" t="s">
        <v>590</v>
      </c>
      <c r="I80" t="s">
        <v>590</v>
      </c>
      <c r="J80" t="s">
        <v>590</v>
      </c>
      <c r="K80" t="s">
        <v>590</v>
      </c>
      <c r="L80">
        <v>24</v>
      </c>
      <c r="M80" t="s">
        <v>1054</v>
      </c>
      <c r="N80" t="s">
        <v>1054</v>
      </c>
      <c r="O80" t="s">
        <v>1055</v>
      </c>
      <c r="P80" t="s">
        <v>1056</v>
      </c>
    </row>
    <row r="81" spans="1:16" x14ac:dyDescent="0.35">
      <c r="A81" t="s">
        <v>27</v>
      </c>
      <c r="B81" t="s">
        <v>1057</v>
      </c>
      <c r="C81" t="s">
        <v>716</v>
      </c>
      <c r="D81" t="s">
        <v>772</v>
      </c>
      <c r="E81" t="s">
        <v>1058</v>
      </c>
      <c r="F81" t="s">
        <v>590</v>
      </c>
      <c r="G81" t="s">
        <v>590</v>
      </c>
      <c r="H81" t="s">
        <v>1059</v>
      </c>
      <c r="I81" t="s">
        <v>590</v>
      </c>
      <c r="J81" t="s">
        <v>590</v>
      </c>
      <c r="K81" t="s">
        <v>590</v>
      </c>
      <c r="L81">
        <v>24</v>
      </c>
      <c r="M81" t="s">
        <v>1060</v>
      </c>
      <c r="N81" t="s">
        <v>592</v>
      </c>
      <c r="O81" t="s">
        <v>1061</v>
      </c>
      <c r="P81" t="s">
        <v>1062</v>
      </c>
    </row>
    <row r="82" spans="1:16" x14ac:dyDescent="0.35">
      <c r="A82" t="s">
        <v>28</v>
      </c>
      <c r="B82" t="s">
        <v>755</v>
      </c>
      <c r="C82" t="s">
        <v>667</v>
      </c>
      <c r="D82" t="s">
        <v>807</v>
      </c>
      <c r="E82" t="s">
        <v>1063</v>
      </c>
      <c r="F82" t="s">
        <v>1064</v>
      </c>
      <c r="G82" t="s">
        <v>590</v>
      </c>
      <c r="H82" t="s">
        <v>590</v>
      </c>
      <c r="I82" t="s">
        <v>590</v>
      </c>
      <c r="J82" t="s">
        <v>590</v>
      </c>
      <c r="K82" t="s">
        <v>590</v>
      </c>
      <c r="L82">
        <v>24</v>
      </c>
      <c r="M82" t="s">
        <v>1065</v>
      </c>
      <c r="N82" t="s">
        <v>1065</v>
      </c>
      <c r="O82" t="s">
        <v>1066</v>
      </c>
      <c r="P82" t="s">
        <v>1067</v>
      </c>
    </row>
    <row r="83" spans="1:16" x14ac:dyDescent="0.35">
      <c r="A83" t="s">
        <v>29</v>
      </c>
      <c r="B83" t="s">
        <v>1068</v>
      </c>
      <c r="C83" t="s">
        <v>1069</v>
      </c>
      <c r="D83" t="s">
        <v>744</v>
      </c>
      <c r="E83" t="s">
        <v>1070</v>
      </c>
      <c r="F83" t="s">
        <v>590</v>
      </c>
      <c r="G83" t="s">
        <v>590</v>
      </c>
      <c r="H83" t="s">
        <v>590</v>
      </c>
      <c r="I83" t="s">
        <v>590</v>
      </c>
      <c r="J83" t="s">
        <v>590</v>
      </c>
      <c r="K83" t="s">
        <v>590</v>
      </c>
      <c r="L83">
        <v>24</v>
      </c>
      <c r="M83" t="s">
        <v>592</v>
      </c>
      <c r="N83" t="s">
        <v>592</v>
      </c>
      <c r="O83" t="s">
        <v>1071</v>
      </c>
      <c r="P83" t="s">
        <v>783</v>
      </c>
    </row>
    <row r="84" spans="1:16" x14ac:dyDescent="0.35">
      <c r="A84" t="s">
        <v>30</v>
      </c>
      <c r="B84" t="s">
        <v>1072</v>
      </c>
      <c r="C84" t="s">
        <v>806</v>
      </c>
      <c r="D84" t="s">
        <v>810</v>
      </c>
      <c r="E84" t="s">
        <v>895</v>
      </c>
      <c r="F84" t="s">
        <v>590</v>
      </c>
      <c r="G84" t="s">
        <v>1073</v>
      </c>
      <c r="H84" t="s">
        <v>590</v>
      </c>
      <c r="I84" t="s">
        <v>590</v>
      </c>
      <c r="J84" t="s">
        <v>590</v>
      </c>
      <c r="K84" t="s">
        <v>590</v>
      </c>
      <c r="L84">
        <v>24</v>
      </c>
      <c r="M84" t="s">
        <v>1074</v>
      </c>
      <c r="N84" t="s">
        <v>1074</v>
      </c>
      <c r="O84" t="s">
        <v>1075</v>
      </c>
      <c r="P84" t="s">
        <v>1076</v>
      </c>
    </row>
    <row r="85" spans="1:16" x14ac:dyDescent="0.35">
      <c r="A85" t="s">
        <v>31</v>
      </c>
      <c r="B85" t="s">
        <v>1077</v>
      </c>
      <c r="C85" t="s">
        <v>634</v>
      </c>
      <c r="D85" t="s">
        <v>730</v>
      </c>
      <c r="E85" t="s">
        <v>756</v>
      </c>
      <c r="F85" t="s">
        <v>590</v>
      </c>
      <c r="G85" t="s">
        <v>1078</v>
      </c>
      <c r="H85" t="s">
        <v>590</v>
      </c>
      <c r="I85" t="s">
        <v>590</v>
      </c>
      <c r="J85" t="s">
        <v>590</v>
      </c>
      <c r="K85" t="s">
        <v>590</v>
      </c>
      <c r="L85">
        <v>24</v>
      </c>
      <c r="M85" t="s">
        <v>1079</v>
      </c>
      <c r="N85" t="s">
        <v>1079</v>
      </c>
      <c r="O85" t="s">
        <v>1080</v>
      </c>
      <c r="P85" t="s">
        <v>1081</v>
      </c>
    </row>
    <row r="86" spans="1:16" x14ac:dyDescent="0.35">
      <c r="A86" t="s">
        <v>32</v>
      </c>
      <c r="B86" t="s">
        <v>1082</v>
      </c>
      <c r="C86" t="s">
        <v>729</v>
      </c>
      <c r="D86" t="s">
        <v>748</v>
      </c>
      <c r="E86" t="s">
        <v>597</v>
      </c>
      <c r="F86" t="s">
        <v>590</v>
      </c>
      <c r="G86" t="s">
        <v>590</v>
      </c>
      <c r="H86" t="s">
        <v>590</v>
      </c>
      <c r="I86" t="s">
        <v>590</v>
      </c>
      <c r="J86" t="s">
        <v>590</v>
      </c>
      <c r="K86" t="s">
        <v>1063</v>
      </c>
      <c r="L86">
        <v>24</v>
      </c>
      <c r="M86" t="s">
        <v>886</v>
      </c>
      <c r="N86" t="s">
        <v>886</v>
      </c>
      <c r="O86" t="s">
        <v>1083</v>
      </c>
      <c r="P86" t="s">
        <v>1084</v>
      </c>
    </row>
    <row r="87" spans="1:16" x14ac:dyDescent="0.35">
      <c r="A87" t="s">
        <v>33</v>
      </c>
      <c r="B87" t="s">
        <v>1085</v>
      </c>
      <c r="C87" t="s">
        <v>1086</v>
      </c>
      <c r="D87" t="s">
        <v>662</v>
      </c>
      <c r="E87" t="s">
        <v>766</v>
      </c>
      <c r="F87" t="s">
        <v>590</v>
      </c>
      <c r="G87" t="s">
        <v>590</v>
      </c>
      <c r="H87" t="s">
        <v>590</v>
      </c>
      <c r="I87" t="s">
        <v>590</v>
      </c>
      <c r="J87" t="s">
        <v>590</v>
      </c>
      <c r="K87" t="s">
        <v>667</v>
      </c>
      <c r="L87">
        <v>24</v>
      </c>
      <c r="M87" t="s">
        <v>1087</v>
      </c>
      <c r="N87" t="s">
        <v>1087</v>
      </c>
      <c r="O87" t="s">
        <v>1088</v>
      </c>
      <c r="P87" t="s">
        <v>1089</v>
      </c>
    </row>
    <row r="88" spans="1:16" x14ac:dyDescent="0.35">
      <c r="A88" t="s">
        <v>34</v>
      </c>
      <c r="B88" t="s">
        <v>1090</v>
      </c>
      <c r="C88" t="s">
        <v>1058</v>
      </c>
      <c r="D88" t="s">
        <v>755</v>
      </c>
      <c r="E88" t="s">
        <v>590</v>
      </c>
      <c r="F88" t="s">
        <v>590</v>
      </c>
      <c r="G88" t="s">
        <v>590</v>
      </c>
      <c r="H88" t="s">
        <v>590</v>
      </c>
      <c r="I88" t="s">
        <v>590</v>
      </c>
      <c r="J88" t="s">
        <v>590</v>
      </c>
      <c r="K88" t="s">
        <v>590</v>
      </c>
      <c r="L88">
        <v>24</v>
      </c>
      <c r="M88" t="s">
        <v>592</v>
      </c>
      <c r="N88" t="s">
        <v>592</v>
      </c>
      <c r="O88" t="s">
        <v>1091</v>
      </c>
      <c r="P88" t="s">
        <v>1092</v>
      </c>
    </row>
    <row r="89" spans="1:16" x14ac:dyDescent="0.35">
      <c r="A89" t="s">
        <v>35</v>
      </c>
      <c r="B89" t="s">
        <v>1093</v>
      </c>
      <c r="C89" t="s">
        <v>686</v>
      </c>
      <c r="D89" t="s">
        <v>636</v>
      </c>
      <c r="E89" t="s">
        <v>720</v>
      </c>
      <c r="F89" t="s">
        <v>590</v>
      </c>
      <c r="G89" t="s">
        <v>590</v>
      </c>
      <c r="H89" t="s">
        <v>590</v>
      </c>
      <c r="I89" t="s">
        <v>590</v>
      </c>
      <c r="J89" t="s">
        <v>590</v>
      </c>
      <c r="K89" t="s">
        <v>590</v>
      </c>
      <c r="L89">
        <v>24</v>
      </c>
      <c r="M89" t="s">
        <v>592</v>
      </c>
      <c r="N89" t="s">
        <v>592</v>
      </c>
      <c r="O89" t="s">
        <v>1094</v>
      </c>
      <c r="P89" t="s">
        <v>1095</v>
      </c>
    </row>
    <row r="90" spans="1:16" x14ac:dyDescent="0.35">
      <c r="A90" t="s">
        <v>36</v>
      </c>
      <c r="B90" t="s">
        <v>1096</v>
      </c>
      <c r="C90" t="s">
        <v>798</v>
      </c>
      <c r="D90" t="s">
        <v>1097</v>
      </c>
      <c r="E90" t="s">
        <v>590</v>
      </c>
      <c r="F90" t="s">
        <v>590</v>
      </c>
      <c r="G90" t="s">
        <v>590</v>
      </c>
      <c r="H90" t="s">
        <v>590</v>
      </c>
      <c r="I90" t="s">
        <v>590</v>
      </c>
      <c r="J90" t="s">
        <v>590</v>
      </c>
      <c r="K90" t="s">
        <v>590</v>
      </c>
      <c r="L90">
        <v>24</v>
      </c>
      <c r="M90" t="s">
        <v>592</v>
      </c>
      <c r="N90" t="s">
        <v>592</v>
      </c>
      <c r="O90" t="s">
        <v>1098</v>
      </c>
      <c r="P90" t="s">
        <v>827</v>
      </c>
    </row>
    <row r="91" spans="1:16" x14ac:dyDescent="0.35">
      <c r="A91" t="s">
        <v>37</v>
      </c>
      <c r="B91" t="s">
        <v>1099</v>
      </c>
      <c r="C91" t="s">
        <v>597</v>
      </c>
      <c r="D91" t="s">
        <v>1100</v>
      </c>
      <c r="E91" t="s">
        <v>1101</v>
      </c>
      <c r="F91" t="s">
        <v>1102</v>
      </c>
      <c r="G91" t="s">
        <v>590</v>
      </c>
      <c r="H91" t="s">
        <v>590</v>
      </c>
      <c r="I91" t="s">
        <v>590</v>
      </c>
      <c r="J91" t="s">
        <v>590</v>
      </c>
      <c r="K91" t="s">
        <v>664</v>
      </c>
      <c r="L91">
        <v>24</v>
      </c>
      <c r="M91" t="s">
        <v>1103</v>
      </c>
      <c r="N91" t="s">
        <v>1103</v>
      </c>
      <c r="O91" t="s">
        <v>1104</v>
      </c>
      <c r="P91" t="s">
        <v>1105</v>
      </c>
    </row>
    <row r="92" spans="1:16" x14ac:dyDescent="0.35">
      <c r="A92" t="s">
        <v>38</v>
      </c>
      <c r="B92" t="s">
        <v>1106</v>
      </c>
      <c r="C92" t="s">
        <v>749</v>
      </c>
      <c r="D92" t="s">
        <v>1107</v>
      </c>
      <c r="E92" t="s">
        <v>590</v>
      </c>
      <c r="F92" t="s">
        <v>590</v>
      </c>
      <c r="G92" t="s">
        <v>590</v>
      </c>
      <c r="H92" t="s">
        <v>590</v>
      </c>
      <c r="I92" t="s">
        <v>590</v>
      </c>
      <c r="J92" t="s">
        <v>590</v>
      </c>
      <c r="K92" t="s">
        <v>590</v>
      </c>
      <c r="L92">
        <v>24</v>
      </c>
      <c r="M92" t="s">
        <v>592</v>
      </c>
      <c r="N92" t="s">
        <v>592</v>
      </c>
      <c r="O92" t="s">
        <v>675</v>
      </c>
      <c r="P92" t="s">
        <v>1108</v>
      </c>
    </row>
    <row r="93" spans="1:16" x14ac:dyDescent="0.35">
      <c r="A93" t="s">
        <v>39</v>
      </c>
      <c r="B93" t="s">
        <v>845</v>
      </c>
      <c r="C93" t="s">
        <v>779</v>
      </c>
      <c r="D93" t="s">
        <v>590</v>
      </c>
      <c r="E93" t="s">
        <v>1016</v>
      </c>
      <c r="F93" t="s">
        <v>918</v>
      </c>
      <c r="G93" t="s">
        <v>590</v>
      </c>
      <c r="H93" t="s">
        <v>590</v>
      </c>
      <c r="I93" t="s">
        <v>590</v>
      </c>
      <c r="J93" t="s">
        <v>590</v>
      </c>
      <c r="K93" t="s">
        <v>590</v>
      </c>
      <c r="L93">
        <v>24</v>
      </c>
      <c r="M93" t="s">
        <v>1109</v>
      </c>
      <c r="N93" t="s">
        <v>1109</v>
      </c>
      <c r="O93" t="s">
        <v>1110</v>
      </c>
      <c r="P93" t="s">
        <v>1111</v>
      </c>
    </row>
    <row r="94" spans="1:16" x14ac:dyDescent="0.35">
      <c r="A94" t="s">
        <v>40</v>
      </c>
      <c r="B94" t="s">
        <v>877</v>
      </c>
      <c r="C94" t="s">
        <v>859</v>
      </c>
      <c r="D94" t="s">
        <v>703</v>
      </c>
      <c r="E94" t="s">
        <v>590</v>
      </c>
      <c r="F94" t="s">
        <v>590</v>
      </c>
      <c r="G94" t="s">
        <v>590</v>
      </c>
      <c r="H94" t="s">
        <v>590</v>
      </c>
      <c r="I94" t="s">
        <v>590</v>
      </c>
      <c r="J94" t="s">
        <v>590</v>
      </c>
      <c r="K94" t="s">
        <v>590</v>
      </c>
      <c r="L94">
        <v>24</v>
      </c>
      <c r="M94" t="s">
        <v>592</v>
      </c>
      <c r="N94" t="s">
        <v>592</v>
      </c>
      <c r="O94" t="s">
        <v>1112</v>
      </c>
      <c r="P94" t="s">
        <v>812</v>
      </c>
    </row>
    <row r="95" spans="1:16" x14ac:dyDescent="0.35">
      <c r="A95" t="s">
        <v>41</v>
      </c>
      <c r="B95" t="s">
        <v>1113</v>
      </c>
      <c r="C95" t="s">
        <v>1043</v>
      </c>
      <c r="D95" t="s">
        <v>1100</v>
      </c>
      <c r="E95" t="s">
        <v>1100</v>
      </c>
      <c r="F95" t="s">
        <v>590</v>
      </c>
      <c r="G95" t="s">
        <v>590</v>
      </c>
      <c r="H95" t="s">
        <v>590</v>
      </c>
      <c r="I95" t="s">
        <v>590</v>
      </c>
      <c r="J95" t="s">
        <v>590</v>
      </c>
      <c r="K95" t="s">
        <v>1070</v>
      </c>
      <c r="L95">
        <v>24</v>
      </c>
      <c r="M95" t="s">
        <v>1114</v>
      </c>
      <c r="N95" t="s">
        <v>1114</v>
      </c>
      <c r="O95" t="s">
        <v>1115</v>
      </c>
      <c r="P95" t="s">
        <v>1116</v>
      </c>
    </row>
    <row r="96" spans="1:16" x14ac:dyDescent="0.35">
      <c r="A96" t="s">
        <v>42</v>
      </c>
      <c r="B96" t="s">
        <v>1117</v>
      </c>
      <c r="C96" t="s">
        <v>789</v>
      </c>
      <c r="D96" t="s">
        <v>701</v>
      </c>
      <c r="E96" t="s">
        <v>700</v>
      </c>
      <c r="F96" t="s">
        <v>590</v>
      </c>
      <c r="G96" t="s">
        <v>590</v>
      </c>
      <c r="H96" t="s">
        <v>590</v>
      </c>
      <c r="I96" t="s">
        <v>590</v>
      </c>
      <c r="J96" t="s">
        <v>590</v>
      </c>
      <c r="K96" t="s">
        <v>590</v>
      </c>
      <c r="L96">
        <v>24</v>
      </c>
      <c r="M96" t="s">
        <v>592</v>
      </c>
      <c r="N96" t="s">
        <v>592</v>
      </c>
      <c r="O96" t="s">
        <v>684</v>
      </c>
      <c r="P96" t="s">
        <v>1118</v>
      </c>
    </row>
    <row r="97" spans="1:16" x14ac:dyDescent="0.35">
      <c r="A97" t="s">
        <v>43</v>
      </c>
      <c r="B97" t="s">
        <v>815</v>
      </c>
      <c r="C97" t="s">
        <v>809</v>
      </c>
      <c r="D97" t="s">
        <v>1053</v>
      </c>
      <c r="E97" t="s">
        <v>590</v>
      </c>
      <c r="F97" t="s">
        <v>590</v>
      </c>
      <c r="G97" t="s">
        <v>590</v>
      </c>
      <c r="H97" t="s">
        <v>590</v>
      </c>
      <c r="I97" t="s">
        <v>590</v>
      </c>
      <c r="J97" t="s">
        <v>590</v>
      </c>
      <c r="K97" t="s">
        <v>590</v>
      </c>
      <c r="L97">
        <v>24</v>
      </c>
      <c r="M97" t="s">
        <v>592</v>
      </c>
      <c r="N97" t="s">
        <v>592</v>
      </c>
      <c r="O97" t="s">
        <v>811</v>
      </c>
      <c r="P97" t="s">
        <v>1119</v>
      </c>
    </row>
    <row r="98" spans="1:16" x14ac:dyDescent="0.35">
      <c r="A98" t="s">
        <v>44</v>
      </c>
      <c r="B98" t="s">
        <v>1120</v>
      </c>
      <c r="C98" t="s">
        <v>1121</v>
      </c>
      <c r="D98" t="s">
        <v>1121</v>
      </c>
      <c r="E98" t="s">
        <v>661</v>
      </c>
      <c r="F98" t="s">
        <v>590</v>
      </c>
      <c r="G98" t="s">
        <v>590</v>
      </c>
      <c r="H98" t="s">
        <v>590</v>
      </c>
      <c r="I98" t="s">
        <v>590</v>
      </c>
      <c r="J98" t="s">
        <v>590</v>
      </c>
      <c r="K98" t="s">
        <v>590</v>
      </c>
      <c r="L98">
        <v>24</v>
      </c>
      <c r="M98" t="s">
        <v>592</v>
      </c>
      <c r="N98" t="s">
        <v>592</v>
      </c>
      <c r="O98" t="s">
        <v>1122</v>
      </c>
      <c r="P98" t="s">
        <v>1123</v>
      </c>
    </row>
    <row r="99" spans="1:16" x14ac:dyDescent="0.35">
      <c r="A99" t="s">
        <v>45</v>
      </c>
      <c r="B99" t="s">
        <v>1124</v>
      </c>
      <c r="C99" t="s">
        <v>791</v>
      </c>
      <c r="D99" t="s">
        <v>739</v>
      </c>
      <c r="E99" t="s">
        <v>590</v>
      </c>
      <c r="F99" t="s">
        <v>590</v>
      </c>
      <c r="G99" t="s">
        <v>590</v>
      </c>
      <c r="H99" t="s">
        <v>590</v>
      </c>
      <c r="I99" t="s">
        <v>590</v>
      </c>
      <c r="J99" t="s">
        <v>590</v>
      </c>
      <c r="K99" t="s">
        <v>673</v>
      </c>
      <c r="L99">
        <v>24</v>
      </c>
      <c r="M99" t="s">
        <v>1125</v>
      </c>
      <c r="N99" t="s">
        <v>1125</v>
      </c>
      <c r="O99" t="s">
        <v>1126</v>
      </c>
      <c r="P99" t="s">
        <v>1127</v>
      </c>
    </row>
    <row r="100" spans="1:16" x14ac:dyDescent="0.35">
      <c r="A100" t="s">
        <v>46</v>
      </c>
      <c r="B100" t="s">
        <v>1128</v>
      </c>
      <c r="C100" t="s">
        <v>606</v>
      </c>
      <c r="D100" t="s">
        <v>698</v>
      </c>
      <c r="E100" t="s">
        <v>707</v>
      </c>
      <c r="F100" t="s">
        <v>691</v>
      </c>
      <c r="G100" t="s">
        <v>1129</v>
      </c>
      <c r="H100" t="s">
        <v>590</v>
      </c>
      <c r="I100" t="s">
        <v>590</v>
      </c>
      <c r="J100" t="s">
        <v>590</v>
      </c>
      <c r="K100" t="s">
        <v>590</v>
      </c>
      <c r="L100">
        <v>24</v>
      </c>
      <c r="M100" t="s">
        <v>1130</v>
      </c>
      <c r="N100" t="s">
        <v>1130</v>
      </c>
      <c r="O100" t="s">
        <v>1131</v>
      </c>
      <c r="P100" t="s">
        <v>1132</v>
      </c>
    </row>
    <row r="101" spans="1:16" x14ac:dyDescent="0.35">
      <c r="A101" t="s">
        <v>47</v>
      </c>
      <c r="B101" t="s">
        <v>1133</v>
      </c>
      <c r="C101" t="s">
        <v>1134</v>
      </c>
      <c r="D101" t="s">
        <v>653</v>
      </c>
      <c r="E101" t="s">
        <v>689</v>
      </c>
      <c r="F101" t="s">
        <v>590</v>
      </c>
      <c r="G101" t="s">
        <v>590</v>
      </c>
      <c r="H101" t="s">
        <v>590</v>
      </c>
      <c r="I101" t="s">
        <v>590</v>
      </c>
      <c r="J101" t="s">
        <v>596</v>
      </c>
      <c r="K101" t="s">
        <v>705</v>
      </c>
      <c r="L101">
        <v>24</v>
      </c>
      <c r="M101" t="s">
        <v>1135</v>
      </c>
      <c r="N101" t="s">
        <v>1135</v>
      </c>
      <c r="O101" t="s">
        <v>1136</v>
      </c>
      <c r="P101" t="s">
        <v>743</v>
      </c>
    </row>
    <row r="102" spans="1:16" x14ac:dyDescent="0.35">
      <c r="A102" t="s">
        <v>48</v>
      </c>
      <c r="B102" t="s">
        <v>861</v>
      </c>
      <c r="C102" t="s">
        <v>1137</v>
      </c>
      <c r="D102" t="s">
        <v>701</v>
      </c>
      <c r="E102" t="s">
        <v>863</v>
      </c>
      <c r="F102" t="s">
        <v>806</v>
      </c>
      <c r="G102" t="s">
        <v>590</v>
      </c>
      <c r="H102" t="s">
        <v>590</v>
      </c>
      <c r="I102" t="s">
        <v>590</v>
      </c>
      <c r="J102" t="s">
        <v>590</v>
      </c>
      <c r="K102" t="s">
        <v>608</v>
      </c>
      <c r="L102">
        <v>24</v>
      </c>
      <c r="M102" t="s">
        <v>1138</v>
      </c>
      <c r="N102" t="s">
        <v>1138</v>
      </c>
      <c r="O102" t="s">
        <v>1139</v>
      </c>
      <c r="P102" t="s">
        <v>834</v>
      </c>
    </row>
    <row r="103" spans="1:16" x14ac:dyDescent="0.35">
      <c r="A103" t="s">
        <v>49</v>
      </c>
      <c r="B103" t="s">
        <v>1140</v>
      </c>
      <c r="C103" t="s">
        <v>803</v>
      </c>
      <c r="D103" t="s">
        <v>1141</v>
      </c>
      <c r="E103" t="s">
        <v>590</v>
      </c>
      <c r="F103" t="s">
        <v>590</v>
      </c>
      <c r="G103" t="s">
        <v>590</v>
      </c>
      <c r="H103" t="s">
        <v>590</v>
      </c>
      <c r="I103" t="s">
        <v>590</v>
      </c>
      <c r="J103" t="s">
        <v>590</v>
      </c>
      <c r="K103" t="s">
        <v>661</v>
      </c>
      <c r="L103">
        <v>24</v>
      </c>
      <c r="M103" t="s">
        <v>1142</v>
      </c>
      <c r="N103" t="s">
        <v>1142</v>
      </c>
      <c r="O103" t="s">
        <v>1143</v>
      </c>
      <c r="P103" t="s">
        <v>1080</v>
      </c>
    </row>
    <row r="104" spans="1:16" x14ac:dyDescent="0.35">
      <c r="A104" t="s">
        <v>50</v>
      </c>
      <c r="B104" t="s">
        <v>1068</v>
      </c>
      <c r="C104" t="s">
        <v>663</v>
      </c>
      <c r="D104" t="s">
        <v>651</v>
      </c>
      <c r="E104" t="s">
        <v>1144</v>
      </c>
      <c r="F104" t="s">
        <v>590</v>
      </c>
      <c r="G104" t="s">
        <v>590</v>
      </c>
      <c r="H104" t="s">
        <v>590</v>
      </c>
      <c r="I104" t="s">
        <v>590</v>
      </c>
      <c r="J104" t="s">
        <v>590</v>
      </c>
      <c r="K104" t="s">
        <v>590</v>
      </c>
      <c r="L104">
        <v>24</v>
      </c>
      <c r="M104" t="s">
        <v>592</v>
      </c>
      <c r="N104" t="s">
        <v>592</v>
      </c>
      <c r="O104" t="s">
        <v>1145</v>
      </c>
      <c r="P104" t="s">
        <v>1146</v>
      </c>
    </row>
    <row r="105" spans="1:16" x14ac:dyDescent="0.35">
      <c r="A105" t="s">
        <v>51</v>
      </c>
      <c r="B105" t="s">
        <v>1147</v>
      </c>
      <c r="C105" t="s">
        <v>1058</v>
      </c>
      <c r="D105" t="s">
        <v>677</v>
      </c>
      <c r="E105" t="s">
        <v>1148</v>
      </c>
      <c r="F105" t="s">
        <v>590</v>
      </c>
      <c r="G105" t="s">
        <v>590</v>
      </c>
      <c r="H105" t="s">
        <v>590</v>
      </c>
      <c r="I105" t="s">
        <v>590</v>
      </c>
      <c r="J105" t="s">
        <v>1149</v>
      </c>
      <c r="K105" t="s">
        <v>623</v>
      </c>
      <c r="L105">
        <v>24</v>
      </c>
      <c r="M105" t="s">
        <v>824</v>
      </c>
      <c r="N105" t="s">
        <v>824</v>
      </c>
      <c r="O105" t="s">
        <v>1150</v>
      </c>
      <c r="P105" t="s">
        <v>1151</v>
      </c>
    </row>
    <row r="106" spans="1:16" x14ac:dyDescent="0.35">
      <c r="A106" t="s">
        <v>52</v>
      </c>
      <c r="B106" t="s">
        <v>1152</v>
      </c>
      <c r="C106" t="s">
        <v>1053</v>
      </c>
      <c r="D106" t="s">
        <v>1153</v>
      </c>
      <c r="E106" t="s">
        <v>590</v>
      </c>
      <c r="F106" t="s">
        <v>590</v>
      </c>
      <c r="G106" t="s">
        <v>590</v>
      </c>
      <c r="H106" t="s">
        <v>590</v>
      </c>
      <c r="I106" t="s">
        <v>590</v>
      </c>
      <c r="J106" t="s">
        <v>590</v>
      </c>
      <c r="K106" t="s">
        <v>590</v>
      </c>
      <c r="L106">
        <v>24</v>
      </c>
      <c r="M106" t="s">
        <v>592</v>
      </c>
      <c r="N106" t="s">
        <v>592</v>
      </c>
      <c r="O106" t="s">
        <v>805</v>
      </c>
      <c r="P106" t="s">
        <v>1154</v>
      </c>
    </row>
    <row r="107" spans="1:16" x14ac:dyDescent="0.35">
      <c r="A107" t="s">
        <v>53</v>
      </c>
      <c r="B107" t="s">
        <v>1155</v>
      </c>
      <c r="C107" t="s">
        <v>713</v>
      </c>
      <c r="D107" t="s">
        <v>590</v>
      </c>
      <c r="E107" t="s">
        <v>679</v>
      </c>
      <c r="F107" t="s">
        <v>590</v>
      </c>
      <c r="G107" t="s">
        <v>590</v>
      </c>
      <c r="H107" t="s">
        <v>590</v>
      </c>
      <c r="I107" t="s">
        <v>590</v>
      </c>
      <c r="J107" t="s">
        <v>590</v>
      </c>
      <c r="K107" t="s">
        <v>1156</v>
      </c>
      <c r="L107">
        <v>24</v>
      </c>
      <c r="M107" t="s">
        <v>1157</v>
      </c>
      <c r="N107" t="s">
        <v>1157</v>
      </c>
      <c r="O107" t="s">
        <v>1158</v>
      </c>
      <c r="P107" t="s">
        <v>1159</v>
      </c>
    </row>
    <row r="108" spans="1:16" x14ac:dyDescent="0.35">
      <c r="A108" t="s">
        <v>54</v>
      </c>
      <c r="B108" t="s">
        <v>1160</v>
      </c>
      <c r="C108" t="s">
        <v>635</v>
      </c>
      <c r="D108" t="s">
        <v>590</v>
      </c>
      <c r="E108" t="s">
        <v>609</v>
      </c>
      <c r="F108" t="s">
        <v>590</v>
      </c>
      <c r="G108" t="s">
        <v>1161</v>
      </c>
      <c r="H108" t="s">
        <v>590</v>
      </c>
      <c r="I108" t="s">
        <v>590</v>
      </c>
      <c r="J108" t="s">
        <v>590</v>
      </c>
      <c r="K108" t="s">
        <v>590</v>
      </c>
      <c r="L108">
        <v>24</v>
      </c>
      <c r="M108" t="s">
        <v>1076</v>
      </c>
      <c r="N108" t="s">
        <v>1076</v>
      </c>
      <c r="O108" t="s">
        <v>1162</v>
      </c>
      <c r="P108" t="s">
        <v>592</v>
      </c>
    </row>
    <row r="109" spans="1:16" x14ac:dyDescent="0.35">
      <c r="A109" t="s">
        <v>55</v>
      </c>
      <c r="B109" t="s">
        <v>590</v>
      </c>
      <c r="C109" t="s">
        <v>590</v>
      </c>
      <c r="D109" t="s">
        <v>590</v>
      </c>
      <c r="E109" t="s">
        <v>590</v>
      </c>
      <c r="F109" t="s">
        <v>590</v>
      </c>
      <c r="G109" t="s">
        <v>590</v>
      </c>
      <c r="H109" t="s">
        <v>590</v>
      </c>
      <c r="I109" t="s">
        <v>590</v>
      </c>
      <c r="J109" t="s">
        <v>590</v>
      </c>
      <c r="K109" t="s">
        <v>591</v>
      </c>
      <c r="L109">
        <v>24</v>
      </c>
      <c r="M109" t="s">
        <v>590</v>
      </c>
      <c r="N109" t="s">
        <v>590</v>
      </c>
      <c r="O109" t="s">
        <v>590</v>
      </c>
      <c r="P109" t="s">
        <v>590</v>
      </c>
    </row>
    <row r="110" spans="1:16" x14ac:dyDescent="0.35">
      <c r="A110" t="s">
        <v>56</v>
      </c>
      <c r="B110" t="s">
        <v>1163</v>
      </c>
      <c r="C110" t="s">
        <v>688</v>
      </c>
      <c r="D110" t="s">
        <v>636</v>
      </c>
      <c r="E110" t="s">
        <v>708</v>
      </c>
      <c r="F110" t="s">
        <v>665</v>
      </c>
      <c r="G110" t="s">
        <v>590</v>
      </c>
      <c r="H110" t="s">
        <v>590</v>
      </c>
      <c r="I110" t="s">
        <v>590</v>
      </c>
      <c r="J110" t="s">
        <v>1058</v>
      </c>
      <c r="K110" t="s">
        <v>590</v>
      </c>
      <c r="L110">
        <v>24</v>
      </c>
      <c r="M110" t="s">
        <v>869</v>
      </c>
      <c r="N110" t="s">
        <v>869</v>
      </c>
      <c r="O110" t="s">
        <v>1164</v>
      </c>
      <c r="P110" t="s">
        <v>864</v>
      </c>
    </row>
    <row r="111" spans="1:16" x14ac:dyDescent="0.35">
      <c r="A111" t="s">
        <v>57</v>
      </c>
      <c r="B111" t="s">
        <v>1165</v>
      </c>
      <c r="C111" t="s">
        <v>1166</v>
      </c>
      <c r="D111" t="s">
        <v>787</v>
      </c>
      <c r="E111" t="s">
        <v>669</v>
      </c>
      <c r="F111" t="s">
        <v>590</v>
      </c>
      <c r="G111" t="s">
        <v>590</v>
      </c>
      <c r="H111" t="s">
        <v>590</v>
      </c>
      <c r="I111" t="s">
        <v>590</v>
      </c>
      <c r="J111" t="s">
        <v>590</v>
      </c>
      <c r="K111" t="s">
        <v>759</v>
      </c>
      <c r="L111">
        <v>24</v>
      </c>
      <c r="M111" t="s">
        <v>1167</v>
      </c>
      <c r="N111" t="s">
        <v>1167</v>
      </c>
      <c r="O111" t="s">
        <v>926</v>
      </c>
      <c r="P111" t="s">
        <v>1168</v>
      </c>
    </row>
    <row r="112" spans="1:16" x14ac:dyDescent="0.35">
      <c r="A112" t="s">
        <v>58</v>
      </c>
      <c r="B112" t="s">
        <v>590</v>
      </c>
      <c r="C112" t="s">
        <v>590</v>
      </c>
      <c r="D112" t="s">
        <v>590</v>
      </c>
      <c r="E112" t="s">
        <v>590</v>
      </c>
      <c r="F112" t="s">
        <v>590</v>
      </c>
      <c r="G112" t="s">
        <v>590</v>
      </c>
      <c r="H112" t="s">
        <v>590</v>
      </c>
      <c r="I112" t="s">
        <v>590</v>
      </c>
      <c r="J112" t="s">
        <v>590</v>
      </c>
      <c r="K112" t="s">
        <v>591</v>
      </c>
      <c r="L112">
        <v>24</v>
      </c>
      <c r="M112" t="s">
        <v>590</v>
      </c>
      <c r="N112" t="s">
        <v>590</v>
      </c>
      <c r="O112" t="s">
        <v>590</v>
      </c>
      <c r="P112" t="s">
        <v>590</v>
      </c>
    </row>
    <row r="113" spans="1:16" x14ac:dyDescent="0.35">
      <c r="A113" t="s">
        <v>59</v>
      </c>
      <c r="B113" t="s">
        <v>857</v>
      </c>
      <c r="C113" t="s">
        <v>606</v>
      </c>
      <c r="D113" t="s">
        <v>637</v>
      </c>
      <c r="E113" t="s">
        <v>590</v>
      </c>
      <c r="F113" t="s">
        <v>590</v>
      </c>
      <c r="G113" t="s">
        <v>590</v>
      </c>
      <c r="H113" t="s">
        <v>590</v>
      </c>
      <c r="I113" t="s">
        <v>590</v>
      </c>
      <c r="J113" t="s">
        <v>590</v>
      </c>
      <c r="K113" t="s">
        <v>590</v>
      </c>
      <c r="L113">
        <v>24</v>
      </c>
      <c r="M113" t="s">
        <v>592</v>
      </c>
      <c r="N113" t="s">
        <v>592</v>
      </c>
      <c r="O113" t="s">
        <v>1169</v>
      </c>
      <c r="P113" t="s">
        <v>1170</v>
      </c>
    </row>
    <row r="114" spans="1:16" x14ac:dyDescent="0.35">
      <c r="A114" t="s">
        <v>60</v>
      </c>
      <c r="B114" t="s">
        <v>1156</v>
      </c>
      <c r="C114" t="s">
        <v>1171</v>
      </c>
      <c r="D114" t="s">
        <v>810</v>
      </c>
      <c r="E114" t="s">
        <v>603</v>
      </c>
      <c r="F114" t="s">
        <v>796</v>
      </c>
      <c r="G114" t="s">
        <v>590</v>
      </c>
      <c r="H114" t="s">
        <v>590</v>
      </c>
      <c r="I114" t="s">
        <v>590</v>
      </c>
      <c r="J114" t="s">
        <v>590</v>
      </c>
      <c r="K114" t="s">
        <v>590</v>
      </c>
      <c r="L114">
        <v>24</v>
      </c>
      <c r="M114" t="s">
        <v>1172</v>
      </c>
      <c r="N114" t="s">
        <v>1172</v>
      </c>
      <c r="O114" t="s">
        <v>1173</v>
      </c>
      <c r="P114" t="s">
        <v>784</v>
      </c>
    </row>
    <row r="115" spans="1:16" x14ac:dyDescent="0.35">
      <c r="A115" t="s">
        <v>61</v>
      </c>
      <c r="B115" t="s">
        <v>1174</v>
      </c>
      <c r="C115" t="s">
        <v>639</v>
      </c>
      <c r="D115" t="s">
        <v>727</v>
      </c>
      <c r="E115" t="s">
        <v>778</v>
      </c>
      <c r="F115" t="s">
        <v>590</v>
      </c>
      <c r="G115" t="s">
        <v>590</v>
      </c>
      <c r="H115" t="s">
        <v>590</v>
      </c>
      <c r="I115" t="s">
        <v>590</v>
      </c>
      <c r="J115" t="s">
        <v>590</v>
      </c>
      <c r="K115" t="s">
        <v>590</v>
      </c>
      <c r="L115">
        <v>24</v>
      </c>
      <c r="M115" t="s">
        <v>592</v>
      </c>
      <c r="N115" t="s">
        <v>592</v>
      </c>
      <c r="O115" t="s">
        <v>1175</v>
      </c>
      <c r="P115" t="s">
        <v>1176</v>
      </c>
    </row>
    <row r="116" spans="1:16" x14ac:dyDescent="0.35">
      <c r="A116" t="s">
        <v>62</v>
      </c>
      <c r="B116" t="s">
        <v>1177</v>
      </c>
      <c r="C116" t="s">
        <v>631</v>
      </c>
      <c r="D116" t="s">
        <v>829</v>
      </c>
      <c r="E116" t="s">
        <v>1178</v>
      </c>
      <c r="F116" t="s">
        <v>590</v>
      </c>
      <c r="G116" t="s">
        <v>590</v>
      </c>
      <c r="H116" t="s">
        <v>590</v>
      </c>
      <c r="I116" t="s">
        <v>590</v>
      </c>
      <c r="J116" t="s">
        <v>590</v>
      </c>
      <c r="K116" t="s">
        <v>1179</v>
      </c>
      <c r="L116">
        <v>24</v>
      </c>
      <c r="M116" t="s">
        <v>1180</v>
      </c>
      <c r="N116" t="s">
        <v>1180</v>
      </c>
      <c r="O116" t="s">
        <v>1181</v>
      </c>
      <c r="P116" t="s">
        <v>1182</v>
      </c>
    </row>
    <row r="117" spans="1:16" x14ac:dyDescent="0.35">
      <c r="A117" t="s">
        <v>63</v>
      </c>
      <c r="B117" t="s">
        <v>1183</v>
      </c>
      <c r="C117" t="s">
        <v>787</v>
      </c>
      <c r="D117" t="s">
        <v>590</v>
      </c>
      <c r="E117" t="s">
        <v>590</v>
      </c>
      <c r="F117" t="s">
        <v>590</v>
      </c>
      <c r="G117" t="s">
        <v>590</v>
      </c>
      <c r="H117" t="s">
        <v>590</v>
      </c>
      <c r="I117" t="s">
        <v>590</v>
      </c>
      <c r="J117" t="s">
        <v>590</v>
      </c>
      <c r="K117" t="s">
        <v>590</v>
      </c>
      <c r="L117">
        <v>24</v>
      </c>
      <c r="M117" t="s">
        <v>592</v>
      </c>
      <c r="N117" t="s">
        <v>592</v>
      </c>
      <c r="O117" t="s">
        <v>1184</v>
      </c>
      <c r="P117" t="s">
        <v>592</v>
      </c>
    </row>
    <row r="118" spans="1:16" x14ac:dyDescent="0.35">
      <c r="A118" t="s">
        <v>64</v>
      </c>
      <c r="B118" t="s">
        <v>1183</v>
      </c>
      <c r="C118" t="s">
        <v>787</v>
      </c>
      <c r="D118" t="s">
        <v>590</v>
      </c>
      <c r="E118" t="s">
        <v>590</v>
      </c>
      <c r="F118" t="s">
        <v>590</v>
      </c>
      <c r="G118" t="s">
        <v>590</v>
      </c>
      <c r="H118" t="s">
        <v>590</v>
      </c>
      <c r="I118" t="s">
        <v>590</v>
      </c>
      <c r="J118" t="s">
        <v>590</v>
      </c>
      <c r="K118" t="s">
        <v>590</v>
      </c>
      <c r="L118">
        <v>24</v>
      </c>
      <c r="M118" t="s">
        <v>592</v>
      </c>
      <c r="N118" t="s">
        <v>592</v>
      </c>
      <c r="O118" t="s">
        <v>1185</v>
      </c>
      <c r="P118" t="s">
        <v>592</v>
      </c>
    </row>
    <row r="119" spans="1:16" x14ac:dyDescent="0.35">
      <c r="A119" t="s">
        <v>65</v>
      </c>
      <c r="B119" t="s">
        <v>1183</v>
      </c>
      <c r="C119" t="s">
        <v>787</v>
      </c>
      <c r="D119" t="s">
        <v>590</v>
      </c>
      <c r="E119" t="s">
        <v>590</v>
      </c>
      <c r="F119" t="s">
        <v>590</v>
      </c>
      <c r="G119" t="s">
        <v>590</v>
      </c>
      <c r="H119" t="s">
        <v>590</v>
      </c>
      <c r="I119" t="s">
        <v>590</v>
      </c>
      <c r="J119" t="s">
        <v>590</v>
      </c>
      <c r="K119" t="s">
        <v>590</v>
      </c>
      <c r="L119">
        <v>24</v>
      </c>
      <c r="M119" t="s">
        <v>592</v>
      </c>
      <c r="N119" t="s">
        <v>592</v>
      </c>
      <c r="O119" t="s">
        <v>1184</v>
      </c>
      <c r="P119" t="s">
        <v>592</v>
      </c>
    </row>
    <row r="120" spans="1:16" x14ac:dyDescent="0.35">
      <c r="A120" t="s">
        <v>66</v>
      </c>
      <c r="B120" t="s">
        <v>1183</v>
      </c>
      <c r="C120" t="s">
        <v>787</v>
      </c>
      <c r="D120" t="s">
        <v>590</v>
      </c>
      <c r="E120" t="s">
        <v>590</v>
      </c>
      <c r="F120" t="s">
        <v>590</v>
      </c>
      <c r="G120" t="s">
        <v>590</v>
      </c>
      <c r="H120" t="s">
        <v>590</v>
      </c>
      <c r="I120" t="s">
        <v>590</v>
      </c>
      <c r="J120" t="s">
        <v>590</v>
      </c>
      <c r="K120" t="s">
        <v>590</v>
      </c>
      <c r="L120">
        <v>24</v>
      </c>
      <c r="M120" t="s">
        <v>592</v>
      </c>
      <c r="N120" t="s">
        <v>592</v>
      </c>
      <c r="O120" t="s">
        <v>1184</v>
      </c>
      <c r="P120" t="s">
        <v>592</v>
      </c>
    </row>
    <row r="121" spans="1:16" x14ac:dyDescent="0.35">
      <c r="A121" t="s">
        <v>67</v>
      </c>
      <c r="B121" t="s">
        <v>1186</v>
      </c>
      <c r="C121" t="s">
        <v>670</v>
      </c>
      <c r="D121" t="s">
        <v>590</v>
      </c>
      <c r="E121" t="s">
        <v>590</v>
      </c>
      <c r="F121" t="s">
        <v>590</v>
      </c>
      <c r="G121" t="s">
        <v>590</v>
      </c>
      <c r="H121" t="s">
        <v>590</v>
      </c>
      <c r="I121" t="s">
        <v>590</v>
      </c>
      <c r="J121" t="s">
        <v>590</v>
      </c>
      <c r="K121" t="s">
        <v>590</v>
      </c>
      <c r="L121">
        <v>24</v>
      </c>
      <c r="M121" t="s">
        <v>592</v>
      </c>
      <c r="N121" t="s">
        <v>592</v>
      </c>
      <c r="O121" t="s">
        <v>1187</v>
      </c>
      <c r="P121" t="s">
        <v>592</v>
      </c>
    </row>
    <row r="122" spans="1:16" x14ac:dyDescent="0.35">
      <c r="A122" t="s">
        <v>68</v>
      </c>
      <c r="B122" t="s">
        <v>1186</v>
      </c>
      <c r="C122" t="s">
        <v>670</v>
      </c>
      <c r="D122" t="s">
        <v>590</v>
      </c>
      <c r="E122" t="s">
        <v>590</v>
      </c>
      <c r="F122" t="s">
        <v>590</v>
      </c>
      <c r="G122" t="s">
        <v>590</v>
      </c>
      <c r="H122" t="s">
        <v>590</v>
      </c>
      <c r="I122" t="s">
        <v>590</v>
      </c>
      <c r="J122" t="s">
        <v>590</v>
      </c>
      <c r="K122" t="s">
        <v>590</v>
      </c>
      <c r="L122">
        <v>24</v>
      </c>
      <c r="M122" t="s">
        <v>592</v>
      </c>
      <c r="N122" t="s">
        <v>592</v>
      </c>
      <c r="O122" t="s">
        <v>1188</v>
      </c>
      <c r="P122" t="s">
        <v>592</v>
      </c>
    </row>
    <row r="123" spans="1:16" x14ac:dyDescent="0.35">
      <c r="A123" t="s">
        <v>70</v>
      </c>
      <c r="B123" t="s">
        <v>775</v>
      </c>
      <c r="C123" t="s">
        <v>590</v>
      </c>
      <c r="D123" t="s">
        <v>618</v>
      </c>
      <c r="E123" t="s">
        <v>819</v>
      </c>
      <c r="F123" t="s">
        <v>1189</v>
      </c>
      <c r="G123" t="s">
        <v>1190</v>
      </c>
      <c r="H123" t="s">
        <v>590</v>
      </c>
      <c r="I123" t="s">
        <v>590</v>
      </c>
      <c r="J123" t="s">
        <v>790</v>
      </c>
      <c r="K123" t="s">
        <v>590</v>
      </c>
      <c r="L123">
        <v>24</v>
      </c>
      <c r="M123" t="s">
        <v>1191</v>
      </c>
      <c r="N123" t="s">
        <v>1191</v>
      </c>
      <c r="O123" t="s">
        <v>1192</v>
      </c>
      <c r="P123" t="s">
        <v>1193</v>
      </c>
    </row>
    <row r="124" spans="1:16" x14ac:dyDescent="0.35">
      <c r="A124" t="s">
        <v>71</v>
      </c>
      <c r="B124" t="s">
        <v>1194</v>
      </c>
      <c r="C124" t="s">
        <v>637</v>
      </c>
      <c r="D124" t="s">
        <v>801</v>
      </c>
      <c r="E124" t="s">
        <v>774</v>
      </c>
      <c r="F124" t="s">
        <v>1195</v>
      </c>
      <c r="G124" t="s">
        <v>1196</v>
      </c>
      <c r="H124" t="s">
        <v>590</v>
      </c>
      <c r="I124" t="s">
        <v>590</v>
      </c>
      <c r="J124" t="s">
        <v>590</v>
      </c>
      <c r="K124" t="s">
        <v>590</v>
      </c>
      <c r="L124">
        <v>24</v>
      </c>
      <c r="M124" t="s">
        <v>1197</v>
      </c>
      <c r="N124" t="s">
        <v>1197</v>
      </c>
      <c r="O124" t="s">
        <v>1198</v>
      </c>
      <c r="P124" t="s">
        <v>1199</v>
      </c>
    </row>
    <row r="125" spans="1:16" x14ac:dyDescent="0.35">
      <c r="A125" t="s">
        <v>72</v>
      </c>
      <c r="B125" t="s">
        <v>1200</v>
      </c>
      <c r="C125" t="s">
        <v>590</v>
      </c>
      <c r="D125" t="s">
        <v>673</v>
      </c>
      <c r="E125" t="s">
        <v>1201</v>
      </c>
      <c r="F125" t="s">
        <v>1202</v>
      </c>
      <c r="G125" t="s">
        <v>595</v>
      </c>
      <c r="H125" t="s">
        <v>590</v>
      </c>
      <c r="I125" t="s">
        <v>590</v>
      </c>
      <c r="J125" t="s">
        <v>590</v>
      </c>
      <c r="K125" t="s">
        <v>772</v>
      </c>
      <c r="L125">
        <v>24</v>
      </c>
      <c r="M125" t="s">
        <v>1203</v>
      </c>
      <c r="N125" t="s">
        <v>1203</v>
      </c>
      <c r="O125" t="s">
        <v>1204</v>
      </c>
      <c r="P125" t="s">
        <v>1205</v>
      </c>
    </row>
    <row r="126" spans="1:16" x14ac:dyDescent="0.35">
      <c r="A126" t="s">
        <v>73</v>
      </c>
      <c r="B126" t="s">
        <v>1206</v>
      </c>
      <c r="C126" t="s">
        <v>1207</v>
      </c>
      <c r="D126" t="s">
        <v>1208</v>
      </c>
      <c r="E126" t="s">
        <v>702</v>
      </c>
      <c r="F126" t="s">
        <v>590</v>
      </c>
      <c r="G126" t="s">
        <v>590</v>
      </c>
      <c r="H126" t="s">
        <v>590</v>
      </c>
      <c r="I126" t="s">
        <v>590</v>
      </c>
      <c r="J126" t="s">
        <v>590</v>
      </c>
      <c r="K126" t="s">
        <v>590</v>
      </c>
      <c r="L126">
        <v>24</v>
      </c>
      <c r="M126" t="s">
        <v>592</v>
      </c>
      <c r="N126" t="s">
        <v>592</v>
      </c>
      <c r="O126" t="s">
        <v>1209</v>
      </c>
      <c r="P126" t="s">
        <v>1210</v>
      </c>
    </row>
    <row r="127" spans="1:16" x14ac:dyDescent="0.35">
      <c r="A127" t="s">
        <v>74</v>
      </c>
      <c r="B127" t="s">
        <v>1211</v>
      </c>
      <c r="C127" t="s">
        <v>1212</v>
      </c>
      <c r="D127" t="s">
        <v>797</v>
      </c>
      <c r="E127" t="s">
        <v>694</v>
      </c>
      <c r="F127" t="s">
        <v>1213</v>
      </c>
      <c r="G127" t="s">
        <v>590</v>
      </c>
      <c r="H127" t="s">
        <v>590</v>
      </c>
      <c r="I127" t="s">
        <v>590</v>
      </c>
      <c r="J127" t="s">
        <v>590</v>
      </c>
      <c r="K127" t="s">
        <v>590</v>
      </c>
      <c r="L127">
        <v>24</v>
      </c>
      <c r="M127" t="s">
        <v>1214</v>
      </c>
      <c r="N127" t="s">
        <v>1214</v>
      </c>
      <c r="O127" t="s">
        <v>1215</v>
      </c>
      <c r="P127" t="s">
        <v>1216</v>
      </c>
    </row>
    <row r="128" spans="1:16" x14ac:dyDescent="0.35">
      <c r="A128" t="s">
        <v>75</v>
      </c>
      <c r="B128" t="s">
        <v>1217</v>
      </c>
      <c r="C128" t="s">
        <v>729</v>
      </c>
      <c r="D128" t="s">
        <v>631</v>
      </c>
      <c r="E128" t="s">
        <v>1218</v>
      </c>
      <c r="F128" t="s">
        <v>590</v>
      </c>
      <c r="G128" t="s">
        <v>590</v>
      </c>
      <c r="H128" t="s">
        <v>590</v>
      </c>
      <c r="I128" t="s">
        <v>590</v>
      </c>
      <c r="J128" t="s">
        <v>590</v>
      </c>
      <c r="K128" t="s">
        <v>590</v>
      </c>
      <c r="L128">
        <v>24</v>
      </c>
      <c r="M128" t="s">
        <v>592</v>
      </c>
      <c r="N128" t="s">
        <v>592</v>
      </c>
      <c r="O128" t="s">
        <v>1219</v>
      </c>
      <c r="P128" t="s">
        <v>1220</v>
      </c>
    </row>
    <row r="129" spans="1:16" x14ac:dyDescent="0.35">
      <c r="A129" t="s">
        <v>76</v>
      </c>
      <c r="B129" t="s">
        <v>1221</v>
      </c>
      <c r="C129" t="s">
        <v>602</v>
      </c>
      <c r="D129" t="s">
        <v>771</v>
      </c>
      <c r="E129" t="s">
        <v>689</v>
      </c>
      <c r="F129" t="s">
        <v>797</v>
      </c>
      <c r="G129" t="s">
        <v>590</v>
      </c>
      <c r="H129" t="s">
        <v>590</v>
      </c>
      <c r="I129" t="s">
        <v>590</v>
      </c>
      <c r="J129" t="s">
        <v>590</v>
      </c>
      <c r="K129" t="s">
        <v>837</v>
      </c>
      <c r="L129">
        <v>24</v>
      </c>
      <c r="M129" t="s">
        <v>1222</v>
      </c>
      <c r="N129" t="s">
        <v>1222</v>
      </c>
      <c r="O129" t="s">
        <v>1223</v>
      </c>
      <c r="P129" t="s">
        <v>1224</v>
      </c>
    </row>
    <row r="130" spans="1:16" x14ac:dyDescent="0.35">
      <c r="A130" t="s">
        <v>77</v>
      </c>
      <c r="B130" t="s">
        <v>590</v>
      </c>
      <c r="C130" t="s">
        <v>590</v>
      </c>
      <c r="D130" t="s">
        <v>590</v>
      </c>
      <c r="E130" t="s">
        <v>590</v>
      </c>
      <c r="F130" t="s">
        <v>590</v>
      </c>
      <c r="G130" t="s">
        <v>590</v>
      </c>
      <c r="H130" t="s">
        <v>590</v>
      </c>
      <c r="I130" t="s">
        <v>590</v>
      </c>
      <c r="J130" t="s">
        <v>590</v>
      </c>
      <c r="K130" t="s">
        <v>591</v>
      </c>
      <c r="L130">
        <v>24</v>
      </c>
      <c r="M130" t="s">
        <v>590</v>
      </c>
      <c r="N130" t="s">
        <v>590</v>
      </c>
      <c r="O130" t="s">
        <v>590</v>
      </c>
      <c r="P130" t="s">
        <v>590</v>
      </c>
    </row>
    <row r="131" spans="1:16" x14ac:dyDescent="0.35">
      <c r="A131" t="s">
        <v>78</v>
      </c>
      <c r="B131" t="s">
        <v>1225</v>
      </c>
      <c r="C131" t="s">
        <v>728</v>
      </c>
      <c r="D131" t="s">
        <v>711</v>
      </c>
      <c r="E131" t="s">
        <v>596</v>
      </c>
      <c r="F131" t="s">
        <v>590</v>
      </c>
      <c r="G131" t="s">
        <v>590</v>
      </c>
      <c r="H131" t="s">
        <v>590</v>
      </c>
      <c r="I131" t="s">
        <v>590</v>
      </c>
      <c r="J131" t="s">
        <v>590</v>
      </c>
      <c r="K131" t="s">
        <v>590</v>
      </c>
      <c r="L131">
        <v>24</v>
      </c>
      <c r="M131" t="s">
        <v>592</v>
      </c>
      <c r="N131" t="s">
        <v>592</v>
      </c>
      <c r="O131" t="s">
        <v>1226</v>
      </c>
      <c r="P131" t="s">
        <v>1227</v>
      </c>
    </row>
    <row r="132" spans="1:16" x14ac:dyDescent="0.35">
      <c r="A132" t="s">
        <v>79</v>
      </c>
      <c r="B132" t="s">
        <v>590</v>
      </c>
      <c r="C132" t="s">
        <v>590</v>
      </c>
      <c r="D132" t="s">
        <v>590</v>
      </c>
      <c r="E132" t="s">
        <v>590</v>
      </c>
      <c r="F132" t="s">
        <v>590</v>
      </c>
      <c r="G132" t="s">
        <v>590</v>
      </c>
      <c r="H132" t="s">
        <v>590</v>
      </c>
      <c r="I132" t="s">
        <v>590</v>
      </c>
      <c r="J132" t="s">
        <v>590</v>
      </c>
      <c r="K132" t="s">
        <v>591</v>
      </c>
      <c r="L132">
        <v>24</v>
      </c>
      <c r="M132" t="s">
        <v>590</v>
      </c>
      <c r="N132" t="s">
        <v>590</v>
      </c>
      <c r="O132" t="s">
        <v>590</v>
      </c>
      <c r="P132" t="s">
        <v>590</v>
      </c>
    </row>
    <row r="133" spans="1:16" x14ac:dyDescent="0.35">
      <c r="A133" t="s">
        <v>80</v>
      </c>
      <c r="B133" t="s">
        <v>1228</v>
      </c>
      <c r="C133" t="s">
        <v>750</v>
      </c>
      <c r="D133" t="s">
        <v>807</v>
      </c>
      <c r="E133" t="s">
        <v>1229</v>
      </c>
      <c r="F133" t="s">
        <v>590</v>
      </c>
      <c r="G133" t="s">
        <v>590</v>
      </c>
      <c r="H133" t="s">
        <v>590</v>
      </c>
      <c r="I133" t="s">
        <v>590</v>
      </c>
      <c r="J133" t="s">
        <v>590</v>
      </c>
      <c r="K133" t="s">
        <v>590</v>
      </c>
      <c r="L133">
        <v>24</v>
      </c>
      <c r="M133" t="s">
        <v>592</v>
      </c>
      <c r="N133" t="s">
        <v>592</v>
      </c>
      <c r="O133" t="s">
        <v>1230</v>
      </c>
      <c r="P133" t="s">
        <v>1231</v>
      </c>
    </row>
    <row r="134" spans="1:16" x14ac:dyDescent="0.35">
      <c r="A134" t="s">
        <v>81</v>
      </c>
      <c r="B134" t="s">
        <v>1232</v>
      </c>
      <c r="C134" t="s">
        <v>1233</v>
      </c>
      <c r="D134" t="s">
        <v>680</v>
      </c>
      <c r="E134" t="s">
        <v>672</v>
      </c>
      <c r="F134" t="s">
        <v>590</v>
      </c>
      <c r="G134" t="s">
        <v>590</v>
      </c>
      <c r="H134" t="s">
        <v>590</v>
      </c>
      <c r="I134" t="s">
        <v>590</v>
      </c>
      <c r="J134" t="s">
        <v>590</v>
      </c>
      <c r="K134" t="s">
        <v>590</v>
      </c>
      <c r="L134">
        <v>24</v>
      </c>
      <c r="M134" t="s">
        <v>592</v>
      </c>
      <c r="N134" t="s">
        <v>592</v>
      </c>
      <c r="O134" t="s">
        <v>804</v>
      </c>
      <c r="P134" t="s">
        <v>1234</v>
      </c>
    </row>
    <row r="135" spans="1:16" x14ac:dyDescent="0.35">
      <c r="A135" t="s">
        <v>82</v>
      </c>
      <c r="B135" t="s">
        <v>1235</v>
      </c>
      <c r="C135" t="s">
        <v>781</v>
      </c>
      <c r="D135" t="s">
        <v>681</v>
      </c>
      <c r="E135" t="s">
        <v>617</v>
      </c>
      <c r="F135" t="s">
        <v>590</v>
      </c>
      <c r="G135" t="s">
        <v>590</v>
      </c>
      <c r="H135" t="s">
        <v>590</v>
      </c>
      <c r="I135" t="s">
        <v>590</v>
      </c>
      <c r="J135" t="s">
        <v>590</v>
      </c>
      <c r="K135" t="s">
        <v>1016</v>
      </c>
      <c r="L135">
        <v>24</v>
      </c>
      <c r="M135" t="s">
        <v>1236</v>
      </c>
      <c r="N135" t="s">
        <v>1236</v>
      </c>
      <c r="O135" t="s">
        <v>1237</v>
      </c>
      <c r="P135" t="s">
        <v>1238</v>
      </c>
    </row>
    <row r="136" spans="1:16" x14ac:dyDescent="0.35">
      <c r="A136" t="s">
        <v>83</v>
      </c>
      <c r="B136" t="s">
        <v>1239</v>
      </c>
      <c r="C136" t="s">
        <v>801</v>
      </c>
      <c r="D136" t="s">
        <v>646</v>
      </c>
      <c r="E136" t="s">
        <v>1240</v>
      </c>
      <c r="F136" t="s">
        <v>590</v>
      </c>
      <c r="G136" t="s">
        <v>1241</v>
      </c>
      <c r="H136" t="s">
        <v>590</v>
      </c>
      <c r="I136" t="s">
        <v>590</v>
      </c>
      <c r="J136" t="s">
        <v>590</v>
      </c>
      <c r="K136" t="s">
        <v>590</v>
      </c>
      <c r="L136">
        <v>24</v>
      </c>
      <c r="M136" t="s">
        <v>1242</v>
      </c>
      <c r="N136" t="s">
        <v>1242</v>
      </c>
      <c r="O136" t="s">
        <v>1243</v>
      </c>
      <c r="P136" t="s">
        <v>1244</v>
      </c>
    </row>
    <row r="137" spans="1:16" x14ac:dyDescent="0.35">
      <c r="A137" t="s">
        <v>84</v>
      </c>
      <c r="B137" t="s">
        <v>1245</v>
      </c>
      <c r="C137" t="s">
        <v>1086</v>
      </c>
      <c r="D137" t="s">
        <v>632</v>
      </c>
      <c r="E137" t="s">
        <v>1246</v>
      </c>
      <c r="F137" t="s">
        <v>590</v>
      </c>
      <c r="G137" t="s">
        <v>590</v>
      </c>
      <c r="H137" t="s">
        <v>590</v>
      </c>
      <c r="I137" t="s">
        <v>590</v>
      </c>
      <c r="J137" t="s">
        <v>590</v>
      </c>
      <c r="K137" t="s">
        <v>590</v>
      </c>
      <c r="L137">
        <v>24</v>
      </c>
      <c r="M137" t="s">
        <v>592</v>
      </c>
      <c r="N137" t="s">
        <v>592</v>
      </c>
      <c r="O137" t="s">
        <v>1247</v>
      </c>
      <c r="P137" t="s">
        <v>1248</v>
      </c>
    </row>
    <row r="138" spans="1:16" x14ac:dyDescent="0.35">
      <c r="A138" t="s">
        <v>85</v>
      </c>
      <c r="B138" t="s">
        <v>891</v>
      </c>
      <c r="C138" t="s">
        <v>699</v>
      </c>
      <c r="D138" t="s">
        <v>672</v>
      </c>
      <c r="E138" t="s">
        <v>1249</v>
      </c>
      <c r="F138" t="s">
        <v>1077</v>
      </c>
      <c r="G138" t="s">
        <v>1202</v>
      </c>
      <c r="H138" t="s">
        <v>590</v>
      </c>
      <c r="I138" t="s">
        <v>590</v>
      </c>
      <c r="J138" t="s">
        <v>590</v>
      </c>
      <c r="K138" t="s">
        <v>590</v>
      </c>
      <c r="L138">
        <v>24</v>
      </c>
      <c r="M138" t="s">
        <v>1250</v>
      </c>
      <c r="N138" t="s">
        <v>1250</v>
      </c>
      <c r="O138" t="s">
        <v>1251</v>
      </c>
      <c r="P138" t="s">
        <v>1252</v>
      </c>
    </row>
    <row r="139" spans="1:16" x14ac:dyDescent="0.35">
      <c r="A139" t="s">
        <v>87</v>
      </c>
      <c r="B139" t="s">
        <v>1253</v>
      </c>
      <c r="C139" t="s">
        <v>633</v>
      </c>
      <c r="D139" t="s">
        <v>780</v>
      </c>
      <c r="E139" t="s">
        <v>723</v>
      </c>
      <c r="F139" t="s">
        <v>755</v>
      </c>
      <c r="G139" t="s">
        <v>590</v>
      </c>
      <c r="H139" t="s">
        <v>590</v>
      </c>
      <c r="I139" t="s">
        <v>590</v>
      </c>
      <c r="J139" t="s">
        <v>590</v>
      </c>
      <c r="K139" t="s">
        <v>590</v>
      </c>
      <c r="L139">
        <v>24</v>
      </c>
      <c r="M139" t="s">
        <v>1254</v>
      </c>
      <c r="N139" t="s">
        <v>1254</v>
      </c>
      <c r="O139" t="s">
        <v>1255</v>
      </c>
      <c r="P139" t="s">
        <v>1256</v>
      </c>
    </row>
    <row r="140" spans="1:16" x14ac:dyDescent="0.35">
      <c r="A140" t="s">
        <v>88</v>
      </c>
      <c r="B140" t="s">
        <v>1257</v>
      </c>
      <c r="C140" t="s">
        <v>643</v>
      </c>
      <c r="D140" t="s">
        <v>715</v>
      </c>
      <c r="E140" t="s">
        <v>590</v>
      </c>
      <c r="F140" t="s">
        <v>590</v>
      </c>
      <c r="G140" t="s">
        <v>590</v>
      </c>
      <c r="H140" t="s">
        <v>590</v>
      </c>
      <c r="I140" t="s">
        <v>590</v>
      </c>
      <c r="J140" t="s">
        <v>590</v>
      </c>
      <c r="K140" t="s">
        <v>590</v>
      </c>
      <c r="L140">
        <v>24</v>
      </c>
      <c r="M140" t="s">
        <v>592</v>
      </c>
      <c r="N140" t="s">
        <v>592</v>
      </c>
      <c r="O140" t="s">
        <v>1258</v>
      </c>
      <c r="P140" t="s">
        <v>1259</v>
      </c>
    </row>
    <row r="141" spans="1:16" x14ac:dyDescent="0.35">
      <c r="A141" t="s">
        <v>89</v>
      </c>
      <c r="B141" t="s">
        <v>802</v>
      </c>
      <c r="C141" t="s">
        <v>629</v>
      </c>
      <c r="D141" t="s">
        <v>766</v>
      </c>
      <c r="E141" t="s">
        <v>644</v>
      </c>
      <c r="F141" t="s">
        <v>590</v>
      </c>
      <c r="G141" t="s">
        <v>590</v>
      </c>
      <c r="H141" t="s">
        <v>590</v>
      </c>
      <c r="I141" t="s">
        <v>590</v>
      </c>
      <c r="J141" t="s">
        <v>590</v>
      </c>
      <c r="K141" t="s">
        <v>590</v>
      </c>
      <c r="L141">
        <v>24</v>
      </c>
      <c r="M141" t="s">
        <v>592</v>
      </c>
      <c r="N141" t="s">
        <v>592</v>
      </c>
      <c r="O141" t="s">
        <v>1260</v>
      </c>
      <c r="P141" t="s">
        <v>1261</v>
      </c>
    </row>
    <row r="142" spans="1:16" x14ac:dyDescent="0.35">
      <c r="A142" t="s">
        <v>90</v>
      </c>
      <c r="B142" t="s">
        <v>1232</v>
      </c>
      <c r="C142" t="s">
        <v>728</v>
      </c>
      <c r="D142" t="s">
        <v>630</v>
      </c>
      <c r="E142" t="s">
        <v>590</v>
      </c>
      <c r="F142" t="s">
        <v>590</v>
      </c>
      <c r="G142" t="s">
        <v>590</v>
      </c>
      <c r="H142" t="s">
        <v>590</v>
      </c>
      <c r="I142" t="s">
        <v>590</v>
      </c>
      <c r="J142" t="s">
        <v>590</v>
      </c>
      <c r="K142" t="s">
        <v>590</v>
      </c>
      <c r="L142">
        <v>24</v>
      </c>
      <c r="M142" t="s">
        <v>592</v>
      </c>
      <c r="N142" t="s">
        <v>592</v>
      </c>
      <c r="O142" t="s">
        <v>1262</v>
      </c>
      <c r="P142" t="s">
        <v>1216</v>
      </c>
    </row>
    <row r="143" spans="1:16" x14ac:dyDescent="0.35">
      <c r="A143" t="s">
        <v>91</v>
      </c>
      <c r="B143" t="s">
        <v>816</v>
      </c>
      <c r="C143" t="s">
        <v>790</v>
      </c>
      <c r="D143" t="s">
        <v>725</v>
      </c>
      <c r="E143" t="s">
        <v>590</v>
      </c>
      <c r="F143" t="s">
        <v>590</v>
      </c>
      <c r="G143" t="s">
        <v>590</v>
      </c>
      <c r="H143" t="s">
        <v>590</v>
      </c>
      <c r="I143" t="s">
        <v>590</v>
      </c>
      <c r="J143" t="s">
        <v>590</v>
      </c>
      <c r="K143" t="s">
        <v>590</v>
      </c>
      <c r="L143">
        <v>24</v>
      </c>
      <c r="M143" t="s">
        <v>592</v>
      </c>
      <c r="N143" t="s">
        <v>592</v>
      </c>
      <c r="O143" t="s">
        <v>1263</v>
      </c>
      <c r="P143" t="s">
        <v>1264</v>
      </c>
    </row>
    <row r="144" spans="1:16" x14ac:dyDescent="0.35">
      <c r="A144" t="s">
        <v>92</v>
      </c>
      <c r="B144" t="s">
        <v>612</v>
      </c>
      <c r="C144" t="s">
        <v>1265</v>
      </c>
      <c r="D144" t="s">
        <v>1097</v>
      </c>
      <c r="E144" t="s">
        <v>652</v>
      </c>
      <c r="F144" t="s">
        <v>590</v>
      </c>
      <c r="G144" t="s">
        <v>590</v>
      </c>
      <c r="H144" t="s">
        <v>590</v>
      </c>
      <c r="I144" t="s">
        <v>590</v>
      </c>
      <c r="J144" t="s">
        <v>590</v>
      </c>
      <c r="K144" t="s">
        <v>590</v>
      </c>
      <c r="L144">
        <v>24</v>
      </c>
      <c r="M144" t="s">
        <v>592</v>
      </c>
      <c r="N144" t="s">
        <v>592</v>
      </c>
      <c r="O144" t="s">
        <v>1266</v>
      </c>
      <c r="P144" t="s">
        <v>1267</v>
      </c>
    </row>
    <row r="145" spans="1:16" x14ac:dyDescent="0.35">
      <c r="A145" t="s">
        <v>93</v>
      </c>
      <c r="B145" t="s">
        <v>590</v>
      </c>
      <c r="C145" t="s">
        <v>590</v>
      </c>
      <c r="D145" t="s">
        <v>590</v>
      </c>
      <c r="E145" t="s">
        <v>590</v>
      </c>
      <c r="F145" t="s">
        <v>590</v>
      </c>
      <c r="G145" t="s">
        <v>590</v>
      </c>
      <c r="H145" t="s">
        <v>590</v>
      </c>
      <c r="I145" t="s">
        <v>590</v>
      </c>
      <c r="J145" t="s">
        <v>590</v>
      </c>
      <c r="K145" t="s">
        <v>591</v>
      </c>
      <c r="L145">
        <v>24</v>
      </c>
      <c r="M145" t="s">
        <v>590</v>
      </c>
      <c r="N145" t="s">
        <v>590</v>
      </c>
      <c r="O145" t="s">
        <v>590</v>
      </c>
      <c r="P145" t="s">
        <v>590</v>
      </c>
    </row>
    <row r="146" spans="1:16" x14ac:dyDescent="0.35">
      <c r="A146" t="s">
        <v>94</v>
      </c>
      <c r="B146" t="s">
        <v>1268</v>
      </c>
      <c r="C146" t="s">
        <v>794</v>
      </c>
      <c r="D146" t="s">
        <v>640</v>
      </c>
      <c r="E146" t="s">
        <v>863</v>
      </c>
      <c r="F146" t="s">
        <v>1269</v>
      </c>
      <c r="G146" t="s">
        <v>590</v>
      </c>
      <c r="H146" t="s">
        <v>859</v>
      </c>
      <c r="I146" t="s">
        <v>590</v>
      </c>
      <c r="J146" t="s">
        <v>590</v>
      </c>
      <c r="K146" t="s">
        <v>590</v>
      </c>
      <c r="L146">
        <v>24</v>
      </c>
      <c r="M146" t="s">
        <v>1270</v>
      </c>
      <c r="N146" t="s">
        <v>1271</v>
      </c>
      <c r="O146" t="s">
        <v>1272</v>
      </c>
      <c r="P146" t="s">
        <v>849</v>
      </c>
    </row>
    <row r="147" spans="1:16" x14ac:dyDescent="0.35">
      <c r="A147" t="s">
        <v>95</v>
      </c>
      <c r="B147" t="s">
        <v>1273</v>
      </c>
      <c r="C147" t="s">
        <v>741</v>
      </c>
      <c r="D147" t="s">
        <v>1097</v>
      </c>
      <c r="E147" t="s">
        <v>677</v>
      </c>
      <c r="F147" t="s">
        <v>590</v>
      </c>
      <c r="G147" t="s">
        <v>590</v>
      </c>
      <c r="H147" t="s">
        <v>590</v>
      </c>
      <c r="I147" t="s">
        <v>590</v>
      </c>
      <c r="J147" t="s">
        <v>590</v>
      </c>
      <c r="K147" t="s">
        <v>590</v>
      </c>
      <c r="L147">
        <v>24</v>
      </c>
      <c r="M147" t="s">
        <v>592</v>
      </c>
      <c r="N147" t="s">
        <v>592</v>
      </c>
      <c r="O147" t="s">
        <v>1274</v>
      </c>
      <c r="P147" t="s">
        <v>1049</v>
      </c>
    </row>
    <row r="148" spans="1:16" x14ac:dyDescent="0.35">
      <c r="A148" t="s">
        <v>96</v>
      </c>
      <c r="B148" t="s">
        <v>918</v>
      </c>
      <c r="C148" t="s">
        <v>747</v>
      </c>
      <c r="D148" t="s">
        <v>637</v>
      </c>
      <c r="E148" t="s">
        <v>590</v>
      </c>
      <c r="F148" t="s">
        <v>590</v>
      </c>
      <c r="G148" t="s">
        <v>590</v>
      </c>
      <c r="H148" t="s">
        <v>590</v>
      </c>
      <c r="I148" t="s">
        <v>590</v>
      </c>
      <c r="J148" t="s">
        <v>590</v>
      </c>
      <c r="K148" t="s">
        <v>590</v>
      </c>
      <c r="L148">
        <v>24</v>
      </c>
      <c r="M148" t="s">
        <v>592</v>
      </c>
      <c r="N148" t="s">
        <v>592</v>
      </c>
      <c r="O148" t="s">
        <v>734</v>
      </c>
      <c r="P148" t="s">
        <v>1275</v>
      </c>
    </row>
    <row r="149" spans="1:16" x14ac:dyDescent="0.35">
      <c r="A149" t="s">
        <v>97</v>
      </c>
      <c r="B149" t="s">
        <v>1276</v>
      </c>
      <c r="C149" t="s">
        <v>658</v>
      </c>
      <c r="D149" t="s">
        <v>739</v>
      </c>
      <c r="E149" t="s">
        <v>696</v>
      </c>
      <c r="F149" t="s">
        <v>590</v>
      </c>
      <c r="G149" t="s">
        <v>590</v>
      </c>
      <c r="H149" t="s">
        <v>590</v>
      </c>
      <c r="I149" t="s">
        <v>590</v>
      </c>
      <c r="J149" t="s">
        <v>590</v>
      </c>
      <c r="K149" t="s">
        <v>1277</v>
      </c>
      <c r="L149">
        <v>24</v>
      </c>
      <c r="M149" t="s">
        <v>1278</v>
      </c>
      <c r="N149" t="s">
        <v>1278</v>
      </c>
      <c r="O149" t="s">
        <v>1279</v>
      </c>
      <c r="P149" t="s">
        <v>808</v>
      </c>
    </row>
    <row r="150" spans="1:16" x14ac:dyDescent="0.35">
      <c r="A150" t="s">
        <v>98</v>
      </c>
      <c r="B150" t="s">
        <v>746</v>
      </c>
      <c r="C150" t="s">
        <v>634</v>
      </c>
      <c r="D150" t="s">
        <v>611</v>
      </c>
      <c r="E150" t="s">
        <v>1280</v>
      </c>
      <c r="F150" t="s">
        <v>590</v>
      </c>
      <c r="G150" t="s">
        <v>1281</v>
      </c>
      <c r="H150" t="s">
        <v>590</v>
      </c>
      <c r="I150" t="s">
        <v>590</v>
      </c>
      <c r="J150" t="s">
        <v>590</v>
      </c>
      <c r="K150" t="s">
        <v>590</v>
      </c>
      <c r="L150">
        <v>24</v>
      </c>
      <c r="M150" t="s">
        <v>1282</v>
      </c>
      <c r="N150" t="s">
        <v>1282</v>
      </c>
      <c r="O150" t="s">
        <v>1283</v>
      </c>
      <c r="P150" t="s">
        <v>1284</v>
      </c>
    </row>
    <row r="151" spans="1:16" x14ac:dyDescent="0.35">
      <c r="A151" t="s">
        <v>99</v>
      </c>
      <c r="B151" t="s">
        <v>1276</v>
      </c>
      <c r="C151" t="s">
        <v>657</v>
      </c>
      <c r="D151" t="s">
        <v>1285</v>
      </c>
      <c r="E151" t="s">
        <v>1286</v>
      </c>
      <c r="F151" t="s">
        <v>895</v>
      </c>
      <c r="G151" t="s">
        <v>590</v>
      </c>
      <c r="H151" t="s">
        <v>590</v>
      </c>
      <c r="I151" t="s">
        <v>590</v>
      </c>
      <c r="J151" t="s">
        <v>590</v>
      </c>
      <c r="K151" t="s">
        <v>590</v>
      </c>
      <c r="L151">
        <v>24</v>
      </c>
      <c r="M151" t="s">
        <v>1012</v>
      </c>
      <c r="N151" t="s">
        <v>1012</v>
      </c>
      <c r="O151" t="s">
        <v>1287</v>
      </c>
      <c r="P151" t="s">
        <v>1288</v>
      </c>
    </row>
    <row r="152" spans="1:16" x14ac:dyDescent="0.35">
      <c r="A152" t="s">
        <v>101</v>
      </c>
      <c r="B152" t="s">
        <v>820</v>
      </c>
      <c r="C152" t="s">
        <v>1016</v>
      </c>
      <c r="D152" t="s">
        <v>640</v>
      </c>
      <c r="E152" t="s">
        <v>590</v>
      </c>
      <c r="F152" t="s">
        <v>590</v>
      </c>
      <c r="G152" t="s">
        <v>830</v>
      </c>
      <c r="H152" t="s">
        <v>590</v>
      </c>
      <c r="I152" t="s">
        <v>590</v>
      </c>
      <c r="J152" t="s">
        <v>590</v>
      </c>
      <c r="K152" t="s">
        <v>590</v>
      </c>
      <c r="L152">
        <v>24</v>
      </c>
      <c r="M152" t="s">
        <v>1289</v>
      </c>
      <c r="N152" t="s">
        <v>1289</v>
      </c>
      <c r="O152" t="s">
        <v>1290</v>
      </c>
      <c r="P152" t="s">
        <v>1291</v>
      </c>
    </row>
    <row r="153" spans="1:16" x14ac:dyDescent="0.35">
      <c r="A153" t="s">
        <v>102</v>
      </c>
      <c r="B153" t="s">
        <v>1292</v>
      </c>
      <c r="C153" t="s">
        <v>653</v>
      </c>
      <c r="D153" t="s">
        <v>863</v>
      </c>
      <c r="E153" t="s">
        <v>685</v>
      </c>
      <c r="F153" t="s">
        <v>649</v>
      </c>
      <c r="G153" t="s">
        <v>590</v>
      </c>
      <c r="H153" t="s">
        <v>590</v>
      </c>
      <c r="I153" t="s">
        <v>590</v>
      </c>
      <c r="J153" t="s">
        <v>590</v>
      </c>
      <c r="K153" t="s">
        <v>590</v>
      </c>
      <c r="L153">
        <v>24</v>
      </c>
      <c r="M153" t="s">
        <v>1293</v>
      </c>
      <c r="N153" t="s">
        <v>1293</v>
      </c>
      <c r="O153" t="s">
        <v>1294</v>
      </c>
      <c r="P153" t="s">
        <v>1295</v>
      </c>
    </row>
    <row r="154" spans="1:16" x14ac:dyDescent="0.35">
      <c r="A154" t="s">
        <v>103</v>
      </c>
      <c r="B154" t="s">
        <v>1120</v>
      </c>
      <c r="C154" t="s">
        <v>641</v>
      </c>
      <c r="D154" t="s">
        <v>688</v>
      </c>
      <c r="E154" t="s">
        <v>669</v>
      </c>
      <c r="F154" t="s">
        <v>590</v>
      </c>
      <c r="G154" t="s">
        <v>590</v>
      </c>
      <c r="H154" t="s">
        <v>590</v>
      </c>
      <c r="I154" t="s">
        <v>590</v>
      </c>
      <c r="J154" t="s">
        <v>590</v>
      </c>
      <c r="K154" t="s">
        <v>590</v>
      </c>
      <c r="L154">
        <v>24</v>
      </c>
      <c r="M154" t="s">
        <v>592</v>
      </c>
      <c r="N154" t="s">
        <v>592</v>
      </c>
      <c r="O154" t="s">
        <v>1098</v>
      </c>
      <c r="P154" t="s">
        <v>1296</v>
      </c>
    </row>
    <row r="155" spans="1:16" x14ac:dyDescent="0.35">
      <c r="A155" t="s">
        <v>104</v>
      </c>
      <c r="B155" t="s">
        <v>1297</v>
      </c>
      <c r="C155" t="s">
        <v>924</v>
      </c>
      <c r="D155" t="s">
        <v>636</v>
      </c>
      <c r="E155" t="s">
        <v>694</v>
      </c>
      <c r="F155" t="s">
        <v>590</v>
      </c>
      <c r="G155" t="s">
        <v>1298</v>
      </c>
      <c r="H155" t="s">
        <v>590</v>
      </c>
      <c r="I155" t="s">
        <v>590</v>
      </c>
      <c r="J155" t="s">
        <v>590</v>
      </c>
      <c r="K155" t="s">
        <v>1299</v>
      </c>
      <c r="L155">
        <v>24</v>
      </c>
      <c r="M155" t="s">
        <v>1300</v>
      </c>
      <c r="N155" t="s">
        <v>1300</v>
      </c>
      <c r="O155" t="s">
        <v>1301</v>
      </c>
      <c r="P155" t="s">
        <v>1302</v>
      </c>
    </row>
    <row r="156" spans="1:16" x14ac:dyDescent="0.35">
      <c r="A156" t="s">
        <v>105</v>
      </c>
      <c r="B156" t="s">
        <v>1303</v>
      </c>
      <c r="C156" t="s">
        <v>859</v>
      </c>
      <c r="D156" t="s">
        <v>757</v>
      </c>
      <c r="E156" t="s">
        <v>797</v>
      </c>
      <c r="F156" t="s">
        <v>590</v>
      </c>
      <c r="G156" t="s">
        <v>590</v>
      </c>
      <c r="H156" t="s">
        <v>894</v>
      </c>
      <c r="I156" t="s">
        <v>590</v>
      </c>
      <c r="J156" t="s">
        <v>590</v>
      </c>
      <c r="K156" t="s">
        <v>622</v>
      </c>
      <c r="L156">
        <v>24</v>
      </c>
      <c r="M156" t="s">
        <v>1304</v>
      </c>
      <c r="N156" t="s">
        <v>764</v>
      </c>
      <c r="O156" t="s">
        <v>1305</v>
      </c>
      <c r="P156" t="s">
        <v>1306</v>
      </c>
    </row>
    <row r="157" spans="1:16" x14ac:dyDescent="0.35">
      <c r="A157" t="s">
        <v>106</v>
      </c>
      <c r="B157" t="s">
        <v>1307</v>
      </c>
      <c r="C157" t="s">
        <v>639</v>
      </c>
      <c r="D157" t="s">
        <v>1308</v>
      </c>
      <c r="E157" t="s">
        <v>1309</v>
      </c>
      <c r="F157" t="s">
        <v>1310</v>
      </c>
      <c r="G157" t="s">
        <v>961</v>
      </c>
      <c r="H157" t="s">
        <v>590</v>
      </c>
      <c r="I157" t="s">
        <v>590</v>
      </c>
      <c r="J157" t="s">
        <v>590</v>
      </c>
      <c r="K157" t="s">
        <v>590</v>
      </c>
      <c r="L157">
        <v>24</v>
      </c>
      <c r="M157" t="s">
        <v>1311</v>
      </c>
      <c r="N157" t="s">
        <v>1311</v>
      </c>
      <c r="O157" t="s">
        <v>1312</v>
      </c>
      <c r="P157" t="s">
        <v>1226</v>
      </c>
    </row>
    <row r="158" spans="1:16" x14ac:dyDescent="0.35">
      <c r="A158" t="s">
        <v>107</v>
      </c>
      <c r="B158" t="s">
        <v>590</v>
      </c>
      <c r="C158" t="s">
        <v>590</v>
      </c>
      <c r="D158" t="s">
        <v>590</v>
      </c>
      <c r="E158" t="s">
        <v>590</v>
      </c>
      <c r="F158" t="s">
        <v>590</v>
      </c>
      <c r="G158" t="s">
        <v>590</v>
      </c>
      <c r="H158" t="s">
        <v>590</v>
      </c>
      <c r="I158" t="s">
        <v>590</v>
      </c>
      <c r="J158" t="s">
        <v>590</v>
      </c>
      <c r="K158" t="s">
        <v>591</v>
      </c>
      <c r="L158">
        <v>24</v>
      </c>
      <c r="M158" t="s">
        <v>590</v>
      </c>
      <c r="N158" t="s">
        <v>590</v>
      </c>
      <c r="O158" t="s">
        <v>590</v>
      </c>
      <c r="P158" t="s">
        <v>590</v>
      </c>
    </row>
    <row r="159" spans="1:16" x14ac:dyDescent="0.35">
      <c r="A159" t="s">
        <v>108</v>
      </c>
      <c r="B159" t="s">
        <v>1313</v>
      </c>
      <c r="C159" t="s">
        <v>732</v>
      </c>
      <c r="D159" t="s">
        <v>727</v>
      </c>
      <c r="E159" t="s">
        <v>765</v>
      </c>
      <c r="F159" t="s">
        <v>1314</v>
      </c>
      <c r="G159" t="s">
        <v>590</v>
      </c>
      <c r="H159" t="s">
        <v>590</v>
      </c>
      <c r="I159" t="s">
        <v>590</v>
      </c>
      <c r="J159" t="s">
        <v>590</v>
      </c>
      <c r="K159" t="s">
        <v>590</v>
      </c>
      <c r="L159">
        <v>24</v>
      </c>
      <c r="M159" t="s">
        <v>1315</v>
      </c>
      <c r="N159" t="s">
        <v>1315</v>
      </c>
      <c r="O159" t="s">
        <v>1088</v>
      </c>
      <c r="P159" t="s">
        <v>812</v>
      </c>
    </row>
    <row r="160" spans="1:16" x14ac:dyDescent="0.35">
      <c r="A160" t="s">
        <v>109</v>
      </c>
      <c r="B160" t="s">
        <v>1316</v>
      </c>
      <c r="C160" t="s">
        <v>773</v>
      </c>
      <c r="D160" t="s">
        <v>709</v>
      </c>
      <c r="E160" t="s">
        <v>923</v>
      </c>
      <c r="F160" t="s">
        <v>1317</v>
      </c>
      <c r="G160" t="s">
        <v>590</v>
      </c>
      <c r="H160" t="s">
        <v>590</v>
      </c>
      <c r="I160" t="s">
        <v>590</v>
      </c>
      <c r="J160" t="s">
        <v>590</v>
      </c>
      <c r="K160" t="s">
        <v>1318</v>
      </c>
      <c r="L160">
        <v>24</v>
      </c>
      <c r="M160" t="s">
        <v>1319</v>
      </c>
      <c r="N160" t="s">
        <v>1319</v>
      </c>
      <c r="O160" t="s">
        <v>1320</v>
      </c>
      <c r="P160" t="s">
        <v>1321</v>
      </c>
    </row>
    <row r="161" spans="1:16" x14ac:dyDescent="0.35">
      <c r="A161" t="s">
        <v>110</v>
      </c>
      <c r="B161" t="s">
        <v>1106</v>
      </c>
      <c r="C161" t="s">
        <v>1322</v>
      </c>
      <c r="D161" t="s">
        <v>1323</v>
      </c>
      <c r="E161" t="s">
        <v>590</v>
      </c>
      <c r="F161" t="s">
        <v>590</v>
      </c>
      <c r="G161" t="s">
        <v>590</v>
      </c>
      <c r="H161" t="s">
        <v>590</v>
      </c>
      <c r="I161" t="s">
        <v>590</v>
      </c>
      <c r="J161" t="s">
        <v>590</v>
      </c>
      <c r="K161" t="s">
        <v>590</v>
      </c>
      <c r="L161">
        <v>24</v>
      </c>
      <c r="M161" t="s">
        <v>592</v>
      </c>
      <c r="N161" t="s">
        <v>592</v>
      </c>
      <c r="O161" t="s">
        <v>1260</v>
      </c>
      <c r="P161" t="s">
        <v>1324</v>
      </c>
    </row>
    <row r="162" spans="1:16" x14ac:dyDescent="0.35">
      <c r="A162" t="s">
        <v>111</v>
      </c>
      <c r="B162" t="s">
        <v>1325</v>
      </c>
      <c r="C162" t="s">
        <v>1326</v>
      </c>
      <c r="D162" t="s">
        <v>723</v>
      </c>
      <c r="E162" t="s">
        <v>699</v>
      </c>
      <c r="F162" t="s">
        <v>1063</v>
      </c>
      <c r="G162" t="s">
        <v>1327</v>
      </c>
      <c r="H162" t="s">
        <v>760</v>
      </c>
      <c r="I162" t="s">
        <v>590</v>
      </c>
      <c r="J162" t="s">
        <v>657</v>
      </c>
      <c r="K162" t="s">
        <v>609</v>
      </c>
      <c r="L162">
        <v>24</v>
      </c>
      <c r="M162" t="s">
        <v>1328</v>
      </c>
      <c r="N162" t="s">
        <v>1329</v>
      </c>
      <c r="O162" t="s">
        <v>1330</v>
      </c>
      <c r="P162" t="s">
        <v>1092</v>
      </c>
    </row>
    <row r="163" spans="1:16" x14ac:dyDescent="0.35">
      <c r="A163" t="s">
        <v>112</v>
      </c>
      <c r="B163" t="s">
        <v>999</v>
      </c>
      <c r="C163" t="s">
        <v>686</v>
      </c>
      <c r="D163" t="s">
        <v>651</v>
      </c>
      <c r="E163" t="s">
        <v>644</v>
      </c>
      <c r="F163" t="s">
        <v>590</v>
      </c>
      <c r="G163" t="s">
        <v>590</v>
      </c>
      <c r="H163" t="s">
        <v>590</v>
      </c>
      <c r="I163" t="s">
        <v>590</v>
      </c>
      <c r="J163" t="s">
        <v>590</v>
      </c>
      <c r="K163" t="s">
        <v>590</v>
      </c>
      <c r="L163">
        <v>24</v>
      </c>
      <c r="M163" t="s">
        <v>592</v>
      </c>
      <c r="N163" t="s">
        <v>592</v>
      </c>
      <c r="O163" t="s">
        <v>1331</v>
      </c>
      <c r="P163" t="s">
        <v>1304</v>
      </c>
    </row>
    <row r="164" spans="1:16" x14ac:dyDescent="0.35">
      <c r="A164" t="s">
        <v>364</v>
      </c>
      <c r="B164" t="s">
        <v>365</v>
      </c>
      <c r="C164" t="s">
        <v>365</v>
      </c>
      <c r="D164" t="s">
        <v>365</v>
      </c>
      <c r="E164" t="s">
        <v>365</v>
      </c>
      <c r="F164" t="s">
        <v>365</v>
      </c>
      <c r="G164" t="s">
        <v>365</v>
      </c>
      <c r="H164" t="s">
        <v>365</v>
      </c>
      <c r="I164" t="s">
        <v>365</v>
      </c>
      <c r="J164" t="s">
        <v>365</v>
      </c>
      <c r="K164" t="s">
        <v>365</v>
      </c>
      <c r="L164" t="s">
        <v>365</v>
      </c>
      <c r="M164" t="s">
        <v>365</v>
      </c>
      <c r="N164" t="s">
        <v>365</v>
      </c>
      <c r="O164" t="s">
        <v>365</v>
      </c>
      <c r="P164" t="s">
        <v>365</v>
      </c>
    </row>
    <row r="165" spans="1:16" x14ac:dyDescent="0.35">
      <c r="A165" t="s">
        <v>404</v>
      </c>
      <c r="B165" t="s">
        <v>1332</v>
      </c>
      <c r="C165" t="s">
        <v>1333</v>
      </c>
      <c r="D165" t="s">
        <v>840</v>
      </c>
      <c r="E165" t="s">
        <v>1334</v>
      </c>
      <c r="F165" t="s">
        <v>1335</v>
      </c>
      <c r="G165" t="s">
        <v>1336</v>
      </c>
      <c r="H165" t="s">
        <v>1337</v>
      </c>
      <c r="I165" t="s">
        <v>590</v>
      </c>
      <c r="J165" t="s">
        <v>1338</v>
      </c>
      <c r="K165" t="s">
        <v>1339</v>
      </c>
      <c r="L165">
        <v>2400</v>
      </c>
      <c r="M165" t="s">
        <v>1340</v>
      </c>
      <c r="N165" t="s">
        <v>848</v>
      </c>
      <c r="O165" t="s">
        <v>1341</v>
      </c>
      <c r="P165" t="s">
        <v>1011</v>
      </c>
    </row>
    <row r="167" spans="1:16" x14ac:dyDescent="0.35">
      <c r="A167" t="s">
        <v>405</v>
      </c>
      <c r="B167" t="s">
        <v>1342</v>
      </c>
      <c r="C167" t="s">
        <v>650</v>
      </c>
      <c r="D167" t="s">
        <v>590</v>
      </c>
      <c r="E167" t="s">
        <v>1343</v>
      </c>
      <c r="F167" t="s">
        <v>590</v>
      </c>
      <c r="G167" t="s">
        <v>590</v>
      </c>
      <c r="H167" t="s">
        <v>590</v>
      </c>
      <c r="I167" t="s">
        <v>590</v>
      </c>
      <c r="J167" t="s">
        <v>590</v>
      </c>
      <c r="K167" t="s">
        <v>590</v>
      </c>
      <c r="L167">
        <v>24</v>
      </c>
      <c r="M167" t="s">
        <v>592</v>
      </c>
      <c r="N167" t="s">
        <v>592</v>
      </c>
      <c r="O167" t="s">
        <v>1344</v>
      </c>
      <c r="P167" t="s">
        <v>592</v>
      </c>
    </row>
    <row r="168" spans="1:16" x14ac:dyDescent="0.35">
      <c r="A168" t="s">
        <v>406</v>
      </c>
      <c r="B168" t="s">
        <v>590</v>
      </c>
      <c r="C168" t="s">
        <v>590</v>
      </c>
      <c r="D168" t="s">
        <v>590</v>
      </c>
      <c r="E168" t="s">
        <v>591</v>
      </c>
      <c r="F168" t="s">
        <v>590</v>
      </c>
      <c r="G168" t="s">
        <v>590</v>
      </c>
      <c r="H168" t="s">
        <v>590</v>
      </c>
      <c r="I168" t="s">
        <v>590</v>
      </c>
      <c r="J168" t="s">
        <v>590</v>
      </c>
      <c r="K168" t="s">
        <v>590</v>
      </c>
      <c r="L168">
        <v>24</v>
      </c>
      <c r="M168" t="s">
        <v>592</v>
      </c>
      <c r="N168" t="s">
        <v>592</v>
      </c>
      <c r="O168" t="s">
        <v>590</v>
      </c>
      <c r="P168" t="s">
        <v>590</v>
      </c>
    </row>
    <row r="169" spans="1:16" x14ac:dyDescent="0.35">
      <c r="A169" t="s">
        <v>407</v>
      </c>
      <c r="B169" t="s">
        <v>591</v>
      </c>
      <c r="C169" t="s">
        <v>590</v>
      </c>
      <c r="D169" t="s">
        <v>590</v>
      </c>
      <c r="E169" t="s">
        <v>590</v>
      </c>
      <c r="F169" t="s">
        <v>590</v>
      </c>
      <c r="G169" t="s">
        <v>590</v>
      </c>
      <c r="H169" t="s">
        <v>590</v>
      </c>
      <c r="I169" t="s">
        <v>590</v>
      </c>
      <c r="J169" t="s">
        <v>590</v>
      </c>
      <c r="K169" t="s">
        <v>590</v>
      </c>
      <c r="L169">
        <v>24</v>
      </c>
      <c r="M169" t="s">
        <v>592</v>
      </c>
      <c r="N169" t="s">
        <v>592</v>
      </c>
      <c r="O169" t="s">
        <v>656</v>
      </c>
      <c r="P169" t="s">
        <v>592</v>
      </c>
    </row>
    <row r="170" spans="1:16" x14ac:dyDescent="0.35">
      <c r="A170" t="s">
        <v>408</v>
      </c>
      <c r="B170" t="s">
        <v>847</v>
      </c>
      <c r="C170" t="s">
        <v>1309</v>
      </c>
      <c r="D170" t="s">
        <v>590</v>
      </c>
      <c r="E170" t="s">
        <v>1345</v>
      </c>
      <c r="F170" t="s">
        <v>590</v>
      </c>
      <c r="G170" t="s">
        <v>590</v>
      </c>
      <c r="H170" t="s">
        <v>590</v>
      </c>
      <c r="I170" t="s">
        <v>590</v>
      </c>
      <c r="J170" t="s">
        <v>590</v>
      </c>
      <c r="K170" t="s">
        <v>590</v>
      </c>
      <c r="L170">
        <v>24</v>
      </c>
      <c r="M170" t="s">
        <v>592</v>
      </c>
      <c r="N170" t="s">
        <v>592</v>
      </c>
      <c r="O170" t="s">
        <v>1346</v>
      </c>
      <c r="P170" t="s">
        <v>592</v>
      </c>
    </row>
    <row r="171" spans="1:16" x14ac:dyDescent="0.35">
      <c r="A171" t="s">
        <v>364</v>
      </c>
      <c r="B171" t="s">
        <v>365</v>
      </c>
      <c r="C171" t="s">
        <v>365</v>
      </c>
      <c r="D171" t="s">
        <v>365</v>
      </c>
      <c r="E171" t="s">
        <v>365</v>
      </c>
      <c r="F171" t="s">
        <v>365</v>
      </c>
      <c r="G171" t="s">
        <v>365</v>
      </c>
      <c r="H171" t="s">
        <v>365</v>
      </c>
      <c r="I171" t="s">
        <v>365</v>
      </c>
      <c r="J171" t="s">
        <v>365</v>
      </c>
      <c r="K171" t="s">
        <v>365</v>
      </c>
      <c r="L171" t="s">
        <v>365</v>
      </c>
      <c r="M171" t="s">
        <v>365</v>
      </c>
      <c r="N171" t="s">
        <v>365</v>
      </c>
      <c r="O171" t="s">
        <v>365</v>
      </c>
      <c r="P171" t="s">
        <v>365</v>
      </c>
    </row>
    <row r="172" spans="1:16" x14ac:dyDescent="0.35">
      <c r="A172" t="s">
        <v>409</v>
      </c>
      <c r="B172" t="s">
        <v>1347</v>
      </c>
      <c r="C172" t="s">
        <v>786</v>
      </c>
      <c r="D172" t="s">
        <v>590</v>
      </c>
      <c r="E172" t="s">
        <v>1348</v>
      </c>
      <c r="F172" t="s">
        <v>590</v>
      </c>
      <c r="G172" t="s">
        <v>590</v>
      </c>
      <c r="H172" t="s">
        <v>590</v>
      </c>
      <c r="I172" t="s">
        <v>590</v>
      </c>
      <c r="J172" t="s">
        <v>590</v>
      </c>
      <c r="K172" t="s">
        <v>590</v>
      </c>
      <c r="L172">
        <v>96</v>
      </c>
      <c r="M172" t="s">
        <v>592</v>
      </c>
      <c r="N172" t="s">
        <v>592</v>
      </c>
      <c r="O172" t="s">
        <v>1349</v>
      </c>
      <c r="P172" t="s">
        <v>592</v>
      </c>
    </row>
    <row r="174" spans="1:16" x14ac:dyDescent="0.35">
      <c r="A174" t="s">
        <v>410</v>
      </c>
      <c r="B174" t="s">
        <v>590</v>
      </c>
      <c r="C174" t="s">
        <v>590</v>
      </c>
      <c r="D174" t="s">
        <v>590</v>
      </c>
      <c r="E174" t="s">
        <v>591</v>
      </c>
      <c r="F174" t="s">
        <v>590</v>
      </c>
      <c r="G174" t="s">
        <v>590</v>
      </c>
      <c r="H174" t="s">
        <v>590</v>
      </c>
      <c r="I174" t="s">
        <v>590</v>
      </c>
      <c r="J174" t="s">
        <v>590</v>
      </c>
      <c r="K174" t="s">
        <v>590</v>
      </c>
      <c r="L174">
        <v>24</v>
      </c>
      <c r="M174" t="s">
        <v>592</v>
      </c>
      <c r="N174" t="s">
        <v>592</v>
      </c>
      <c r="O174" t="s">
        <v>590</v>
      </c>
      <c r="P174" t="s">
        <v>590</v>
      </c>
    </row>
    <row r="175" spans="1:16" x14ac:dyDescent="0.35">
      <c r="A175" t="s">
        <v>411</v>
      </c>
      <c r="B175" t="s">
        <v>590</v>
      </c>
      <c r="C175" t="s">
        <v>590</v>
      </c>
      <c r="D175" t="s">
        <v>590</v>
      </c>
      <c r="E175" t="s">
        <v>591</v>
      </c>
      <c r="F175" t="s">
        <v>590</v>
      </c>
      <c r="G175" t="s">
        <v>590</v>
      </c>
      <c r="H175" t="s">
        <v>590</v>
      </c>
      <c r="I175" t="s">
        <v>590</v>
      </c>
      <c r="J175" t="s">
        <v>590</v>
      </c>
      <c r="K175" t="s">
        <v>590</v>
      </c>
      <c r="L175">
        <v>24</v>
      </c>
      <c r="M175" t="s">
        <v>592</v>
      </c>
      <c r="N175" t="s">
        <v>592</v>
      </c>
      <c r="O175" t="s">
        <v>590</v>
      </c>
      <c r="P175" t="s">
        <v>590</v>
      </c>
    </row>
    <row r="176" spans="1:16" x14ac:dyDescent="0.35">
      <c r="A176" t="s">
        <v>412</v>
      </c>
      <c r="B176" t="s">
        <v>591</v>
      </c>
      <c r="C176" t="s">
        <v>590</v>
      </c>
      <c r="D176" t="s">
        <v>590</v>
      </c>
      <c r="E176" t="s">
        <v>590</v>
      </c>
      <c r="F176" t="s">
        <v>590</v>
      </c>
      <c r="G176" t="s">
        <v>590</v>
      </c>
      <c r="H176" t="s">
        <v>590</v>
      </c>
      <c r="I176" t="s">
        <v>590</v>
      </c>
      <c r="J176" t="s">
        <v>590</v>
      </c>
      <c r="K176" t="s">
        <v>590</v>
      </c>
      <c r="L176">
        <v>24</v>
      </c>
      <c r="M176" t="s">
        <v>592</v>
      </c>
      <c r="N176" t="s">
        <v>592</v>
      </c>
      <c r="O176" t="s">
        <v>592</v>
      </c>
      <c r="P176" t="s">
        <v>592</v>
      </c>
    </row>
    <row r="177" spans="1:16" x14ac:dyDescent="0.35">
      <c r="A177" t="s">
        <v>413</v>
      </c>
      <c r="B177" t="s">
        <v>590</v>
      </c>
      <c r="C177" t="s">
        <v>590</v>
      </c>
      <c r="D177" t="s">
        <v>590</v>
      </c>
      <c r="E177" t="s">
        <v>591</v>
      </c>
      <c r="F177" t="s">
        <v>590</v>
      </c>
      <c r="G177" t="s">
        <v>590</v>
      </c>
      <c r="H177" t="s">
        <v>590</v>
      </c>
      <c r="I177" t="s">
        <v>590</v>
      </c>
      <c r="J177" t="s">
        <v>590</v>
      </c>
      <c r="K177" t="s">
        <v>590</v>
      </c>
      <c r="L177">
        <v>24</v>
      </c>
      <c r="M177" t="s">
        <v>592</v>
      </c>
      <c r="N177" t="s">
        <v>592</v>
      </c>
      <c r="O177" t="s">
        <v>590</v>
      </c>
      <c r="P177" t="s">
        <v>590</v>
      </c>
    </row>
    <row r="178" spans="1:16" x14ac:dyDescent="0.35">
      <c r="A178" t="s">
        <v>304</v>
      </c>
      <c r="B178" t="s">
        <v>590</v>
      </c>
      <c r="C178" t="s">
        <v>590</v>
      </c>
      <c r="D178" t="s">
        <v>590</v>
      </c>
      <c r="E178" t="s">
        <v>591</v>
      </c>
      <c r="F178" t="s">
        <v>590</v>
      </c>
      <c r="G178" t="s">
        <v>590</v>
      </c>
      <c r="H178" t="s">
        <v>590</v>
      </c>
      <c r="I178" t="s">
        <v>590</v>
      </c>
      <c r="J178" t="s">
        <v>590</v>
      </c>
      <c r="K178" t="s">
        <v>590</v>
      </c>
      <c r="L178">
        <v>24</v>
      </c>
      <c r="M178" t="s">
        <v>592</v>
      </c>
      <c r="N178" t="s">
        <v>592</v>
      </c>
      <c r="O178" t="s">
        <v>590</v>
      </c>
      <c r="P178" t="s">
        <v>590</v>
      </c>
    </row>
    <row r="179" spans="1:16" x14ac:dyDescent="0.35">
      <c r="A179" t="s">
        <v>297</v>
      </c>
      <c r="B179" t="s">
        <v>855</v>
      </c>
      <c r="C179" t="s">
        <v>590</v>
      </c>
      <c r="D179" t="s">
        <v>590</v>
      </c>
      <c r="E179" t="s">
        <v>1350</v>
      </c>
      <c r="F179" t="s">
        <v>747</v>
      </c>
      <c r="G179" t="s">
        <v>590</v>
      </c>
      <c r="H179" t="s">
        <v>590</v>
      </c>
      <c r="I179" t="s">
        <v>590</v>
      </c>
      <c r="J179" t="s">
        <v>590</v>
      </c>
      <c r="K179" t="s">
        <v>590</v>
      </c>
      <c r="L179">
        <v>24</v>
      </c>
      <c r="M179" t="s">
        <v>1351</v>
      </c>
      <c r="N179" t="s">
        <v>1351</v>
      </c>
      <c r="O179" t="s">
        <v>1352</v>
      </c>
      <c r="P179" t="s">
        <v>592</v>
      </c>
    </row>
    <row r="180" spans="1:16" x14ac:dyDescent="0.35">
      <c r="A180" t="s">
        <v>364</v>
      </c>
      <c r="B180" t="s">
        <v>365</v>
      </c>
      <c r="C180" t="s">
        <v>365</v>
      </c>
      <c r="D180" t="s">
        <v>365</v>
      </c>
      <c r="E180" t="s">
        <v>365</v>
      </c>
      <c r="F180" t="s">
        <v>365</v>
      </c>
      <c r="G180" t="s">
        <v>365</v>
      </c>
      <c r="H180" t="s">
        <v>365</v>
      </c>
      <c r="I180" t="s">
        <v>365</v>
      </c>
      <c r="J180" t="s">
        <v>365</v>
      </c>
      <c r="K180" t="s">
        <v>365</v>
      </c>
      <c r="L180" t="s">
        <v>365</v>
      </c>
      <c r="M180" t="s">
        <v>365</v>
      </c>
      <c r="N180" t="s">
        <v>365</v>
      </c>
      <c r="O180" t="s">
        <v>365</v>
      </c>
      <c r="P180" t="s">
        <v>365</v>
      </c>
    </row>
    <row r="181" spans="1:16" x14ac:dyDescent="0.35">
      <c r="A181" t="s">
        <v>414</v>
      </c>
      <c r="B181" t="s">
        <v>1353</v>
      </c>
      <c r="C181" t="s">
        <v>590</v>
      </c>
      <c r="D181" t="s">
        <v>590</v>
      </c>
      <c r="E181" t="s">
        <v>1354</v>
      </c>
      <c r="F181" t="s">
        <v>747</v>
      </c>
      <c r="G181" t="s">
        <v>590</v>
      </c>
      <c r="H181" t="s">
        <v>590</v>
      </c>
      <c r="I181" t="s">
        <v>590</v>
      </c>
      <c r="J181" t="s">
        <v>590</v>
      </c>
      <c r="K181" t="s">
        <v>590</v>
      </c>
      <c r="L181">
        <v>144</v>
      </c>
      <c r="M181" t="s">
        <v>1048</v>
      </c>
      <c r="N181" t="s">
        <v>1048</v>
      </c>
      <c r="O181" t="s">
        <v>1355</v>
      </c>
      <c r="P181" t="s">
        <v>592</v>
      </c>
    </row>
    <row r="183" spans="1:16" x14ac:dyDescent="0.35">
      <c r="A183" t="s">
        <v>415</v>
      </c>
      <c r="B183" t="s">
        <v>590</v>
      </c>
      <c r="C183" t="s">
        <v>590</v>
      </c>
      <c r="D183" t="s">
        <v>590</v>
      </c>
      <c r="E183" t="s">
        <v>590</v>
      </c>
      <c r="F183" t="s">
        <v>590</v>
      </c>
      <c r="G183" t="s">
        <v>590</v>
      </c>
      <c r="H183" t="s">
        <v>590</v>
      </c>
      <c r="I183" t="s">
        <v>590</v>
      </c>
      <c r="J183" t="s">
        <v>590</v>
      </c>
      <c r="K183" t="s">
        <v>591</v>
      </c>
      <c r="L183">
        <v>24</v>
      </c>
      <c r="M183" t="s">
        <v>590</v>
      </c>
      <c r="N183" t="s">
        <v>590</v>
      </c>
      <c r="O183" t="s">
        <v>590</v>
      </c>
      <c r="P183" t="s">
        <v>590</v>
      </c>
    </row>
    <row r="184" spans="1:16" x14ac:dyDescent="0.35">
      <c r="A184" t="s">
        <v>416</v>
      </c>
      <c r="B184" t="s">
        <v>1356</v>
      </c>
      <c r="C184" t="s">
        <v>1357</v>
      </c>
      <c r="D184" t="s">
        <v>1358</v>
      </c>
      <c r="E184" t="s">
        <v>1359</v>
      </c>
      <c r="F184" t="s">
        <v>765</v>
      </c>
      <c r="G184" t="s">
        <v>590</v>
      </c>
      <c r="H184" t="s">
        <v>590</v>
      </c>
      <c r="I184" t="s">
        <v>590</v>
      </c>
      <c r="J184" t="s">
        <v>590</v>
      </c>
      <c r="K184" t="s">
        <v>590</v>
      </c>
      <c r="L184">
        <v>24</v>
      </c>
      <c r="M184" t="s">
        <v>1360</v>
      </c>
      <c r="N184" t="s">
        <v>1360</v>
      </c>
      <c r="O184" t="s">
        <v>1361</v>
      </c>
      <c r="P184" t="s">
        <v>1362</v>
      </c>
    </row>
    <row r="185" spans="1:16" x14ac:dyDescent="0.35">
      <c r="A185" t="s">
        <v>417</v>
      </c>
      <c r="B185" t="s">
        <v>1363</v>
      </c>
      <c r="C185" t="s">
        <v>732</v>
      </c>
      <c r="D185" t="s">
        <v>751</v>
      </c>
      <c r="E185" t="s">
        <v>606</v>
      </c>
      <c r="F185" t="s">
        <v>1364</v>
      </c>
      <c r="G185" t="s">
        <v>590</v>
      </c>
      <c r="H185" t="s">
        <v>590</v>
      </c>
      <c r="I185" t="s">
        <v>590</v>
      </c>
      <c r="J185" t="s">
        <v>590</v>
      </c>
      <c r="K185" t="s">
        <v>590</v>
      </c>
      <c r="L185">
        <v>24</v>
      </c>
      <c r="M185" t="s">
        <v>1365</v>
      </c>
      <c r="N185" t="s">
        <v>1365</v>
      </c>
      <c r="O185" t="s">
        <v>1366</v>
      </c>
      <c r="P185" t="s">
        <v>1367</v>
      </c>
    </row>
    <row r="186" spans="1:16" x14ac:dyDescent="0.35">
      <c r="A186" t="s">
        <v>418</v>
      </c>
      <c r="B186" t="s">
        <v>1368</v>
      </c>
      <c r="C186" t="s">
        <v>1369</v>
      </c>
      <c r="D186" t="s">
        <v>597</v>
      </c>
      <c r="E186" t="s">
        <v>795</v>
      </c>
      <c r="F186" t="s">
        <v>590</v>
      </c>
      <c r="G186" t="s">
        <v>590</v>
      </c>
      <c r="H186" t="s">
        <v>590</v>
      </c>
      <c r="I186" t="s">
        <v>590</v>
      </c>
      <c r="J186" t="s">
        <v>590</v>
      </c>
      <c r="K186" t="s">
        <v>590</v>
      </c>
      <c r="L186">
        <v>24</v>
      </c>
      <c r="M186" t="s">
        <v>592</v>
      </c>
      <c r="N186" t="s">
        <v>592</v>
      </c>
      <c r="O186" t="s">
        <v>1370</v>
      </c>
      <c r="P186" t="s">
        <v>1371</v>
      </c>
    </row>
    <row r="187" spans="1:16" x14ac:dyDescent="0.35">
      <c r="A187" t="s">
        <v>364</v>
      </c>
      <c r="B187" t="s">
        <v>365</v>
      </c>
      <c r="C187" t="s">
        <v>365</v>
      </c>
      <c r="D187" t="s">
        <v>365</v>
      </c>
      <c r="E187" t="s">
        <v>365</v>
      </c>
      <c r="F187" t="s">
        <v>365</v>
      </c>
      <c r="G187" t="s">
        <v>365</v>
      </c>
      <c r="H187" t="s">
        <v>365</v>
      </c>
      <c r="I187" t="s">
        <v>365</v>
      </c>
      <c r="J187" t="s">
        <v>365</v>
      </c>
      <c r="K187" t="s">
        <v>365</v>
      </c>
      <c r="L187" t="s">
        <v>365</v>
      </c>
      <c r="M187" t="s">
        <v>365</v>
      </c>
      <c r="N187" t="s">
        <v>365</v>
      </c>
      <c r="O187" t="s">
        <v>365</v>
      </c>
      <c r="P187" t="s">
        <v>365</v>
      </c>
    </row>
    <row r="188" spans="1:16" x14ac:dyDescent="0.35">
      <c r="A188" t="s">
        <v>419</v>
      </c>
      <c r="B188" t="s">
        <v>826</v>
      </c>
      <c r="C188" t="s">
        <v>1372</v>
      </c>
      <c r="D188" t="s">
        <v>1373</v>
      </c>
      <c r="E188" t="s">
        <v>1374</v>
      </c>
      <c r="F188" t="s">
        <v>1375</v>
      </c>
      <c r="G188" t="s">
        <v>590</v>
      </c>
      <c r="H188" t="s">
        <v>590</v>
      </c>
      <c r="I188" t="s">
        <v>590</v>
      </c>
      <c r="J188" t="s">
        <v>590</v>
      </c>
      <c r="K188" t="s">
        <v>591</v>
      </c>
      <c r="L188">
        <v>96</v>
      </c>
      <c r="M188" t="s">
        <v>1376</v>
      </c>
      <c r="N188" t="s">
        <v>1376</v>
      </c>
      <c r="O188" t="s">
        <v>1377</v>
      </c>
      <c r="P188" t="s">
        <v>1378</v>
      </c>
    </row>
    <row r="190" spans="1:16" x14ac:dyDescent="0.35">
      <c r="A190" t="s">
        <v>420</v>
      </c>
      <c r="B190" t="s">
        <v>1379</v>
      </c>
      <c r="C190" t="s">
        <v>590</v>
      </c>
      <c r="D190" t="s">
        <v>661</v>
      </c>
      <c r="E190" t="s">
        <v>1380</v>
      </c>
      <c r="F190" t="s">
        <v>590</v>
      </c>
      <c r="G190" t="s">
        <v>590</v>
      </c>
      <c r="H190" t="s">
        <v>590</v>
      </c>
      <c r="I190" t="s">
        <v>590</v>
      </c>
      <c r="J190" t="s">
        <v>590</v>
      </c>
      <c r="K190" t="s">
        <v>1381</v>
      </c>
      <c r="L190">
        <v>24</v>
      </c>
      <c r="M190" t="s">
        <v>1382</v>
      </c>
      <c r="N190" t="s">
        <v>1382</v>
      </c>
      <c r="O190" t="s">
        <v>1383</v>
      </c>
      <c r="P190" t="s">
        <v>1384</v>
      </c>
    </row>
    <row r="191" spans="1:16" x14ac:dyDescent="0.35">
      <c r="A191" t="s">
        <v>421</v>
      </c>
      <c r="B191" t="s">
        <v>591</v>
      </c>
      <c r="C191" t="s">
        <v>590</v>
      </c>
      <c r="D191" t="s">
        <v>590</v>
      </c>
      <c r="E191" t="s">
        <v>590</v>
      </c>
      <c r="F191" t="s">
        <v>590</v>
      </c>
      <c r="G191" t="s">
        <v>590</v>
      </c>
      <c r="H191" t="s">
        <v>590</v>
      </c>
      <c r="I191" t="s">
        <v>590</v>
      </c>
      <c r="J191" t="s">
        <v>590</v>
      </c>
      <c r="K191" t="s">
        <v>590</v>
      </c>
      <c r="L191">
        <v>24</v>
      </c>
      <c r="M191" t="s">
        <v>592</v>
      </c>
      <c r="N191" t="s">
        <v>592</v>
      </c>
      <c r="O191" t="s">
        <v>592</v>
      </c>
      <c r="P191" t="s">
        <v>592</v>
      </c>
    </row>
    <row r="192" spans="1:16" x14ac:dyDescent="0.35">
      <c r="A192" t="s">
        <v>422</v>
      </c>
      <c r="B192" t="s">
        <v>591</v>
      </c>
      <c r="C192" t="s">
        <v>590</v>
      </c>
      <c r="D192" t="s">
        <v>590</v>
      </c>
      <c r="E192" t="s">
        <v>590</v>
      </c>
      <c r="F192" t="s">
        <v>590</v>
      </c>
      <c r="G192" t="s">
        <v>590</v>
      </c>
      <c r="H192" t="s">
        <v>590</v>
      </c>
      <c r="I192" t="s">
        <v>590</v>
      </c>
      <c r="J192" t="s">
        <v>590</v>
      </c>
      <c r="K192" t="s">
        <v>590</v>
      </c>
      <c r="L192">
        <v>24</v>
      </c>
      <c r="M192" t="s">
        <v>592</v>
      </c>
      <c r="N192" t="s">
        <v>592</v>
      </c>
      <c r="O192" t="s">
        <v>592</v>
      </c>
      <c r="P192" t="s">
        <v>592</v>
      </c>
    </row>
    <row r="193" spans="1:16" x14ac:dyDescent="0.35">
      <c r="A193" t="s">
        <v>423</v>
      </c>
      <c r="B193" t="s">
        <v>1385</v>
      </c>
      <c r="C193" t="s">
        <v>590</v>
      </c>
      <c r="D193" t="s">
        <v>590</v>
      </c>
      <c r="E193" t="s">
        <v>1386</v>
      </c>
      <c r="F193" t="s">
        <v>590</v>
      </c>
      <c r="G193" t="s">
        <v>1101</v>
      </c>
      <c r="H193" t="s">
        <v>590</v>
      </c>
      <c r="I193" t="s">
        <v>590</v>
      </c>
      <c r="J193" t="s">
        <v>590</v>
      </c>
      <c r="K193" t="s">
        <v>1387</v>
      </c>
      <c r="L193">
        <v>24</v>
      </c>
      <c r="M193" t="s">
        <v>1388</v>
      </c>
      <c r="N193" t="s">
        <v>1388</v>
      </c>
      <c r="O193" t="s">
        <v>1389</v>
      </c>
      <c r="P193" t="s">
        <v>592</v>
      </c>
    </row>
    <row r="194" spans="1:16" x14ac:dyDescent="0.35">
      <c r="A194" t="s">
        <v>424</v>
      </c>
      <c r="B194" t="s">
        <v>1390</v>
      </c>
      <c r="C194" t="s">
        <v>679</v>
      </c>
      <c r="D194" t="s">
        <v>689</v>
      </c>
      <c r="E194" t="s">
        <v>590</v>
      </c>
      <c r="F194" t="s">
        <v>590</v>
      </c>
      <c r="G194" t="s">
        <v>590</v>
      </c>
      <c r="H194" t="s">
        <v>590</v>
      </c>
      <c r="I194" t="s">
        <v>590</v>
      </c>
      <c r="J194" t="s">
        <v>590</v>
      </c>
      <c r="K194" t="s">
        <v>590</v>
      </c>
      <c r="L194">
        <v>24</v>
      </c>
      <c r="M194" t="s">
        <v>592</v>
      </c>
      <c r="N194" t="s">
        <v>592</v>
      </c>
      <c r="O194" t="s">
        <v>1391</v>
      </c>
      <c r="P194" t="s">
        <v>1392</v>
      </c>
    </row>
    <row r="195" spans="1:16" x14ac:dyDescent="0.35">
      <c r="A195" t="s">
        <v>425</v>
      </c>
      <c r="B195" t="s">
        <v>1393</v>
      </c>
      <c r="C195" t="s">
        <v>704</v>
      </c>
      <c r="D195" t="s">
        <v>661</v>
      </c>
      <c r="E195" t="s">
        <v>590</v>
      </c>
      <c r="F195" t="s">
        <v>590</v>
      </c>
      <c r="G195" t="s">
        <v>590</v>
      </c>
      <c r="H195" t="s">
        <v>590</v>
      </c>
      <c r="I195" t="s">
        <v>590</v>
      </c>
      <c r="J195" t="s">
        <v>590</v>
      </c>
      <c r="K195" t="s">
        <v>590</v>
      </c>
      <c r="L195">
        <v>24</v>
      </c>
      <c r="M195" t="s">
        <v>592</v>
      </c>
      <c r="N195" t="s">
        <v>592</v>
      </c>
      <c r="O195" t="s">
        <v>1394</v>
      </c>
      <c r="P195" t="s">
        <v>1395</v>
      </c>
    </row>
    <row r="196" spans="1:16" x14ac:dyDescent="0.35">
      <c r="A196" t="s">
        <v>364</v>
      </c>
      <c r="B196" t="s">
        <v>365</v>
      </c>
      <c r="C196" t="s">
        <v>365</v>
      </c>
      <c r="D196" t="s">
        <v>365</v>
      </c>
      <c r="E196" t="s">
        <v>365</v>
      </c>
      <c r="F196" t="s">
        <v>365</v>
      </c>
      <c r="G196" t="s">
        <v>365</v>
      </c>
      <c r="H196" t="s">
        <v>365</v>
      </c>
      <c r="I196" t="s">
        <v>365</v>
      </c>
      <c r="J196" t="s">
        <v>365</v>
      </c>
      <c r="K196" t="s">
        <v>365</v>
      </c>
      <c r="L196" t="s">
        <v>365</v>
      </c>
      <c r="M196" t="s">
        <v>365</v>
      </c>
      <c r="N196" t="s">
        <v>365</v>
      </c>
      <c r="O196" t="s">
        <v>365</v>
      </c>
      <c r="P196" t="s">
        <v>365</v>
      </c>
    </row>
    <row r="197" spans="1:16" x14ac:dyDescent="0.35">
      <c r="A197" t="s">
        <v>426</v>
      </c>
      <c r="B197" t="s">
        <v>1396</v>
      </c>
      <c r="C197" t="s">
        <v>1153</v>
      </c>
      <c r="D197" t="s">
        <v>636</v>
      </c>
      <c r="E197" t="s">
        <v>1397</v>
      </c>
      <c r="F197" t="s">
        <v>590</v>
      </c>
      <c r="G197" t="s">
        <v>1101</v>
      </c>
      <c r="H197" t="s">
        <v>590</v>
      </c>
      <c r="I197" t="s">
        <v>590</v>
      </c>
      <c r="J197" t="s">
        <v>590</v>
      </c>
      <c r="K197" t="s">
        <v>1398</v>
      </c>
      <c r="L197">
        <v>144</v>
      </c>
      <c r="M197" t="s">
        <v>1399</v>
      </c>
      <c r="N197" t="s">
        <v>1399</v>
      </c>
      <c r="O197" t="s">
        <v>624</v>
      </c>
      <c r="P197" t="s">
        <v>1400</v>
      </c>
    </row>
    <row r="199" spans="1:16" x14ac:dyDescent="0.35">
      <c r="A199" t="s">
        <v>427</v>
      </c>
      <c r="B199" t="s">
        <v>1401</v>
      </c>
      <c r="C199" t="s">
        <v>787</v>
      </c>
      <c r="D199" t="s">
        <v>590</v>
      </c>
      <c r="E199" t="s">
        <v>1100</v>
      </c>
      <c r="F199" t="s">
        <v>590</v>
      </c>
      <c r="G199" t="s">
        <v>590</v>
      </c>
      <c r="H199" t="s">
        <v>590</v>
      </c>
      <c r="I199" t="s">
        <v>590</v>
      </c>
      <c r="J199" t="s">
        <v>590</v>
      </c>
      <c r="K199" t="s">
        <v>590</v>
      </c>
      <c r="L199">
        <v>24</v>
      </c>
      <c r="M199" t="s">
        <v>592</v>
      </c>
      <c r="N199" t="s">
        <v>592</v>
      </c>
      <c r="O199" t="s">
        <v>1402</v>
      </c>
      <c r="P199" t="s">
        <v>592</v>
      </c>
    </row>
    <row r="200" spans="1:16" x14ac:dyDescent="0.35">
      <c r="A200" t="s">
        <v>428</v>
      </c>
      <c r="B200" t="s">
        <v>1403</v>
      </c>
      <c r="C200" t="s">
        <v>860</v>
      </c>
      <c r="D200" t="s">
        <v>667</v>
      </c>
      <c r="E200" t="s">
        <v>590</v>
      </c>
      <c r="F200" t="s">
        <v>590</v>
      </c>
      <c r="G200" t="s">
        <v>590</v>
      </c>
      <c r="H200" t="s">
        <v>590</v>
      </c>
      <c r="I200" t="s">
        <v>590</v>
      </c>
      <c r="J200" t="s">
        <v>590</v>
      </c>
      <c r="K200" t="s">
        <v>590</v>
      </c>
      <c r="L200">
        <v>24</v>
      </c>
      <c r="M200" t="s">
        <v>592</v>
      </c>
      <c r="N200" t="s">
        <v>592</v>
      </c>
      <c r="O200" t="s">
        <v>1404</v>
      </c>
      <c r="P200" t="s">
        <v>1400</v>
      </c>
    </row>
    <row r="201" spans="1:16" x14ac:dyDescent="0.35">
      <c r="A201" t="s">
        <v>429</v>
      </c>
      <c r="B201" t="s">
        <v>590</v>
      </c>
      <c r="C201" t="s">
        <v>590</v>
      </c>
      <c r="D201" t="s">
        <v>590</v>
      </c>
      <c r="E201" t="s">
        <v>591</v>
      </c>
      <c r="F201" t="s">
        <v>590</v>
      </c>
      <c r="G201" t="s">
        <v>590</v>
      </c>
      <c r="H201" t="s">
        <v>590</v>
      </c>
      <c r="I201" t="s">
        <v>590</v>
      </c>
      <c r="J201" t="s">
        <v>590</v>
      </c>
      <c r="K201" t="s">
        <v>590</v>
      </c>
      <c r="L201">
        <v>24</v>
      </c>
      <c r="M201" t="s">
        <v>592</v>
      </c>
      <c r="N201" t="s">
        <v>592</v>
      </c>
      <c r="O201" t="s">
        <v>590</v>
      </c>
      <c r="P201" t="s">
        <v>590</v>
      </c>
    </row>
    <row r="202" spans="1:16" x14ac:dyDescent="0.35">
      <c r="A202" t="s">
        <v>430</v>
      </c>
      <c r="B202" t="s">
        <v>1405</v>
      </c>
      <c r="C202" t="s">
        <v>828</v>
      </c>
      <c r="D202" t="s">
        <v>590</v>
      </c>
      <c r="E202" t="s">
        <v>1406</v>
      </c>
      <c r="F202" t="s">
        <v>1407</v>
      </c>
      <c r="G202" t="s">
        <v>590</v>
      </c>
      <c r="H202" t="s">
        <v>590</v>
      </c>
      <c r="I202" t="s">
        <v>590</v>
      </c>
      <c r="J202" t="s">
        <v>590</v>
      </c>
      <c r="K202" t="s">
        <v>590</v>
      </c>
      <c r="L202">
        <v>24</v>
      </c>
      <c r="M202" t="s">
        <v>1408</v>
      </c>
      <c r="N202" t="s">
        <v>1408</v>
      </c>
      <c r="O202" t="s">
        <v>1409</v>
      </c>
      <c r="P202" t="s">
        <v>592</v>
      </c>
    </row>
    <row r="203" spans="1:16" x14ac:dyDescent="0.35">
      <c r="A203" t="s">
        <v>431</v>
      </c>
      <c r="B203" t="s">
        <v>1410</v>
      </c>
      <c r="C203" t="s">
        <v>590</v>
      </c>
      <c r="D203" t="s">
        <v>745</v>
      </c>
      <c r="E203" t="s">
        <v>597</v>
      </c>
      <c r="F203" t="s">
        <v>590</v>
      </c>
      <c r="G203" t="s">
        <v>590</v>
      </c>
      <c r="H203" t="s">
        <v>590</v>
      </c>
      <c r="I203" t="s">
        <v>590</v>
      </c>
      <c r="J203" t="s">
        <v>590</v>
      </c>
      <c r="K203" t="s">
        <v>590</v>
      </c>
      <c r="L203">
        <v>24</v>
      </c>
      <c r="M203" t="s">
        <v>592</v>
      </c>
      <c r="N203" t="s">
        <v>592</v>
      </c>
      <c r="O203" t="s">
        <v>1411</v>
      </c>
      <c r="P203" t="s">
        <v>836</v>
      </c>
    </row>
    <row r="204" spans="1:16" x14ac:dyDescent="0.35">
      <c r="A204" t="s">
        <v>432</v>
      </c>
      <c r="B204" t="s">
        <v>1412</v>
      </c>
      <c r="C204" t="s">
        <v>791</v>
      </c>
      <c r="D204" t="s">
        <v>665</v>
      </c>
      <c r="E204" t="s">
        <v>595</v>
      </c>
      <c r="F204" t="s">
        <v>590</v>
      </c>
      <c r="G204" t="s">
        <v>590</v>
      </c>
      <c r="H204" t="s">
        <v>590</v>
      </c>
      <c r="I204" t="s">
        <v>590</v>
      </c>
      <c r="J204" t="s">
        <v>590</v>
      </c>
      <c r="K204" t="s">
        <v>590</v>
      </c>
      <c r="L204">
        <v>24</v>
      </c>
      <c r="M204" t="s">
        <v>592</v>
      </c>
      <c r="N204" t="s">
        <v>592</v>
      </c>
      <c r="O204" t="s">
        <v>1413</v>
      </c>
      <c r="P204" t="s">
        <v>1414</v>
      </c>
    </row>
    <row r="205" spans="1:16" x14ac:dyDescent="0.35">
      <c r="A205" t="s">
        <v>433</v>
      </c>
      <c r="B205" t="s">
        <v>590</v>
      </c>
      <c r="C205" t="s">
        <v>590</v>
      </c>
      <c r="D205" t="s">
        <v>590</v>
      </c>
      <c r="E205" t="s">
        <v>591</v>
      </c>
      <c r="F205" t="s">
        <v>590</v>
      </c>
      <c r="G205" t="s">
        <v>590</v>
      </c>
      <c r="H205" t="s">
        <v>590</v>
      </c>
      <c r="I205" t="s">
        <v>590</v>
      </c>
      <c r="J205" t="s">
        <v>590</v>
      </c>
      <c r="K205" t="s">
        <v>590</v>
      </c>
      <c r="L205">
        <v>24</v>
      </c>
      <c r="M205" t="s">
        <v>592</v>
      </c>
      <c r="N205" t="s">
        <v>592</v>
      </c>
      <c r="O205" t="s">
        <v>590</v>
      </c>
      <c r="P205" t="s">
        <v>590</v>
      </c>
    </row>
    <row r="206" spans="1:16" x14ac:dyDescent="0.35">
      <c r="A206" t="s">
        <v>434</v>
      </c>
      <c r="B206" t="s">
        <v>1415</v>
      </c>
      <c r="C206" t="s">
        <v>590</v>
      </c>
      <c r="D206" t="s">
        <v>590</v>
      </c>
      <c r="E206" t="s">
        <v>1416</v>
      </c>
      <c r="F206" t="s">
        <v>590</v>
      </c>
      <c r="G206" t="s">
        <v>590</v>
      </c>
      <c r="H206" t="s">
        <v>590</v>
      </c>
      <c r="I206" t="s">
        <v>590</v>
      </c>
      <c r="J206" t="s">
        <v>590</v>
      </c>
      <c r="K206" t="s">
        <v>590</v>
      </c>
      <c r="L206">
        <v>24</v>
      </c>
      <c r="M206" t="s">
        <v>592</v>
      </c>
      <c r="N206" t="s">
        <v>592</v>
      </c>
      <c r="O206" t="s">
        <v>1417</v>
      </c>
      <c r="P206" t="s">
        <v>592</v>
      </c>
    </row>
    <row r="207" spans="1:16" x14ac:dyDescent="0.35">
      <c r="A207" t="s">
        <v>435</v>
      </c>
      <c r="B207" t="s">
        <v>1418</v>
      </c>
      <c r="C207" t="s">
        <v>702</v>
      </c>
      <c r="D207" t="s">
        <v>590</v>
      </c>
      <c r="E207" t="s">
        <v>620</v>
      </c>
      <c r="F207" t="s">
        <v>838</v>
      </c>
      <c r="G207" t="s">
        <v>590</v>
      </c>
      <c r="H207" t="s">
        <v>590</v>
      </c>
      <c r="I207" t="s">
        <v>590</v>
      </c>
      <c r="J207" t="s">
        <v>590</v>
      </c>
      <c r="K207" t="s">
        <v>590</v>
      </c>
      <c r="L207">
        <v>24</v>
      </c>
      <c r="M207" t="s">
        <v>624</v>
      </c>
      <c r="N207" t="s">
        <v>624</v>
      </c>
      <c r="O207" t="s">
        <v>1054</v>
      </c>
      <c r="P207" t="s">
        <v>592</v>
      </c>
    </row>
    <row r="208" spans="1:16" x14ac:dyDescent="0.35">
      <c r="A208" t="s">
        <v>436</v>
      </c>
      <c r="B208" t="s">
        <v>1419</v>
      </c>
      <c r="C208" t="s">
        <v>649</v>
      </c>
      <c r="D208" t="s">
        <v>590</v>
      </c>
      <c r="E208" t="s">
        <v>590</v>
      </c>
      <c r="F208" t="s">
        <v>590</v>
      </c>
      <c r="G208" t="s">
        <v>590</v>
      </c>
      <c r="H208" t="s">
        <v>590</v>
      </c>
      <c r="I208" t="s">
        <v>590</v>
      </c>
      <c r="J208" t="s">
        <v>590</v>
      </c>
      <c r="K208" t="s">
        <v>590</v>
      </c>
      <c r="L208">
        <v>24</v>
      </c>
      <c r="M208" t="s">
        <v>592</v>
      </c>
      <c r="N208" t="s">
        <v>592</v>
      </c>
      <c r="O208" t="s">
        <v>882</v>
      </c>
      <c r="P208" t="s">
        <v>592</v>
      </c>
    </row>
    <row r="209" spans="1:16" x14ac:dyDescent="0.35">
      <c r="A209" t="s">
        <v>364</v>
      </c>
      <c r="B209" t="s">
        <v>365</v>
      </c>
      <c r="C209" t="s">
        <v>365</v>
      </c>
      <c r="D209" t="s">
        <v>365</v>
      </c>
      <c r="E209" t="s">
        <v>365</v>
      </c>
      <c r="F209" t="s">
        <v>365</v>
      </c>
      <c r="G209" t="s">
        <v>365</v>
      </c>
      <c r="H209" t="s">
        <v>365</v>
      </c>
      <c r="I209" t="s">
        <v>365</v>
      </c>
      <c r="J209" t="s">
        <v>365</v>
      </c>
      <c r="K209" t="s">
        <v>365</v>
      </c>
      <c r="L209" t="s">
        <v>365</v>
      </c>
      <c r="M209" t="s">
        <v>365</v>
      </c>
      <c r="N209" t="s">
        <v>365</v>
      </c>
      <c r="O209" t="s">
        <v>365</v>
      </c>
      <c r="P209" t="s">
        <v>365</v>
      </c>
    </row>
    <row r="210" spans="1:16" x14ac:dyDescent="0.35">
      <c r="A210" t="s">
        <v>437</v>
      </c>
      <c r="B210" t="s">
        <v>1420</v>
      </c>
      <c r="C210" t="s">
        <v>1421</v>
      </c>
      <c r="D210" t="s">
        <v>1422</v>
      </c>
      <c r="E210" t="s">
        <v>1423</v>
      </c>
      <c r="F210" t="s">
        <v>1424</v>
      </c>
      <c r="G210" t="s">
        <v>590</v>
      </c>
      <c r="H210" t="s">
        <v>590</v>
      </c>
      <c r="I210" t="s">
        <v>590</v>
      </c>
      <c r="J210" t="s">
        <v>590</v>
      </c>
      <c r="K210" t="s">
        <v>590</v>
      </c>
      <c r="L210">
        <v>240</v>
      </c>
      <c r="M210" t="s">
        <v>1425</v>
      </c>
      <c r="N210" t="s">
        <v>1425</v>
      </c>
      <c r="O210" t="s">
        <v>1426</v>
      </c>
      <c r="P210" t="s">
        <v>1427</v>
      </c>
    </row>
    <row r="212" spans="1:16" x14ac:dyDescent="0.35">
      <c r="A212" t="s">
        <v>438</v>
      </c>
      <c r="B212" t="s">
        <v>590</v>
      </c>
      <c r="C212" t="s">
        <v>590</v>
      </c>
      <c r="D212" t="s">
        <v>590</v>
      </c>
      <c r="E212" t="s">
        <v>591</v>
      </c>
      <c r="F212" t="s">
        <v>590</v>
      </c>
      <c r="G212" t="s">
        <v>590</v>
      </c>
      <c r="H212" t="s">
        <v>590</v>
      </c>
      <c r="I212" t="s">
        <v>590</v>
      </c>
      <c r="J212" t="s">
        <v>590</v>
      </c>
      <c r="K212" t="s">
        <v>590</v>
      </c>
      <c r="L212">
        <v>24</v>
      </c>
      <c r="M212" t="s">
        <v>592</v>
      </c>
      <c r="N212" t="s">
        <v>592</v>
      </c>
      <c r="O212" t="s">
        <v>590</v>
      </c>
      <c r="P212" t="s">
        <v>590</v>
      </c>
    </row>
    <row r="213" spans="1:16" x14ac:dyDescent="0.35">
      <c r="A213" t="s">
        <v>439</v>
      </c>
      <c r="B213" t="s">
        <v>590</v>
      </c>
      <c r="C213" t="s">
        <v>590</v>
      </c>
      <c r="D213" t="s">
        <v>590</v>
      </c>
      <c r="E213" t="s">
        <v>591</v>
      </c>
      <c r="F213" t="s">
        <v>590</v>
      </c>
      <c r="G213" t="s">
        <v>590</v>
      </c>
      <c r="H213" t="s">
        <v>590</v>
      </c>
      <c r="I213" t="s">
        <v>590</v>
      </c>
      <c r="J213" t="s">
        <v>590</v>
      </c>
      <c r="K213" t="s">
        <v>590</v>
      </c>
      <c r="L213">
        <v>24</v>
      </c>
      <c r="M213" t="s">
        <v>592</v>
      </c>
      <c r="N213" t="s">
        <v>592</v>
      </c>
      <c r="O213" t="s">
        <v>590</v>
      </c>
      <c r="P213" t="s">
        <v>590</v>
      </c>
    </row>
    <row r="214" spans="1:16" x14ac:dyDescent="0.35">
      <c r="A214" t="s">
        <v>440</v>
      </c>
      <c r="B214" t="s">
        <v>590</v>
      </c>
      <c r="C214" t="s">
        <v>590</v>
      </c>
      <c r="D214" t="s">
        <v>590</v>
      </c>
      <c r="E214" t="s">
        <v>591</v>
      </c>
      <c r="F214" t="s">
        <v>590</v>
      </c>
      <c r="G214" t="s">
        <v>590</v>
      </c>
      <c r="H214" t="s">
        <v>590</v>
      </c>
      <c r="I214" t="s">
        <v>590</v>
      </c>
      <c r="J214" t="s">
        <v>590</v>
      </c>
      <c r="K214" t="s">
        <v>590</v>
      </c>
      <c r="L214">
        <v>24</v>
      </c>
      <c r="M214" t="s">
        <v>592</v>
      </c>
      <c r="N214" t="s">
        <v>592</v>
      </c>
      <c r="O214" t="s">
        <v>590</v>
      </c>
      <c r="P214" t="s">
        <v>590</v>
      </c>
    </row>
    <row r="215" spans="1:16" x14ac:dyDescent="0.35">
      <c r="A215" t="s">
        <v>441</v>
      </c>
      <c r="B215" t="s">
        <v>590</v>
      </c>
      <c r="C215" t="s">
        <v>590</v>
      </c>
      <c r="D215" t="s">
        <v>590</v>
      </c>
      <c r="E215" t="s">
        <v>591</v>
      </c>
      <c r="F215" t="s">
        <v>590</v>
      </c>
      <c r="G215" t="s">
        <v>590</v>
      </c>
      <c r="H215" t="s">
        <v>590</v>
      </c>
      <c r="I215" t="s">
        <v>590</v>
      </c>
      <c r="J215" t="s">
        <v>590</v>
      </c>
      <c r="K215" t="s">
        <v>590</v>
      </c>
      <c r="L215">
        <v>24</v>
      </c>
      <c r="M215" t="s">
        <v>592</v>
      </c>
      <c r="N215" t="s">
        <v>592</v>
      </c>
      <c r="O215" t="s">
        <v>590</v>
      </c>
      <c r="P215" t="s">
        <v>590</v>
      </c>
    </row>
    <row r="216" spans="1:16" x14ac:dyDescent="0.35">
      <c r="A216" t="s">
        <v>364</v>
      </c>
      <c r="B216" t="s">
        <v>365</v>
      </c>
      <c r="C216" t="s">
        <v>365</v>
      </c>
      <c r="D216" t="s">
        <v>365</v>
      </c>
      <c r="E216" t="s">
        <v>365</v>
      </c>
      <c r="F216" t="s">
        <v>365</v>
      </c>
      <c r="G216" t="s">
        <v>365</v>
      </c>
      <c r="H216" t="s">
        <v>365</v>
      </c>
      <c r="I216" t="s">
        <v>365</v>
      </c>
      <c r="J216" t="s">
        <v>365</v>
      </c>
      <c r="K216" t="s">
        <v>365</v>
      </c>
      <c r="L216" t="s">
        <v>365</v>
      </c>
      <c r="M216" t="s">
        <v>365</v>
      </c>
      <c r="N216" t="s">
        <v>365</v>
      </c>
      <c r="O216" t="s">
        <v>365</v>
      </c>
      <c r="P216" t="s">
        <v>365</v>
      </c>
    </row>
    <row r="217" spans="1:16" x14ac:dyDescent="0.35">
      <c r="A217" t="s">
        <v>442</v>
      </c>
      <c r="B217" t="s">
        <v>590</v>
      </c>
      <c r="C217" t="s">
        <v>590</v>
      </c>
      <c r="D217" t="s">
        <v>590</v>
      </c>
      <c r="E217" t="s">
        <v>693</v>
      </c>
      <c r="F217" t="s">
        <v>590</v>
      </c>
      <c r="G217" t="s">
        <v>590</v>
      </c>
      <c r="H217" t="s">
        <v>590</v>
      </c>
      <c r="I217" t="s">
        <v>590</v>
      </c>
      <c r="J217" t="s">
        <v>590</v>
      </c>
      <c r="K217" t="s">
        <v>590</v>
      </c>
      <c r="L217">
        <v>72</v>
      </c>
      <c r="M217" t="s">
        <v>592</v>
      </c>
      <c r="N217" t="s">
        <v>592</v>
      </c>
      <c r="O217" t="s">
        <v>590</v>
      </c>
      <c r="P217" t="s">
        <v>590</v>
      </c>
    </row>
    <row r="219" spans="1:16" x14ac:dyDescent="0.35">
      <c r="A219" t="s">
        <v>443</v>
      </c>
      <c r="B219" t="s">
        <v>1428</v>
      </c>
      <c r="C219" t="s">
        <v>590</v>
      </c>
      <c r="D219" t="s">
        <v>590</v>
      </c>
      <c r="E219" t="s">
        <v>1429</v>
      </c>
      <c r="F219" t="s">
        <v>1077</v>
      </c>
      <c r="G219" t="s">
        <v>590</v>
      </c>
      <c r="H219" t="s">
        <v>590</v>
      </c>
      <c r="I219" t="s">
        <v>590</v>
      </c>
      <c r="J219" t="s">
        <v>590</v>
      </c>
      <c r="K219" t="s">
        <v>590</v>
      </c>
      <c r="L219">
        <v>24</v>
      </c>
      <c r="M219" t="s">
        <v>1430</v>
      </c>
      <c r="N219" t="s">
        <v>1430</v>
      </c>
      <c r="O219" t="s">
        <v>1431</v>
      </c>
      <c r="P219" t="s">
        <v>592</v>
      </c>
    </row>
    <row r="220" spans="1:16" x14ac:dyDescent="0.35">
      <c r="A220" t="s">
        <v>444</v>
      </c>
      <c r="B220" t="s">
        <v>1432</v>
      </c>
      <c r="C220" t="s">
        <v>671</v>
      </c>
      <c r="D220" t="s">
        <v>700</v>
      </c>
      <c r="E220" t="s">
        <v>700</v>
      </c>
      <c r="F220" t="s">
        <v>590</v>
      </c>
      <c r="G220" t="s">
        <v>590</v>
      </c>
      <c r="H220" t="s">
        <v>590</v>
      </c>
      <c r="I220" t="s">
        <v>590</v>
      </c>
      <c r="J220" t="s">
        <v>590</v>
      </c>
      <c r="K220" t="s">
        <v>590</v>
      </c>
      <c r="L220">
        <v>24</v>
      </c>
      <c r="M220" t="s">
        <v>592</v>
      </c>
      <c r="N220" t="s">
        <v>592</v>
      </c>
      <c r="O220" t="s">
        <v>1433</v>
      </c>
      <c r="P220" t="s">
        <v>1434</v>
      </c>
    </row>
    <row r="221" spans="1:16" x14ac:dyDescent="0.35">
      <c r="A221" t="s">
        <v>445</v>
      </c>
      <c r="B221" t="s">
        <v>1435</v>
      </c>
      <c r="C221" t="s">
        <v>831</v>
      </c>
      <c r="D221" t="s">
        <v>608</v>
      </c>
      <c r="E221" t="s">
        <v>590</v>
      </c>
      <c r="F221" t="s">
        <v>590</v>
      </c>
      <c r="G221" t="s">
        <v>590</v>
      </c>
      <c r="H221" t="s">
        <v>590</v>
      </c>
      <c r="I221" t="s">
        <v>590</v>
      </c>
      <c r="J221" t="s">
        <v>590</v>
      </c>
      <c r="K221" t="s">
        <v>590</v>
      </c>
      <c r="L221">
        <v>24</v>
      </c>
      <c r="M221" t="s">
        <v>592</v>
      </c>
      <c r="N221" t="s">
        <v>592</v>
      </c>
      <c r="O221" t="s">
        <v>1436</v>
      </c>
      <c r="P221" t="s">
        <v>1437</v>
      </c>
    </row>
    <row r="222" spans="1:16" x14ac:dyDescent="0.35">
      <c r="A222" t="s">
        <v>446</v>
      </c>
      <c r="B222" t="s">
        <v>590</v>
      </c>
      <c r="C222" t="s">
        <v>590</v>
      </c>
      <c r="D222" t="s">
        <v>590</v>
      </c>
      <c r="E222" t="s">
        <v>590</v>
      </c>
      <c r="F222" t="s">
        <v>590</v>
      </c>
      <c r="G222" t="s">
        <v>590</v>
      </c>
      <c r="H222" t="s">
        <v>590</v>
      </c>
      <c r="I222" t="s">
        <v>590</v>
      </c>
      <c r="J222" t="s">
        <v>590</v>
      </c>
      <c r="K222" t="s">
        <v>591</v>
      </c>
      <c r="L222">
        <v>24</v>
      </c>
      <c r="M222" t="s">
        <v>590</v>
      </c>
      <c r="N222" t="s">
        <v>590</v>
      </c>
      <c r="O222" t="s">
        <v>590</v>
      </c>
      <c r="P222" t="s">
        <v>590</v>
      </c>
    </row>
    <row r="223" spans="1:16" x14ac:dyDescent="0.35">
      <c r="A223" t="s">
        <v>447</v>
      </c>
      <c r="B223" t="s">
        <v>1438</v>
      </c>
      <c r="C223" t="s">
        <v>694</v>
      </c>
      <c r="D223" t="s">
        <v>590</v>
      </c>
      <c r="E223" t="s">
        <v>600</v>
      </c>
      <c r="F223" t="s">
        <v>590</v>
      </c>
      <c r="G223" t="s">
        <v>590</v>
      </c>
      <c r="H223" t="s">
        <v>590</v>
      </c>
      <c r="I223" t="s">
        <v>590</v>
      </c>
      <c r="J223" t="s">
        <v>590</v>
      </c>
      <c r="K223" t="s">
        <v>590</v>
      </c>
      <c r="L223">
        <v>24</v>
      </c>
      <c r="M223" t="s">
        <v>592</v>
      </c>
      <c r="N223" t="s">
        <v>592</v>
      </c>
      <c r="O223" t="s">
        <v>1118</v>
      </c>
      <c r="P223" t="s">
        <v>592</v>
      </c>
    </row>
    <row r="224" spans="1:16" x14ac:dyDescent="0.35">
      <c r="A224" t="s">
        <v>448</v>
      </c>
      <c r="B224" t="s">
        <v>1439</v>
      </c>
      <c r="C224" t="s">
        <v>704</v>
      </c>
      <c r="D224" t="s">
        <v>829</v>
      </c>
      <c r="E224" t="s">
        <v>590</v>
      </c>
      <c r="F224" t="s">
        <v>735</v>
      </c>
      <c r="G224" t="s">
        <v>590</v>
      </c>
      <c r="H224" t="s">
        <v>590</v>
      </c>
      <c r="I224" t="s">
        <v>590</v>
      </c>
      <c r="J224" t="s">
        <v>590</v>
      </c>
      <c r="K224" t="s">
        <v>590</v>
      </c>
      <c r="L224">
        <v>24</v>
      </c>
      <c r="M224" t="s">
        <v>1440</v>
      </c>
      <c r="N224" t="s">
        <v>1440</v>
      </c>
      <c r="O224" t="s">
        <v>1441</v>
      </c>
      <c r="P224" t="s">
        <v>1442</v>
      </c>
    </row>
    <row r="225" spans="1:16" x14ac:dyDescent="0.35">
      <c r="A225" t="s">
        <v>449</v>
      </c>
      <c r="B225" t="s">
        <v>1443</v>
      </c>
      <c r="C225" t="s">
        <v>669</v>
      </c>
      <c r="D225" t="s">
        <v>608</v>
      </c>
      <c r="E225" t="s">
        <v>767</v>
      </c>
      <c r="F225" t="s">
        <v>590</v>
      </c>
      <c r="G225" t="s">
        <v>590</v>
      </c>
      <c r="H225" t="s">
        <v>590</v>
      </c>
      <c r="I225" t="s">
        <v>590</v>
      </c>
      <c r="J225" t="s">
        <v>590</v>
      </c>
      <c r="K225" t="s">
        <v>590</v>
      </c>
      <c r="L225">
        <v>24</v>
      </c>
      <c r="M225" t="s">
        <v>592</v>
      </c>
      <c r="N225" t="s">
        <v>592</v>
      </c>
      <c r="O225" t="s">
        <v>1444</v>
      </c>
      <c r="P225" t="s">
        <v>1445</v>
      </c>
    </row>
    <row r="226" spans="1:16" x14ac:dyDescent="0.35">
      <c r="A226" t="s">
        <v>450</v>
      </c>
      <c r="B226" t="s">
        <v>590</v>
      </c>
      <c r="C226" t="s">
        <v>590</v>
      </c>
      <c r="D226" t="s">
        <v>590</v>
      </c>
      <c r="E226" t="s">
        <v>590</v>
      </c>
      <c r="F226" t="s">
        <v>1446</v>
      </c>
      <c r="G226" t="s">
        <v>590</v>
      </c>
      <c r="H226" t="s">
        <v>590</v>
      </c>
      <c r="I226" t="s">
        <v>590</v>
      </c>
      <c r="J226" t="s">
        <v>590</v>
      </c>
      <c r="K226" t="s">
        <v>1447</v>
      </c>
      <c r="L226">
        <v>24</v>
      </c>
      <c r="M226" t="s">
        <v>590</v>
      </c>
      <c r="N226" t="s">
        <v>590</v>
      </c>
      <c r="O226" t="s">
        <v>590</v>
      </c>
      <c r="P226" t="s">
        <v>590</v>
      </c>
    </row>
    <row r="227" spans="1:16" x14ac:dyDescent="0.35">
      <c r="A227" t="s">
        <v>451</v>
      </c>
      <c r="B227" t="s">
        <v>1448</v>
      </c>
      <c r="C227" t="s">
        <v>712</v>
      </c>
      <c r="D227" t="s">
        <v>590</v>
      </c>
      <c r="E227" t="s">
        <v>590</v>
      </c>
      <c r="F227" t="s">
        <v>590</v>
      </c>
      <c r="G227" t="s">
        <v>590</v>
      </c>
      <c r="H227" t="s">
        <v>590</v>
      </c>
      <c r="I227" t="s">
        <v>590</v>
      </c>
      <c r="J227" t="s">
        <v>590</v>
      </c>
      <c r="K227" t="s">
        <v>590</v>
      </c>
      <c r="L227">
        <v>24</v>
      </c>
      <c r="M227" t="s">
        <v>592</v>
      </c>
      <c r="N227" t="s">
        <v>592</v>
      </c>
      <c r="O227" t="s">
        <v>1449</v>
      </c>
      <c r="P227" t="s">
        <v>592</v>
      </c>
    </row>
    <row r="228" spans="1:16" x14ac:dyDescent="0.35">
      <c r="A228" t="s">
        <v>364</v>
      </c>
      <c r="B228" t="s">
        <v>365</v>
      </c>
      <c r="C228" t="s">
        <v>365</v>
      </c>
      <c r="D228" t="s">
        <v>365</v>
      </c>
      <c r="E228" t="s">
        <v>365</v>
      </c>
      <c r="F228" t="s">
        <v>365</v>
      </c>
      <c r="G228" t="s">
        <v>365</v>
      </c>
      <c r="H228" t="s">
        <v>365</v>
      </c>
      <c r="I228" t="s">
        <v>365</v>
      </c>
      <c r="J228" t="s">
        <v>365</v>
      </c>
      <c r="K228" t="s">
        <v>365</v>
      </c>
      <c r="L228" t="s">
        <v>365</v>
      </c>
      <c r="M228" t="s">
        <v>365</v>
      </c>
      <c r="N228" t="s">
        <v>365</v>
      </c>
      <c r="O228" t="s">
        <v>365</v>
      </c>
      <c r="P228" t="s">
        <v>365</v>
      </c>
    </row>
    <row r="229" spans="1:16" x14ac:dyDescent="0.35">
      <c r="A229" t="s">
        <v>452</v>
      </c>
      <c r="B229" t="s">
        <v>1450</v>
      </c>
      <c r="C229" t="s">
        <v>1451</v>
      </c>
      <c r="D229" t="s">
        <v>636</v>
      </c>
      <c r="E229" t="s">
        <v>1452</v>
      </c>
      <c r="F229" t="s">
        <v>1453</v>
      </c>
      <c r="G229" t="s">
        <v>590</v>
      </c>
      <c r="H229" t="s">
        <v>590</v>
      </c>
      <c r="I229" t="s">
        <v>590</v>
      </c>
      <c r="J229" t="s">
        <v>590</v>
      </c>
      <c r="K229" t="s">
        <v>1454</v>
      </c>
      <c r="L229">
        <v>216</v>
      </c>
      <c r="M229" t="s">
        <v>1455</v>
      </c>
      <c r="N229" t="s">
        <v>1455</v>
      </c>
      <c r="O229" t="s">
        <v>1456</v>
      </c>
      <c r="P229" t="s">
        <v>1457</v>
      </c>
    </row>
    <row r="231" spans="1:16" x14ac:dyDescent="0.35">
      <c r="A231" t="s">
        <v>453</v>
      </c>
      <c r="B231" t="s">
        <v>590</v>
      </c>
      <c r="C231" t="s">
        <v>590</v>
      </c>
      <c r="D231" t="s">
        <v>590</v>
      </c>
      <c r="E231" t="s">
        <v>590</v>
      </c>
      <c r="F231" t="s">
        <v>590</v>
      </c>
      <c r="G231" t="s">
        <v>590</v>
      </c>
      <c r="H231" t="s">
        <v>590</v>
      </c>
      <c r="I231" t="s">
        <v>590</v>
      </c>
      <c r="J231" t="s">
        <v>1233</v>
      </c>
      <c r="K231" t="s">
        <v>1458</v>
      </c>
      <c r="L231">
        <v>24</v>
      </c>
      <c r="M231" t="s">
        <v>590</v>
      </c>
      <c r="N231" t="s">
        <v>590</v>
      </c>
      <c r="O231" t="s">
        <v>590</v>
      </c>
      <c r="P231" t="s">
        <v>590</v>
      </c>
    </row>
    <row r="232" spans="1:16" x14ac:dyDescent="0.35">
      <c r="A232" t="s">
        <v>454</v>
      </c>
      <c r="B232" t="s">
        <v>590</v>
      </c>
      <c r="C232" t="s">
        <v>590</v>
      </c>
      <c r="D232" t="s">
        <v>590</v>
      </c>
      <c r="E232" t="s">
        <v>590</v>
      </c>
      <c r="F232" t="s">
        <v>591</v>
      </c>
      <c r="G232" t="s">
        <v>590</v>
      </c>
      <c r="H232" t="s">
        <v>590</v>
      </c>
      <c r="I232" t="s">
        <v>590</v>
      </c>
      <c r="J232" t="s">
        <v>590</v>
      </c>
      <c r="K232" t="s">
        <v>590</v>
      </c>
      <c r="L232">
        <v>24</v>
      </c>
      <c r="M232" t="s">
        <v>590</v>
      </c>
      <c r="N232" t="s">
        <v>590</v>
      </c>
      <c r="O232" t="s">
        <v>590</v>
      </c>
      <c r="P232" t="s">
        <v>590</v>
      </c>
    </row>
    <row r="233" spans="1:16" x14ac:dyDescent="0.35">
      <c r="A233" t="s">
        <v>455</v>
      </c>
      <c r="B233" t="s">
        <v>1459</v>
      </c>
      <c r="C233" t="s">
        <v>590</v>
      </c>
      <c r="D233" t="s">
        <v>590</v>
      </c>
      <c r="E233" t="s">
        <v>642</v>
      </c>
      <c r="F233" t="s">
        <v>590</v>
      </c>
      <c r="G233" t="s">
        <v>590</v>
      </c>
      <c r="H233" t="s">
        <v>590</v>
      </c>
      <c r="I233" t="s">
        <v>590</v>
      </c>
      <c r="J233" t="s">
        <v>590</v>
      </c>
      <c r="K233" t="s">
        <v>1460</v>
      </c>
      <c r="L233">
        <v>24</v>
      </c>
      <c r="M233" t="s">
        <v>1461</v>
      </c>
      <c r="N233" t="s">
        <v>1461</v>
      </c>
      <c r="O233" t="s">
        <v>881</v>
      </c>
      <c r="P233" t="s">
        <v>592</v>
      </c>
    </row>
    <row r="234" spans="1:16" x14ac:dyDescent="0.35">
      <c r="A234" t="s">
        <v>456</v>
      </c>
      <c r="B234" t="s">
        <v>1462</v>
      </c>
      <c r="C234" t="s">
        <v>613</v>
      </c>
      <c r="D234" t="s">
        <v>654</v>
      </c>
      <c r="E234" t="s">
        <v>590</v>
      </c>
      <c r="F234" t="s">
        <v>1463</v>
      </c>
      <c r="G234" t="s">
        <v>590</v>
      </c>
      <c r="H234" t="s">
        <v>590</v>
      </c>
      <c r="I234" t="s">
        <v>590</v>
      </c>
      <c r="J234" t="s">
        <v>590</v>
      </c>
      <c r="K234" t="s">
        <v>590</v>
      </c>
      <c r="L234">
        <v>24</v>
      </c>
      <c r="M234" t="s">
        <v>940</v>
      </c>
      <c r="N234" t="s">
        <v>940</v>
      </c>
      <c r="O234" t="s">
        <v>726</v>
      </c>
      <c r="P234" t="s">
        <v>1464</v>
      </c>
    </row>
    <row r="235" spans="1:16" x14ac:dyDescent="0.35">
      <c r="A235" t="s">
        <v>457</v>
      </c>
      <c r="B235" t="s">
        <v>1465</v>
      </c>
      <c r="C235" t="s">
        <v>638</v>
      </c>
      <c r="D235" t="s">
        <v>732</v>
      </c>
      <c r="E235" t="s">
        <v>590</v>
      </c>
      <c r="F235" t="s">
        <v>590</v>
      </c>
      <c r="G235" t="s">
        <v>590</v>
      </c>
      <c r="H235" t="s">
        <v>590</v>
      </c>
      <c r="I235" t="s">
        <v>590</v>
      </c>
      <c r="J235" t="s">
        <v>590</v>
      </c>
      <c r="K235" t="s">
        <v>590</v>
      </c>
      <c r="L235">
        <v>24</v>
      </c>
      <c r="M235" t="s">
        <v>592</v>
      </c>
      <c r="N235" t="s">
        <v>592</v>
      </c>
      <c r="O235" t="s">
        <v>888</v>
      </c>
      <c r="P235" t="s">
        <v>1092</v>
      </c>
    </row>
    <row r="236" spans="1:16" x14ac:dyDescent="0.35">
      <c r="A236" t="s">
        <v>458</v>
      </c>
      <c r="B236" t="s">
        <v>1466</v>
      </c>
      <c r="C236" t="s">
        <v>590</v>
      </c>
      <c r="D236" t="s">
        <v>850</v>
      </c>
      <c r="E236" t="s">
        <v>590</v>
      </c>
      <c r="F236" t="s">
        <v>590</v>
      </c>
      <c r="G236" t="s">
        <v>590</v>
      </c>
      <c r="H236" t="s">
        <v>590</v>
      </c>
      <c r="I236" t="s">
        <v>590</v>
      </c>
      <c r="J236" t="s">
        <v>590</v>
      </c>
      <c r="K236" t="s">
        <v>590</v>
      </c>
      <c r="L236">
        <v>24</v>
      </c>
      <c r="M236" t="s">
        <v>592</v>
      </c>
      <c r="N236" t="s">
        <v>592</v>
      </c>
      <c r="O236" t="s">
        <v>592</v>
      </c>
      <c r="P236" t="s">
        <v>1467</v>
      </c>
    </row>
    <row r="237" spans="1:16" x14ac:dyDescent="0.35">
      <c r="A237" t="s">
        <v>459</v>
      </c>
      <c r="B237" t="s">
        <v>1468</v>
      </c>
      <c r="C237" t="s">
        <v>680</v>
      </c>
      <c r="D237" t="s">
        <v>636</v>
      </c>
      <c r="E237" t="s">
        <v>609</v>
      </c>
      <c r="F237" t="s">
        <v>590</v>
      </c>
      <c r="G237" t="s">
        <v>590</v>
      </c>
      <c r="H237" t="s">
        <v>590</v>
      </c>
      <c r="I237" t="s">
        <v>590</v>
      </c>
      <c r="J237" t="s">
        <v>590</v>
      </c>
      <c r="K237" t="s">
        <v>590</v>
      </c>
      <c r="L237">
        <v>24</v>
      </c>
      <c r="M237" t="s">
        <v>592</v>
      </c>
      <c r="N237" t="s">
        <v>592</v>
      </c>
      <c r="O237" t="s">
        <v>1469</v>
      </c>
      <c r="P237" t="s">
        <v>1470</v>
      </c>
    </row>
    <row r="238" spans="1:16" x14ac:dyDescent="0.35">
      <c r="A238" t="s">
        <v>364</v>
      </c>
      <c r="B238" t="s">
        <v>365</v>
      </c>
      <c r="C238" t="s">
        <v>365</v>
      </c>
      <c r="D238" t="s">
        <v>365</v>
      </c>
      <c r="E238" t="s">
        <v>365</v>
      </c>
      <c r="F238" t="s">
        <v>365</v>
      </c>
      <c r="G238" t="s">
        <v>365</v>
      </c>
      <c r="H238" t="s">
        <v>365</v>
      </c>
      <c r="I238" t="s">
        <v>365</v>
      </c>
      <c r="J238" t="s">
        <v>365</v>
      </c>
      <c r="K238" t="s">
        <v>365</v>
      </c>
      <c r="L238" t="s">
        <v>365</v>
      </c>
      <c r="M238" t="s">
        <v>365</v>
      </c>
      <c r="N238" t="s">
        <v>365</v>
      </c>
      <c r="O238" t="s">
        <v>365</v>
      </c>
      <c r="P238" t="s">
        <v>365</v>
      </c>
    </row>
    <row r="239" spans="1:16" x14ac:dyDescent="0.35">
      <c r="A239" t="s">
        <v>460</v>
      </c>
      <c r="B239" t="s">
        <v>1471</v>
      </c>
      <c r="C239" t="s">
        <v>1472</v>
      </c>
      <c r="D239" t="s">
        <v>1473</v>
      </c>
      <c r="E239" t="s">
        <v>701</v>
      </c>
      <c r="F239" t="s">
        <v>1474</v>
      </c>
      <c r="G239" t="s">
        <v>590</v>
      </c>
      <c r="H239" t="s">
        <v>590</v>
      </c>
      <c r="I239" t="s">
        <v>590</v>
      </c>
      <c r="J239" t="s">
        <v>590</v>
      </c>
      <c r="K239" t="s">
        <v>1460</v>
      </c>
      <c r="L239">
        <v>144</v>
      </c>
      <c r="M239" t="s">
        <v>1475</v>
      </c>
      <c r="N239" t="s">
        <v>1475</v>
      </c>
      <c r="O239" t="s">
        <v>769</v>
      </c>
      <c r="P239" t="s">
        <v>1476</v>
      </c>
    </row>
    <row r="241" spans="1:16" x14ac:dyDescent="0.35">
      <c r="A241" t="s">
        <v>461</v>
      </c>
      <c r="B241" t="s">
        <v>590</v>
      </c>
      <c r="C241" t="s">
        <v>590</v>
      </c>
      <c r="D241" t="s">
        <v>590</v>
      </c>
      <c r="E241" t="s">
        <v>591</v>
      </c>
      <c r="F241" t="s">
        <v>590</v>
      </c>
      <c r="G241" t="s">
        <v>590</v>
      </c>
      <c r="H241" t="s">
        <v>590</v>
      </c>
      <c r="I241" t="s">
        <v>590</v>
      </c>
      <c r="J241" t="s">
        <v>590</v>
      </c>
      <c r="K241" t="s">
        <v>590</v>
      </c>
      <c r="L241">
        <v>24</v>
      </c>
      <c r="M241" t="s">
        <v>592</v>
      </c>
      <c r="N241" t="s">
        <v>592</v>
      </c>
      <c r="O241" t="s">
        <v>590</v>
      </c>
      <c r="P241" t="s">
        <v>590</v>
      </c>
    </row>
    <row r="242" spans="1:16" x14ac:dyDescent="0.35">
      <c r="A242" t="s">
        <v>462</v>
      </c>
      <c r="B242" t="s">
        <v>590</v>
      </c>
      <c r="C242" t="s">
        <v>590</v>
      </c>
      <c r="D242" t="s">
        <v>590</v>
      </c>
      <c r="E242" t="s">
        <v>591</v>
      </c>
      <c r="F242" t="s">
        <v>590</v>
      </c>
      <c r="G242" t="s">
        <v>590</v>
      </c>
      <c r="H242" t="s">
        <v>590</v>
      </c>
      <c r="I242" t="s">
        <v>590</v>
      </c>
      <c r="J242" t="s">
        <v>590</v>
      </c>
      <c r="K242" t="s">
        <v>590</v>
      </c>
      <c r="L242">
        <v>24</v>
      </c>
      <c r="M242" t="s">
        <v>592</v>
      </c>
      <c r="N242" t="s">
        <v>592</v>
      </c>
      <c r="O242" t="s">
        <v>590</v>
      </c>
      <c r="P242" t="s">
        <v>590</v>
      </c>
    </row>
    <row r="243" spans="1:16" x14ac:dyDescent="0.35">
      <c r="A243" t="s">
        <v>463</v>
      </c>
      <c r="B243" t="s">
        <v>590</v>
      </c>
      <c r="C243" t="s">
        <v>590</v>
      </c>
      <c r="D243" t="s">
        <v>590</v>
      </c>
      <c r="E243" t="s">
        <v>591</v>
      </c>
      <c r="F243" t="s">
        <v>590</v>
      </c>
      <c r="G243" t="s">
        <v>590</v>
      </c>
      <c r="H243" t="s">
        <v>590</v>
      </c>
      <c r="I243" t="s">
        <v>590</v>
      </c>
      <c r="J243" t="s">
        <v>590</v>
      </c>
      <c r="K243" t="s">
        <v>590</v>
      </c>
      <c r="L243">
        <v>24</v>
      </c>
      <c r="M243" t="s">
        <v>592</v>
      </c>
      <c r="N243" t="s">
        <v>592</v>
      </c>
      <c r="O243" t="s">
        <v>590</v>
      </c>
      <c r="P243" t="s">
        <v>590</v>
      </c>
    </row>
    <row r="244" spans="1:16" x14ac:dyDescent="0.35">
      <c r="A244" t="s">
        <v>364</v>
      </c>
      <c r="B244" t="s">
        <v>365</v>
      </c>
      <c r="C244" t="s">
        <v>365</v>
      </c>
      <c r="D244" t="s">
        <v>365</v>
      </c>
      <c r="E244" t="s">
        <v>365</v>
      </c>
      <c r="F244" t="s">
        <v>365</v>
      </c>
      <c r="G244" t="s">
        <v>365</v>
      </c>
      <c r="H244" t="s">
        <v>365</v>
      </c>
      <c r="I244" t="s">
        <v>365</v>
      </c>
      <c r="J244" t="s">
        <v>365</v>
      </c>
      <c r="K244" t="s">
        <v>365</v>
      </c>
      <c r="L244" t="s">
        <v>365</v>
      </c>
      <c r="M244" t="s">
        <v>365</v>
      </c>
      <c r="N244" t="s">
        <v>365</v>
      </c>
      <c r="O244" t="s">
        <v>365</v>
      </c>
      <c r="P244" t="s">
        <v>365</v>
      </c>
    </row>
    <row r="245" spans="1:16" x14ac:dyDescent="0.35">
      <c r="A245" t="s">
        <v>464</v>
      </c>
      <c r="B245" t="s">
        <v>590</v>
      </c>
      <c r="C245" t="s">
        <v>590</v>
      </c>
      <c r="D245" t="s">
        <v>590</v>
      </c>
      <c r="E245" t="s">
        <v>693</v>
      </c>
      <c r="F245" t="s">
        <v>590</v>
      </c>
      <c r="G245" t="s">
        <v>590</v>
      </c>
      <c r="H245" t="s">
        <v>590</v>
      </c>
      <c r="I245" t="s">
        <v>590</v>
      </c>
      <c r="J245" t="s">
        <v>590</v>
      </c>
      <c r="K245" t="s">
        <v>590</v>
      </c>
      <c r="L245">
        <v>72</v>
      </c>
      <c r="M245" t="s">
        <v>592</v>
      </c>
      <c r="N245" t="s">
        <v>592</v>
      </c>
      <c r="O245" t="s">
        <v>590</v>
      </c>
      <c r="P245" t="s">
        <v>590</v>
      </c>
    </row>
    <row r="247" spans="1:16" x14ac:dyDescent="0.35">
      <c r="A247" t="s">
        <v>465</v>
      </c>
      <c r="B247" t="s">
        <v>1477</v>
      </c>
      <c r="C247" t="s">
        <v>925</v>
      </c>
      <c r="D247" t="s">
        <v>655</v>
      </c>
      <c r="E247" t="s">
        <v>628</v>
      </c>
      <c r="F247" t="s">
        <v>590</v>
      </c>
      <c r="G247" t="s">
        <v>590</v>
      </c>
      <c r="H247" t="s">
        <v>590</v>
      </c>
      <c r="I247" t="s">
        <v>590</v>
      </c>
      <c r="J247" t="s">
        <v>590</v>
      </c>
      <c r="K247" t="s">
        <v>601</v>
      </c>
      <c r="L247">
        <v>24</v>
      </c>
      <c r="M247" t="s">
        <v>1478</v>
      </c>
      <c r="N247" t="s">
        <v>1478</v>
      </c>
      <c r="O247" t="s">
        <v>1479</v>
      </c>
      <c r="P247" t="s">
        <v>1480</v>
      </c>
    </row>
    <row r="248" spans="1:16" x14ac:dyDescent="0.35">
      <c r="A248" t="s">
        <v>466</v>
      </c>
      <c r="B248" t="s">
        <v>1481</v>
      </c>
      <c r="C248" t="s">
        <v>590</v>
      </c>
      <c r="D248" t="s">
        <v>799</v>
      </c>
      <c r="E248" t="s">
        <v>833</v>
      </c>
      <c r="F248" t="s">
        <v>590</v>
      </c>
      <c r="G248" t="s">
        <v>590</v>
      </c>
      <c r="H248" t="s">
        <v>590</v>
      </c>
      <c r="I248" t="s">
        <v>590</v>
      </c>
      <c r="J248" t="s">
        <v>590</v>
      </c>
      <c r="K248" t="s">
        <v>623</v>
      </c>
      <c r="L248">
        <v>24</v>
      </c>
      <c r="M248" t="s">
        <v>1482</v>
      </c>
      <c r="N248" t="s">
        <v>1482</v>
      </c>
      <c r="O248" t="s">
        <v>1483</v>
      </c>
      <c r="P248" t="s">
        <v>1484</v>
      </c>
    </row>
    <row r="249" spans="1:16" x14ac:dyDescent="0.35">
      <c r="A249" t="s">
        <v>364</v>
      </c>
      <c r="B249" t="s">
        <v>365</v>
      </c>
      <c r="C249" t="s">
        <v>365</v>
      </c>
      <c r="D249" t="s">
        <v>365</v>
      </c>
      <c r="E249" t="s">
        <v>365</v>
      </c>
      <c r="F249" t="s">
        <v>365</v>
      </c>
      <c r="G249" t="s">
        <v>365</v>
      </c>
      <c r="H249" t="s">
        <v>365</v>
      </c>
      <c r="I249" t="s">
        <v>365</v>
      </c>
      <c r="J249" t="s">
        <v>365</v>
      </c>
      <c r="K249" t="s">
        <v>365</v>
      </c>
      <c r="L249" t="s">
        <v>365</v>
      </c>
      <c r="M249" t="s">
        <v>365</v>
      </c>
      <c r="N249" t="s">
        <v>365</v>
      </c>
      <c r="O249" t="s">
        <v>365</v>
      </c>
      <c r="P249" t="s">
        <v>365</v>
      </c>
    </row>
    <row r="250" spans="1:16" x14ac:dyDescent="0.35">
      <c r="A250" t="s">
        <v>467</v>
      </c>
      <c r="B250" t="s">
        <v>1485</v>
      </c>
      <c r="C250" t="s">
        <v>925</v>
      </c>
      <c r="D250" t="s">
        <v>893</v>
      </c>
      <c r="E250" t="s">
        <v>1486</v>
      </c>
      <c r="F250" t="s">
        <v>590</v>
      </c>
      <c r="G250" t="s">
        <v>590</v>
      </c>
      <c r="H250" t="s">
        <v>590</v>
      </c>
      <c r="I250" t="s">
        <v>590</v>
      </c>
      <c r="J250" t="s">
        <v>590</v>
      </c>
      <c r="K250" t="s">
        <v>742</v>
      </c>
      <c r="L250">
        <v>48</v>
      </c>
      <c r="M250" t="s">
        <v>762</v>
      </c>
      <c r="N250" t="s">
        <v>762</v>
      </c>
      <c r="O250" t="s">
        <v>1487</v>
      </c>
      <c r="P250" t="s">
        <v>1488</v>
      </c>
    </row>
    <row r="252" spans="1:16" x14ac:dyDescent="0.35">
      <c r="A252" t="s">
        <v>468</v>
      </c>
      <c r="B252" t="s">
        <v>590</v>
      </c>
      <c r="C252" t="s">
        <v>590</v>
      </c>
      <c r="D252" t="s">
        <v>590</v>
      </c>
      <c r="E252" t="s">
        <v>591</v>
      </c>
      <c r="F252" t="s">
        <v>590</v>
      </c>
      <c r="G252" t="s">
        <v>590</v>
      </c>
      <c r="H252" t="s">
        <v>590</v>
      </c>
      <c r="I252" t="s">
        <v>590</v>
      </c>
      <c r="J252" t="s">
        <v>590</v>
      </c>
      <c r="K252" t="s">
        <v>590</v>
      </c>
      <c r="L252">
        <v>24</v>
      </c>
      <c r="M252" t="s">
        <v>592</v>
      </c>
      <c r="N252" t="s">
        <v>592</v>
      </c>
      <c r="O252" t="s">
        <v>590</v>
      </c>
      <c r="P252" t="s">
        <v>590</v>
      </c>
    </row>
    <row r="253" spans="1:16" x14ac:dyDescent="0.35">
      <c r="A253" t="s">
        <v>469</v>
      </c>
      <c r="B253" t="s">
        <v>590</v>
      </c>
      <c r="C253" t="s">
        <v>590</v>
      </c>
      <c r="D253" t="s">
        <v>590</v>
      </c>
      <c r="E253" t="s">
        <v>591</v>
      </c>
      <c r="F253" t="s">
        <v>590</v>
      </c>
      <c r="G253" t="s">
        <v>590</v>
      </c>
      <c r="H253" t="s">
        <v>590</v>
      </c>
      <c r="I253" t="s">
        <v>590</v>
      </c>
      <c r="J253" t="s">
        <v>590</v>
      </c>
      <c r="K253" t="s">
        <v>590</v>
      </c>
      <c r="L253">
        <v>24</v>
      </c>
      <c r="M253" t="s">
        <v>592</v>
      </c>
      <c r="N253" t="s">
        <v>592</v>
      </c>
      <c r="O253" t="s">
        <v>590</v>
      </c>
      <c r="P253" t="s">
        <v>590</v>
      </c>
    </row>
    <row r="254" spans="1:16" x14ac:dyDescent="0.35">
      <c r="A254" t="s">
        <v>470</v>
      </c>
      <c r="B254" t="s">
        <v>590</v>
      </c>
      <c r="C254" t="s">
        <v>590</v>
      </c>
      <c r="D254" t="s">
        <v>590</v>
      </c>
      <c r="E254" t="s">
        <v>591</v>
      </c>
      <c r="F254" t="s">
        <v>590</v>
      </c>
      <c r="G254" t="s">
        <v>590</v>
      </c>
      <c r="H254" t="s">
        <v>590</v>
      </c>
      <c r="I254" t="s">
        <v>590</v>
      </c>
      <c r="J254" t="s">
        <v>590</v>
      </c>
      <c r="K254" t="s">
        <v>590</v>
      </c>
      <c r="L254">
        <v>24</v>
      </c>
      <c r="M254" t="s">
        <v>592</v>
      </c>
      <c r="N254" t="s">
        <v>592</v>
      </c>
      <c r="O254" t="s">
        <v>590</v>
      </c>
      <c r="P254" t="s">
        <v>590</v>
      </c>
    </row>
    <row r="255" spans="1:16" x14ac:dyDescent="0.35">
      <c r="A255" t="s">
        <v>471</v>
      </c>
      <c r="B255" t="s">
        <v>590</v>
      </c>
      <c r="C255" t="s">
        <v>590</v>
      </c>
      <c r="D255" t="s">
        <v>590</v>
      </c>
      <c r="E255" t="s">
        <v>591</v>
      </c>
      <c r="F255" t="s">
        <v>590</v>
      </c>
      <c r="G255" t="s">
        <v>590</v>
      </c>
      <c r="H255" t="s">
        <v>590</v>
      </c>
      <c r="I255" t="s">
        <v>590</v>
      </c>
      <c r="J255" t="s">
        <v>590</v>
      </c>
      <c r="K255" t="s">
        <v>590</v>
      </c>
      <c r="L255">
        <v>24</v>
      </c>
      <c r="M255" t="s">
        <v>592</v>
      </c>
      <c r="N255" t="s">
        <v>592</v>
      </c>
      <c r="O255" t="s">
        <v>590</v>
      </c>
      <c r="P255" t="s">
        <v>590</v>
      </c>
    </row>
    <row r="256" spans="1:16" x14ac:dyDescent="0.35">
      <c r="A256" t="s">
        <v>364</v>
      </c>
      <c r="B256" t="s">
        <v>365</v>
      </c>
      <c r="C256" t="s">
        <v>365</v>
      </c>
      <c r="D256" t="s">
        <v>365</v>
      </c>
      <c r="E256" t="s">
        <v>365</v>
      </c>
      <c r="F256" t="s">
        <v>365</v>
      </c>
      <c r="G256" t="s">
        <v>365</v>
      </c>
      <c r="H256" t="s">
        <v>365</v>
      </c>
      <c r="I256" t="s">
        <v>365</v>
      </c>
      <c r="J256" t="s">
        <v>365</v>
      </c>
      <c r="K256" t="s">
        <v>365</v>
      </c>
      <c r="L256" t="s">
        <v>365</v>
      </c>
      <c r="M256" t="s">
        <v>365</v>
      </c>
      <c r="N256" t="s">
        <v>365</v>
      </c>
      <c r="O256" t="s">
        <v>365</v>
      </c>
      <c r="P256" t="s">
        <v>365</v>
      </c>
    </row>
    <row r="257" spans="1:16" x14ac:dyDescent="0.35">
      <c r="A257" t="s">
        <v>472</v>
      </c>
      <c r="B257" t="s">
        <v>590</v>
      </c>
      <c r="C257" t="s">
        <v>590</v>
      </c>
      <c r="D257" t="s">
        <v>590</v>
      </c>
      <c r="E257" t="s">
        <v>593</v>
      </c>
      <c r="F257" t="s">
        <v>590</v>
      </c>
      <c r="G257" t="s">
        <v>590</v>
      </c>
      <c r="H257" t="s">
        <v>590</v>
      </c>
      <c r="I257" t="s">
        <v>590</v>
      </c>
      <c r="J257" t="s">
        <v>590</v>
      </c>
      <c r="K257" t="s">
        <v>590</v>
      </c>
      <c r="L257">
        <v>96</v>
      </c>
      <c r="M257" t="s">
        <v>592</v>
      </c>
      <c r="N257" t="s">
        <v>592</v>
      </c>
      <c r="O257" t="s">
        <v>590</v>
      </c>
      <c r="P257" t="s">
        <v>590</v>
      </c>
    </row>
    <row r="259" spans="1:16" x14ac:dyDescent="0.35">
      <c r="A259" t="s">
        <v>473</v>
      </c>
      <c r="B259" t="s">
        <v>590</v>
      </c>
      <c r="C259" t="s">
        <v>590</v>
      </c>
      <c r="D259" t="s">
        <v>590</v>
      </c>
      <c r="E259" t="s">
        <v>591</v>
      </c>
      <c r="F259" t="s">
        <v>590</v>
      </c>
      <c r="G259" t="s">
        <v>590</v>
      </c>
      <c r="H259" t="s">
        <v>590</v>
      </c>
      <c r="I259" t="s">
        <v>590</v>
      </c>
      <c r="J259" t="s">
        <v>590</v>
      </c>
      <c r="K259" t="s">
        <v>590</v>
      </c>
      <c r="L259">
        <v>24</v>
      </c>
      <c r="M259" t="s">
        <v>592</v>
      </c>
      <c r="N259" t="s">
        <v>592</v>
      </c>
      <c r="O259" t="s">
        <v>590</v>
      </c>
      <c r="P259" t="s">
        <v>590</v>
      </c>
    </row>
    <row r="260" spans="1:16" x14ac:dyDescent="0.35">
      <c r="A260" t="s">
        <v>565</v>
      </c>
      <c r="B260" t="s">
        <v>1489</v>
      </c>
      <c r="C260" t="s">
        <v>699</v>
      </c>
      <c r="D260" t="s">
        <v>676</v>
      </c>
      <c r="E260" t="s">
        <v>1490</v>
      </c>
      <c r="F260" t="s">
        <v>590</v>
      </c>
      <c r="G260" t="s">
        <v>590</v>
      </c>
      <c r="H260" t="s">
        <v>739</v>
      </c>
      <c r="I260" t="s">
        <v>590</v>
      </c>
      <c r="J260" t="s">
        <v>590</v>
      </c>
      <c r="K260" t="s">
        <v>1325</v>
      </c>
      <c r="L260">
        <v>24</v>
      </c>
      <c r="M260" t="s">
        <v>1491</v>
      </c>
      <c r="N260" t="s">
        <v>1492</v>
      </c>
      <c r="O260" t="s">
        <v>1493</v>
      </c>
      <c r="P260" t="s">
        <v>1494</v>
      </c>
    </row>
    <row r="261" spans="1:16" x14ac:dyDescent="0.35">
      <c r="A261" t="s">
        <v>474</v>
      </c>
      <c r="B261" t="s">
        <v>1495</v>
      </c>
      <c r="C261" t="s">
        <v>1058</v>
      </c>
      <c r="D261" t="s">
        <v>739</v>
      </c>
      <c r="E261" t="s">
        <v>641</v>
      </c>
      <c r="F261" t="s">
        <v>1496</v>
      </c>
      <c r="G261" t="s">
        <v>590</v>
      </c>
      <c r="H261" t="s">
        <v>590</v>
      </c>
      <c r="I261" t="s">
        <v>590</v>
      </c>
      <c r="J261" t="s">
        <v>590</v>
      </c>
      <c r="K261" t="s">
        <v>590</v>
      </c>
      <c r="L261">
        <v>24</v>
      </c>
      <c r="M261" t="s">
        <v>1497</v>
      </c>
      <c r="N261" t="s">
        <v>1497</v>
      </c>
      <c r="O261" t="s">
        <v>1362</v>
      </c>
      <c r="P261" t="s">
        <v>1498</v>
      </c>
    </row>
    <row r="262" spans="1:16" x14ac:dyDescent="0.35">
      <c r="A262" t="s">
        <v>475</v>
      </c>
      <c r="B262" t="s">
        <v>1499</v>
      </c>
      <c r="C262" t="s">
        <v>710</v>
      </c>
      <c r="D262" t="s">
        <v>739</v>
      </c>
      <c r="E262" t="s">
        <v>1500</v>
      </c>
      <c r="F262" t="s">
        <v>1405</v>
      </c>
      <c r="G262" t="s">
        <v>590</v>
      </c>
      <c r="H262" t="s">
        <v>590</v>
      </c>
      <c r="I262" t="s">
        <v>590</v>
      </c>
      <c r="J262" t="s">
        <v>590</v>
      </c>
      <c r="K262" t="s">
        <v>590</v>
      </c>
      <c r="L262">
        <v>24</v>
      </c>
      <c r="M262" t="s">
        <v>1501</v>
      </c>
      <c r="N262" t="s">
        <v>1501</v>
      </c>
      <c r="O262" t="s">
        <v>1502</v>
      </c>
      <c r="P262" t="s">
        <v>1503</v>
      </c>
    </row>
    <row r="263" spans="1:16" x14ac:dyDescent="0.35">
      <c r="A263" t="s">
        <v>476</v>
      </c>
      <c r="B263" t="s">
        <v>1504</v>
      </c>
      <c r="C263" t="s">
        <v>1505</v>
      </c>
      <c r="D263" t="s">
        <v>839</v>
      </c>
      <c r="E263" t="s">
        <v>835</v>
      </c>
      <c r="F263" t="s">
        <v>1506</v>
      </c>
      <c r="G263" t="s">
        <v>590</v>
      </c>
      <c r="H263" t="s">
        <v>590</v>
      </c>
      <c r="I263" t="s">
        <v>590</v>
      </c>
      <c r="J263" t="s">
        <v>590</v>
      </c>
      <c r="K263" t="s">
        <v>590</v>
      </c>
      <c r="L263">
        <v>24</v>
      </c>
      <c r="M263" t="s">
        <v>1507</v>
      </c>
      <c r="N263" t="s">
        <v>1507</v>
      </c>
      <c r="O263" t="s">
        <v>1508</v>
      </c>
      <c r="P263" t="s">
        <v>1509</v>
      </c>
    </row>
    <row r="264" spans="1:16" x14ac:dyDescent="0.35">
      <c r="A264" t="s">
        <v>477</v>
      </c>
      <c r="B264" t="s">
        <v>815</v>
      </c>
      <c r="C264" t="s">
        <v>1134</v>
      </c>
      <c r="D264" t="s">
        <v>676</v>
      </c>
      <c r="E264" t="s">
        <v>748</v>
      </c>
      <c r="F264" t="s">
        <v>619</v>
      </c>
      <c r="G264" t="s">
        <v>590</v>
      </c>
      <c r="H264" t="s">
        <v>590</v>
      </c>
      <c r="I264" t="s">
        <v>590</v>
      </c>
      <c r="J264" t="s">
        <v>597</v>
      </c>
      <c r="K264" t="s">
        <v>590</v>
      </c>
      <c r="L264">
        <v>24</v>
      </c>
      <c r="M264" t="s">
        <v>1510</v>
      </c>
      <c r="N264" t="s">
        <v>1510</v>
      </c>
      <c r="O264" t="s">
        <v>1511</v>
      </c>
      <c r="P264" t="s">
        <v>1512</v>
      </c>
    </row>
    <row r="265" spans="1:16" x14ac:dyDescent="0.35">
      <c r="A265" t="s">
        <v>478</v>
      </c>
      <c r="B265" t="s">
        <v>1513</v>
      </c>
      <c r="C265" t="s">
        <v>654</v>
      </c>
      <c r="D265" t="s">
        <v>1308</v>
      </c>
      <c r="E265" t="s">
        <v>1514</v>
      </c>
      <c r="F265" t="s">
        <v>1515</v>
      </c>
      <c r="G265" t="s">
        <v>590</v>
      </c>
      <c r="H265" t="s">
        <v>590</v>
      </c>
      <c r="I265" t="s">
        <v>590</v>
      </c>
      <c r="J265" t="s">
        <v>590</v>
      </c>
      <c r="K265" t="s">
        <v>590</v>
      </c>
      <c r="L265">
        <v>24</v>
      </c>
      <c r="M265" t="s">
        <v>1516</v>
      </c>
      <c r="N265" t="s">
        <v>1516</v>
      </c>
      <c r="O265" t="s">
        <v>1517</v>
      </c>
      <c r="P265" t="s">
        <v>1518</v>
      </c>
    </row>
    <row r="266" spans="1:16" x14ac:dyDescent="0.35">
      <c r="A266" t="s">
        <v>479</v>
      </c>
      <c r="B266" t="s">
        <v>1519</v>
      </c>
      <c r="C266" t="s">
        <v>809</v>
      </c>
      <c r="D266" t="s">
        <v>601</v>
      </c>
      <c r="E266" t="s">
        <v>719</v>
      </c>
      <c r="F266" t="s">
        <v>590</v>
      </c>
      <c r="G266" t="s">
        <v>590</v>
      </c>
      <c r="H266" t="s">
        <v>680</v>
      </c>
      <c r="I266" t="s">
        <v>590</v>
      </c>
      <c r="J266" t="s">
        <v>590</v>
      </c>
      <c r="K266" t="s">
        <v>590</v>
      </c>
      <c r="L266">
        <v>24</v>
      </c>
      <c r="M266" t="s">
        <v>867</v>
      </c>
      <c r="N266" t="s">
        <v>592</v>
      </c>
      <c r="O266" t="s">
        <v>1520</v>
      </c>
      <c r="P266" t="s">
        <v>996</v>
      </c>
    </row>
    <row r="267" spans="1:16" x14ac:dyDescent="0.35">
      <c r="A267" t="s">
        <v>480</v>
      </c>
      <c r="B267" t="s">
        <v>1521</v>
      </c>
      <c r="C267" t="s">
        <v>781</v>
      </c>
      <c r="D267" t="s">
        <v>637</v>
      </c>
      <c r="E267" t="s">
        <v>601</v>
      </c>
      <c r="F267" t="s">
        <v>757</v>
      </c>
      <c r="G267" t="s">
        <v>590</v>
      </c>
      <c r="H267" t="s">
        <v>590</v>
      </c>
      <c r="I267" t="s">
        <v>590</v>
      </c>
      <c r="J267" t="s">
        <v>590</v>
      </c>
      <c r="K267" t="s">
        <v>590</v>
      </c>
      <c r="L267">
        <v>24</v>
      </c>
      <c r="M267" t="s">
        <v>1518</v>
      </c>
      <c r="N267" t="s">
        <v>1518</v>
      </c>
      <c r="O267" t="s">
        <v>758</v>
      </c>
      <c r="P267" t="s">
        <v>1522</v>
      </c>
    </row>
    <row r="268" spans="1:16" x14ac:dyDescent="0.35">
      <c r="A268" t="s">
        <v>364</v>
      </c>
      <c r="B268" t="s">
        <v>365</v>
      </c>
      <c r="C268" t="s">
        <v>365</v>
      </c>
      <c r="D268" t="s">
        <v>365</v>
      </c>
      <c r="E268" t="s">
        <v>365</v>
      </c>
      <c r="F268" t="s">
        <v>365</v>
      </c>
      <c r="G268" t="s">
        <v>365</v>
      </c>
      <c r="H268" t="s">
        <v>365</v>
      </c>
      <c r="I268" t="s">
        <v>365</v>
      </c>
      <c r="J268" t="s">
        <v>365</v>
      </c>
      <c r="K268" t="s">
        <v>365</v>
      </c>
      <c r="L268" t="s">
        <v>365</v>
      </c>
      <c r="M268" t="s">
        <v>365</v>
      </c>
      <c r="N268" t="s">
        <v>365</v>
      </c>
      <c r="O268" t="s">
        <v>365</v>
      </c>
      <c r="P268" t="s">
        <v>365</v>
      </c>
    </row>
    <row r="269" spans="1:16" x14ac:dyDescent="0.35">
      <c r="A269" t="s">
        <v>481</v>
      </c>
      <c r="B269" t="s">
        <v>1523</v>
      </c>
      <c r="C269" t="s">
        <v>1524</v>
      </c>
      <c r="D269" t="s">
        <v>761</v>
      </c>
      <c r="E269" t="s">
        <v>1525</v>
      </c>
      <c r="F269" t="s">
        <v>1526</v>
      </c>
      <c r="G269" t="s">
        <v>590</v>
      </c>
      <c r="H269" t="s">
        <v>876</v>
      </c>
      <c r="I269" t="s">
        <v>590</v>
      </c>
      <c r="J269" t="s">
        <v>597</v>
      </c>
      <c r="K269" t="s">
        <v>1325</v>
      </c>
      <c r="L269">
        <v>192</v>
      </c>
      <c r="M269" t="s">
        <v>822</v>
      </c>
      <c r="N269" t="s">
        <v>1527</v>
      </c>
      <c r="O269" t="s">
        <v>1528</v>
      </c>
      <c r="P269" t="s">
        <v>1529</v>
      </c>
    </row>
    <row r="271" spans="1:16" x14ac:dyDescent="0.35">
      <c r="A271" t="s">
        <v>482</v>
      </c>
      <c r="B271" t="s">
        <v>868</v>
      </c>
      <c r="C271" t="s">
        <v>1530</v>
      </c>
      <c r="D271" t="s">
        <v>779</v>
      </c>
      <c r="E271" t="s">
        <v>590</v>
      </c>
      <c r="F271" t="s">
        <v>590</v>
      </c>
      <c r="G271" t="s">
        <v>590</v>
      </c>
      <c r="H271" t="s">
        <v>590</v>
      </c>
      <c r="I271" t="s">
        <v>590</v>
      </c>
      <c r="J271" t="s">
        <v>590</v>
      </c>
      <c r="K271" t="s">
        <v>590</v>
      </c>
      <c r="L271">
        <v>24</v>
      </c>
      <c r="M271" t="s">
        <v>592</v>
      </c>
      <c r="N271" t="s">
        <v>592</v>
      </c>
      <c r="O271" t="s">
        <v>1531</v>
      </c>
      <c r="P271" t="s">
        <v>1532</v>
      </c>
    </row>
    <row r="272" spans="1:16" x14ac:dyDescent="0.35">
      <c r="A272" t="s">
        <v>483</v>
      </c>
      <c r="B272" t="s">
        <v>1533</v>
      </c>
      <c r="C272" t="s">
        <v>851</v>
      </c>
      <c r="D272" t="s">
        <v>627</v>
      </c>
      <c r="E272" t="s">
        <v>613</v>
      </c>
      <c r="F272" t="s">
        <v>590</v>
      </c>
      <c r="G272" t="s">
        <v>590</v>
      </c>
      <c r="H272" t="s">
        <v>590</v>
      </c>
      <c r="I272" t="s">
        <v>590</v>
      </c>
      <c r="J272" t="s">
        <v>590</v>
      </c>
      <c r="K272" t="s">
        <v>590</v>
      </c>
      <c r="L272">
        <v>24</v>
      </c>
      <c r="M272" t="s">
        <v>592</v>
      </c>
      <c r="N272" t="s">
        <v>592</v>
      </c>
      <c r="O272" t="s">
        <v>1534</v>
      </c>
      <c r="P272" t="s">
        <v>1535</v>
      </c>
    </row>
    <row r="273" spans="1:16" x14ac:dyDescent="0.35">
      <c r="A273" t="s">
        <v>484</v>
      </c>
      <c r="B273" t="s">
        <v>1536</v>
      </c>
      <c r="C273" t="s">
        <v>968</v>
      </c>
      <c r="D273" t="s">
        <v>1537</v>
      </c>
      <c r="E273" t="s">
        <v>1016</v>
      </c>
      <c r="F273" t="s">
        <v>590</v>
      </c>
      <c r="G273" t="s">
        <v>772</v>
      </c>
      <c r="H273" t="s">
        <v>590</v>
      </c>
      <c r="I273" t="s">
        <v>590</v>
      </c>
      <c r="J273" t="s">
        <v>590</v>
      </c>
      <c r="K273" t="s">
        <v>590</v>
      </c>
      <c r="L273">
        <v>24</v>
      </c>
      <c r="M273" t="s">
        <v>885</v>
      </c>
      <c r="N273" t="s">
        <v>885</v>
      </c>
      <c r="O273" t="s">
        <v>1538</v>
      </c>
      <c r="P273" t="s">
        <v>1539</v>
      </c>
    </row>
    <row r="274" spans="1:16" x14ac:dyDescent="0.35">
      <c r="A274" t="s">
        <v>485</v>
      </c>
      <c r="B274" t="s">
        <v>1540</v>
      </c>
      <c r="C274" t="s">
        <v>798</v>
      </c>
      <c r="D274" t="s">
        <v>604</v>
      </c>
      <c r="E274" t="s">
        <v>590</v>
      </c>
      <c r="F274" t="s">
        <v>590</v>
      </c>
      <c r="G274" t="s">
        <v>590</v>
      </c>
      <c r="H274" t="s">
        <v>590</v>
      </c>
      <c r="I274" t="s">
        <v>590</v>
      </c>
      <c r="J274" t="s">
        <v>590</v>
      </c>
      <c r="K274" t="s">
        <v>590</v>
      </c>
      <c r="L274">
        <v>24</v>
      </c>
      <c r="M274" t="s">
        <v>592</v>
      </c>
      <c r="N274" t="s">
        <v>592</v>
      </c>
      <c r="O274" t="s">
        <v>788</v>
      </c>
      <c r="P274" t="s">
        <v>1541</v>
      </c>
    </row>
    <row r="275" spans="1:16" x14ac:dyDescent="0.35">
      <c r="A275" t="s">
        <v>486</v>
      </c>
      <c r="B275" t="s">
        <v>1542</v>
      </c>
      <c r="C275" t="s">
        <v>942</v>
      </c>
      <c r="D275" t="s">
        <v>770</v>
      </c>
      <c r="E275" t="s">
        <v>722</v>
      </c>
      <c r="F275" t="s">
        <v>590</v>
      </c>
      <c r="G275" t="s">
        <v>590</v>
      </c>
      <c r="H275" t="s">
        <v>590</v>
      </c>
      <c r="I275" t="s">
        <v>590</v>
      </c>
      <c r="J275" t="s">
        <v>590</v>
      </c>
      <c r="K275" t="s">
        <v>590</v>
      </c>
      <c r="L275">
        <v>24</v>
      </c>
      <c r="M275" t="s">
        <v>592</v>
      </c>
      <c r="N275" t="s">
        <v>592</v>
      </c>
      <c r="O275" t="s">
        <v>1543</v>
      </c>
      <c r="P275" t="s">
        <v>1544</v>
      </c>
    </row>
    <row r="276" spans="1:16" x14ac:dyDescent="0.35">
      <c r="A276" t="s">
        <v>487</v>
      </c>
      <c r="B276" t="s">
        <v>873</v>
      </c>
      <c r="C276" t="s">
        <v>821</v>
      </c>
      <c r="D276" t="s">
        <v>703</v>
      </c>
      <c r="E276" t="s">
        <v>590</v>
      </c>
      <c r="F276" t="s">
        <v>590</v>
      </c>
      <c r="G276" t="s">
        <v>590</v>
      </c>
      <c r="H276" t="s">
        <v>590</v>
      </c>
      <c r="I276" t="s">
        <v>590</v>
      </c>
      <c r="J276" t="s">
        <v>590</v>
      </c>
      <c r="K276" t="s">
        <v>590</v>
      </c>
      <c r="L276">
        <v>24</v>
      </c>
      <c r="M276" t="s">
        <v>592</v>
      </c>
      <c r="N276" t="s">
        <v>592</v>
      </c>
      <c r="O276" t="s">
        <v>1545</v>
      </c>
      <c r="P276" t="s">
        <v>1546</v>
      </c>
    </row>
    <row r="277" spans="1:16" x14ac:dyDescent="0.35">
      <c r="A277" t="s">
        <v>364</v>
      </c>
      <c r="B277" t="s">
        <v>365</v>
      </c>
      <c r="C277" t="s">
        <v>365</v>
      </c>
      <c r="D277" t="s">
        <v>365</v>
      </c>
      <c r="E277" t="s">
        <v>365</v>
      </c>
      <c r="F277" t="s">
        <v>365</v>
      </c>
      <c r="G277" t="s">
        <v>365</v>
      </c>
      <c r="H277" t="s">
        <v>365</v>
      </c>
      <c r="I277" t="s">
        <v>365</v>
      </c>
      <c r="J277" t="s">
        <v>365</v>
      </c>
      <c r="K277" t="s">
        <v>365</v>
      </c>
      <c r="L277" t="s">
        <v>365</v>
      </c>
      <c r="M277" t="s">
        <v>365</v>
      </c>
      <c r="N277" t="s">
        <v>365</v>
      </c>
      <c r="O277" t="s">
        <v>365</v>
      </c>
      <c r="P277" t="s">
        <v>365</v>
      </c>
    </row>
    <row r="278" spans="1:16" x14ac:dyDescent="0.35">
      <c r="A278" t="s">
        <v>488</v>
      </c>
      <c r="B278" t="s">
        <v>1547</v>
      </c>
      <c r="C278" t="s">
        <v>910</v>
      </c>
      <c r="D278" t="s">
        <v>1548</v>
      </c>
      <c r="E278" t="s">
        <v>1549</v>
      </c>
      <c r="F278" t="s">
        <v>590</v>
      </c>
      <c r="G278" t="s">
        <v>772</v>
      </c>
      <c r="H278" t="s">
        <v>590</v>
      </c>
      <c r="I278" t="s">
        <v>590</v>
      </c>
      <c r="J278" t="s">
        <v>590</v>
      </c>
      <c r="K278" t="s">
        <v>590</v>
      </c>
      <c r="L278">
        <v>144</v>
      </c>
      <c r="M278" t="s">
        <v>1544</v>
      </c>
      <c r="N278" t="s">
        <v>1544</v>
      </c>
      <c r="O278" t="s">
        <v>1550</v>
      </c>
      <c r="P278" t="s">
        <v>1551</v>
      </c>
    </row>
    <row r="280" spans="1:16" x14ac:dyDescent="0.35">
      <c r="A280" t="s">
        <v>489</v>
      </c>
      <c r="B280" t="s">
        <v>1552</v>
      </c>
      <c r="C280" t="s">
        <v>729</v>
      </c>
      <c r="D280" t="s">
        <v>590</v>
      </c>
      <c r="E280" t="s">
        <v>590</v>
      </c>
      <c r="F280" t="s">
        <v>590</v>
      </c>
      <c r="G280" t="s">
        <v>590</v>
      </c>
      <c r="H280" t="s">
        <v>590</v>
      </c>
      <c r="I280" t="s">
        <v>590</v>
      </c>
      <c r="J280" t="s">
        <v>590</v>
      </c>
      <c r="K280" t="s">
        <v>590</v>
      </c>
      <c r="L280">
        <v>24</v>
      </c>
      <c r="M280" t="s">
        <v>592</v>
      </c>
      <c r="N280" t="s">
        <v>592</v>
      </c>
      <c r="O280" t="s">
        <v>1105</v>
      </c>
      <c r="P280" t="s">
        <v>592</v>
      </c>
    </row>
    <row r="281" spans="1:16" x14ac:dyDescent="0.35">
      <c r="A281" t="s">
        <v>490</v>
      </c>
      <c r="B281" t="s">
        <v>759</v>
      </c>
      <c r="C281" t="s">
        <v>1166</v>
      </c>
      <c r="D281" t="s">
        <v>825</v>
      </c>
      <c r="E281" t="s">
        <v>883</v>
      </c>
      <c r="F281" t="s">
        <v>590</v>
      </c>
      <c r="G281" t="s">
        <v>590</v>
      </c>
      <c r="H281" t="s">
        <v>610</v>
      </c>
      <c r="I281" t="s">
        <v>590</v>
      </c>
      <c r="J281" t="s">
        <v>590</v>
      </c>
      <c r="K281" t="s">
        <v>590</v>
      </c>
      <c r="L281">
        <v>24</v>
      </c>
      <c r="M281" t="s">
        <v>1553</v>
      </c>
      <c r="N281" t="s">
        <v>592</v>
      </c>
      <c r="O281" t="s">
        <v>1554</v>
      </c>
      <c r="P281" t="s">
        <v>1555</v>
      </c>
    </row>
    <row r="282" spans="1:16" x14ac:dyDescent="0.35">
      <c r="A282" t="s">
        <v>491</v>
      </c>
      <c r="B282" t="s">
        <v>590</v>
      </c>
      <c r="C282" t="s">
        <v>590</v>
      </c>
      <c r="D282" t="s">
        <v>590</v>
      </c>
      <c r="E282" t="s">
        <v>590</v>
      </c>
      <c r="F282" t="s">
        <v>590</v>
      </c>
      <c r="G282" t="s">
        <v>590</v>
      </c>
      <c r="H282" t="s">
        <v>590</v>
      </c>
      <c r="I282" t="s">
        <v>590</v>
      </c>
      <c r="J282" t="s">
        <v>590</v>
      </c>
      <c r="K282" t="s">
        <v>591</v>
      </c>
      <c r="L282">
        <v>24</v>
      </c>
      <c r="M282" t="s">
        <v>590</v>
      </c>
      <c r="N282" t="s">
        <v>590</v>
      </c>
      <c r="O282" t="s">
        <v>590</v>
      </c>
      <c r="P282" t="s">
        <v>590</v>
      </c>
    </row>
    <row r="283" spans="1:16" x14ac:dyDescent="0.35">
      <c r="A283" t="s">
        <v>492</v>
      </c>
      <c r="B283" t="s">
        <v>1489</v>
      </c>
      <c r="C283" t="s">
        <v>590</v>
      </c>
      <c r="D283" t="s">
        <v>831</v>
      </c>
      <c r="E283" t="s">
        <v>1556</v>
      </c>
      <c r="F283" t="s">
        <v>590</v>
      </c>
      <c r="G283" t="s">
        <v>590</v>
      </c>
      <c r="H283" t="s">
        <v>590</v>
      </c>
      <c r="I283" t="s">
        <v>590</v>
      </c>
      <c r="J283" t="s">
        <v>590</v>
      </c>
      <c r="K283" t="s">
        <v>590</v>
      </c>
      <c r="L283">
        <v>24</v>
      </c>
      <c r="M283" t="s">
        <v>592</v>
      </c>
      <c r="N283" t="s">
        <v>592</v>
      </c>
      <c r="O283" t="s">
        <v>1557</v>
      </c>
      <c r="P283" t="s">
        <v>1558</v>
      </c>
    </row>
    <row r="284" spans="1:16" x14ac:dyDescent="0.35">
      <c r="A284" t="s">
        <v>493</v>
      </c>
      <c r="B284" t="s">
        <v>590</v>
      </c>
      <c r="C284" t="s">
        <v>590</v>
      </c>
      <c r="D284" t="s">
        <v>590</v>
      </c>
      <c r="E284" t="s">
        <v>590</v>
      </c>
      <c r="F284" t="s">
        <v>590</v>
      </c>
      <c r="G284" t="s">
        <v>590</v>
      </c>
      <c r="H284" t="s">
        <v>590</v>
      </c>
      <c r="I284" t="s">
        <v>590</v>
      </c>
      <c r="J284" t="s">
        <v>590</v>
      </c>
      <c r="K284" t="s">
        <v>591</v>
      </c>
      <c r="L284">
        <v>24</v>
      </c>
      <c r="M284" t="s">
        <v>590</v>
      </c>
      <c r="N284" t="s">
        <v>590</v>
      </c>
      <c r="O284" t="s">
        <v>590</v>
      </c>
      <c r="P284" t="s">
        <v>590</v>
      </c>
    </row>
    <row r="285" spans="1:16" x14ac:dyDescent="0.35">
      <c r="A285" t="s">
        <v>364</v>
      </c>
      <c r="B285" t="s">
        <v>365</v>
      </c>
      <c r="C285" t="s">
        <v>365</v>
      </c>
      <c r="D285" t="s">
        <v>365</v>
      </c>
      <c r="E285" t="s">
        <v>365</v>
      </c>
      <c r="F285" t="s">
        <v>365</v>
      </c>
      <c r="G285" t="s">
        <v>365</v>
      </c>
      <c r="H285" t="s">
        <v>365</v>
      </c>
      <c r="I285" t="s">
        <v>365</v>
      </c>
      <c r="J285" t="s">
        <v>365</v>
      </c>
      <c r="K285" t="s">
        <v>365</v>
      </c>
      <c r="L285" t="s">
        <v>365</v>
      </c>
      <c r="M285" t="s">
        <v>365</v>
      </c>
      <c r="N285" t="s">
        <v>365</v>
      </c>
      <c r="O285" t="s">
        <v>365</v>
      </c>
      <c r="P285" t="s">
        <v>365</v>
      </c>
    </row>
    <row r="286" spans="1:16" x14ac:dyDescent="0.35">
      <c r="A286" t="s">
        <v>494</v>
      </c>
      <c r="B286" t="s">
        <v>1559</v>
      </c>
      <c r="C286" t="s">
        <v>1166</v>
      </c>
      <c r="D286" t="s">
        <v>1560</v>
      </c>
      <c r="E286" t="s">
        <v>1561</v>
      </c>
      <c r="F286" t="s">
        <v>590</v>
      </c>
      <c r="G286" t="s">
        <v>590</v>
      </c>
      <c r="H286" t="s">
        <v>610</v>
      </c>
      <c r="I286" t="s">
        <v>590</v>
      </c>
      <c r="J286" t="s">
        <v>590</v>
      </c>
      <c r="K286" t="s">
        <v>607</v>
      </c>
      <c r="L286">
        <v>96</v>
      </c>
      <c r="M286" t="s">
        <v>1562</v>
      </c>
      <c r="N286" t="s">
        <v>599</v>
      </c>
      <c r="O286" t="s">
        <v>1563</v>
      </c>
      <c r="P286" t="s">
        <v>1564</v>
      </c>
    </row>
    <row r="288" spans="1:16" x14ac:dyDescent="0.35">
      <c r="A288" t="s">
        <v>495</v>
      </c>
      <c r="B288" t="s">
        <v>590</v>
      </c>
      <c r="C288" t="s">
        <v>590</v>
      </c>
      <c r="D288" t="s">
        <v>590</v>
      </c>
      <c r="E288" t="s">
        <v>591</v>
      </c>
      <c r="F288" t="s">
        <v>590</v>
      </c>
      <c r="G288" t="s">
        <v>590</v>
      </c>
      <c r="H288" t="s">
        <v>590</v>
      </c>
      <c r="I288" t="s">
        <v>590</v>
      </c>
      <c r="J288" t="s">
        <v>590</v>
      </c>
      <c r="K288" t="s">
        <v>590</v>
      </c>
      <c r="L288">
        <v>24</v>
      </c>
      <c r="M288" t="s">
        <v>592</v>
      </c>
      <c r="N288" t="s">
        <v>592</v>
      </c>
      <c r="O288" t="s">
        <v>590</v>
      </c>
      <c r="P288" t="s">
        <v>590</v>
      </c>
    </row>
    <row r="289" spans="1:16" x14ac:dyDescent="0.35">
      <c r="A289" t="s">
        <v>496</v>
      </c>
      <c r="B289" t="s">
        <v>590</v>
      </c>
      <c r="C289" t="s">
        <v>590</v>
      </c>
      <c r="D289" t="s">
        <v>590</v>
      </c>
      <c r="E289" t="s">
        <v>591</v>
      </c>
      <c r="F289" t="s">
        <v>590</v>
      </c>
      <c r="G289" t="s">
        <v>590</v>
      </c>
      <c r="H289" t="s">
        <v>590</v>
      </c>
      <c r="I289" t="s">
        <v>590</v>
      </c>
      <c r="J289" t="s">
        <v>590</v>
      </c>
      <c r="K289" t="s">
        <v>590</v>
      </c>
      <c r="L289">
        <v>24</v>
      </c>
      <c r="M289" t="s">
        <v>592</v>
      </c>
      <c r="N289" t="s">
        <v>592</v>
      </c>
      <c r="O289" t="s">
        <v>590</v>
      </c>
      <c r="P289" t="s">
        <v>590</v>
      </c>
    </row>
    <row r="290" spans="1:16" x14ac:dyDescent="0.35">
      <c r="A290" t="s">
        <v>364</v>
      </c>
      <c r="B290" t="s">
        <v>365</v>
      </c>
      <c r="C290" t="s">
        <v>365</v>
      </c>
      <c r="D290" t="s">
        <v>365</v>
      </c>
      <c r="E290" t="s">
        <v>365</v>
      </c>
      <c r="F290" t="s">
        <v>365</v>
      </c>
      <c r="G290" t="s">
        <v>365</v>
      </c>
      <c r="H290" t="s">
        <v>365</v>
      </c>
      <c r="I290" t="s">
        <v>365</v>
      </c>
      <c r="J290" t="s">
        <v>365</v>
      </c>
      <c r="K290" t="s">
        <v>365</v>
      </c>
      <c r="L290" t="s">
        <v>365</v>
      </c>
      <c r="M290" t="s">
        <v>365</v>
      </c>
      <c r="N290" t="s">
        <v>365</v>
      </c>
      <c r="O290" t="s">
        <v>365</v>
      </c>
      <c r="P290" t="s">
        <v>365</v>
      </c>
    </row>
    <row r="291" spans="1:16" x14ac:dyDescent="0.35">
      <c r="A291" t="s">
        <v>497</v>
      </c>
      <c r="B291" t="s">
        <v>590</v>
      </c>
      <c r="C291" t="s">
        <v>590</v>
      </c>
      <c r="D291" t="s">
        <v>590</v>
      </c>
      <c r="E291" t="s">
        <v>607</v>
      </c>
      <c r="F291" t="s">
        <v>590</v>
      </c>
      <c r="G291" t="s">
        <v>590</v>
      </c>
      <c r="H291" t="s">
        <v>590</v>
      </c>
      <c r="I291" t="s">
        <v>590</v>
      </c>
      <c r="J291" t="s">
        <v>590</v>
      </c>
      <c r="K291" t="s">
        <v>590</v>
      </c>
      <c r="L291">
        <v>48</v>
      </c>
      <c r="M291" t="s">
        <v>592</v>
      </c>
      <c r="N291" t="s">
        <v>592</v>
      </c>
      <c r="O291" t="s">
        <v>590</v>
      </c>
      <c r="P291" t="s">
        <v>590</v>
      </c>
    </row>
    <row r="293" spans="1:16" x14ac:dyDescent="0.35">
      <c r="A293" t="s">
        <v>498</v>
      </c>
      <c r="B293" t="s">
        <v>590</v>
      </c>
      <c r="C293" t="s">
        <v>590</v>
      </c>
      <c r="D293" t="s">
        <v>590</v>
      </c>
      <c r="E293" t="s">
        <v>591</v>
      </c>
      <c r="F293" t="s">
        <v>590</v>
      </c>
      <c r="G293" t="s">
        <v>590</v>
      </c>
      <c r="H293" t="s">
        <v>590</v>
      </c>
      <c r="I293" t="s">
        <v>590</v>
      </c>
      <c r="J293" t="s">
        <v>590</v>
      </c>
      <c r="K293" t="s">
        <v>590</v>
      </c>
      <c r="L293">
        <v>24</v>
      </c>
      <c r="M293" t="s">
        <v>592</v>
      </c>
      <c r="N293" t="s">
        <v>592</v>
      </c>
      <c r="O293" t="s">
        <v>590</v>
      </c>
      <c r="P293" t="s">
        <v>590</v>
      </c>
    </row>
    <row r="294" spans="1:16" x14ac:dyDescent="0.35">
      <c r="A294" t="s">
        <v>499</v>
      </c>
      <c r="B294" t="s">
        <v>590</v>
      </c>
      <c r="C294" t="s">
        <v>590</v>
      </c>
      <c r="D294" t="s">
        <v>590</v>
      </c>
      <c r="E294" t="s">
        <v>591</v>
      </c>
      <c r="F294" t="s">
        <v>590</v>
      </c>
      <c r="G294" t="s">
        <v>590</v>
      </c>
      <c r="H294" t="s">
        <v>590</v>
      </c>
      <c r="I294" t="s">
        <v>590</v>
      </c>
      <c r="J294" t="s">
        <v>590</v>
      </c>
      <c r="K294" t="s">
        <v>590</v>
      </c>
      <c r="L294">
        <v>24</v>
      </c>
      <c r="M294" t="s">
        <v>592</v>
      </c>
      <c r="N294" t="s">
        <v>592</v>
      </c>
      <c r="O294" t="s">
        <v>590</v>
      </c>
      <c r="P294" t="s">
        <v>590</v>
      </c>
    </row>
    <row r="295" spans="1:16" x14ac:dyDescent="0.35">
      <c r="A295" t="s">
        <v>500</v>
      </c>
      <c r="B295" t="s">
        <v>590</v>
      </c>
      <c r="C295" t="s">
        <v>590</v>
      </c>
      <c r="D295" t="s">
        <v>590</v>
      </c>
      <c r="E295" t="s">
        <v>591</v>
      </c>
      <c r="F295" t="s">
        <v>590</v>
      </c>
      <c r="G295" t="s">
        <v>590</v>
      </c>
      <c r="H295" t="s">
        <v>590</v>
      </c>
      <c r="I295" t="s">
        <v>590</v>
      </c>
      <c r="J295" t="s">
        <v>590</v>
      </c>
      <c r="K295" t="s">
        <v>590</v>
      </c>
      <c r="L295">
        <v>24</v>
      </c>
      <c r="M295" t="s">
        <v>592</v>
      </c>
      <c r="N295" t="s">
        <v>592</v>
      </c>
      <c r="O295" t="s">
        <v>590</v>
      </c>
      <c r="P295" t="s">
        <v>590</v>
      </c>
    </row>
    <row r="296" spans="1:16" x14ac:dyDescent="0.35">
      <c r="A296" t="s">
        <v>364</v>
      </c>
      <c r="B296" t="s">
        <v>365</v>
      </c>
      <c r="C296" t="s">
        <v>365</v>
      </c>
      <c r="D296" t="s">
        <v>365</v>
      </c>
      <c r="E296" t="s">
        <v>365</v>
      </c>
      <c r="F296" t="s">
        <v>365</v>
      </c>
      <c r="G296" t="s">
        <v>365</v>
      </c>
      <c r="H296" t="s">
        <v>365</v>
      </c>
      <c r="I296" t="s">
        <v>365</v>
      </c>
      <c r="J296" t="s">
        <v>365</v>
      </c>
      <c r="K296" t="s">
        <v>365</v>
      </c>
      <c r="L296" t="s">
        <v>365</v>
      </c>
      <c r="M296" t="s">
        <v>365</v>
      </c>
      <c r="N296" t="s">
        <v>365</v>
      </c>
      <c r="O296" t="s">
        <v>365</v>
      </c>
      <c r="P296" t="s">
        <v>365</v>
      </c>
    </row>
    <row r="297" spans="1:16" x14ac:dyDescent="0.35">
      <c r="A297" t="s">
        <v>501</v>
      </c>
      <c r="B297" t="s">
        <v>590</v>
      </c>
      <c r="C297" t="s">
        <v>590</v>
      </c>
      <c r="D297" t="s">
        <v>590</v>
      </c>
      <c r="E297" t="s">
        <v>693</v>
      </c>
      <c r="F297" t="s">
        <v>590</v>
      </c>
      <c r="G297" t="s">
        <v>590</v>
      </c>
      <c r="H297" t="s">
        <v>590</v>
      </c>
      <c r="I297" t="s">
        <v>590</v>
      </c>
      <c r="J297" t="s">
        <v>590</v>
      </c>
      <c r="K297" t="s">
        <v>590</v>
      </c>
      <c r="L297">
        <v>72</v>
      </c>
      <c r="M297" t="s">
        <v>592</v>
      </c>
      <c r="N297" t="s">
        <v>592</v>
      </c>
      <c r="O297" t="s">
        <v>590</v>
      </c>
      <c r="P297" t="s">
        <v>590</v>
      </c>
    </row>
    <row r="299" spans="1:16" x14ac:dyDescent="0.35">
      <c r="A299" t="s">
        <v>502</v>
      </c>
      <c r="B299" t="s">
        <v>1186</v>
      </c>
      <c r="C299" t="s">
        <v>666</v>
      </c>
      <c r="D299" t="s">
        <v>617</v>
      </c>
      <c r="E299" t="s">
        <v>590</v>
      </c>
      <c r="F299" t="s">
        <v>590</v>
      </c>
      <c r="G299" t="s">
        <v>590</v>
      </c>
      <c r="H299" t="s">
        <v>590</v>
      </c>
      <c r="I299" t="s">
        <v>590</v>
      </c>
      <c r="J299" t="s">
        <v>590</v>
      </c>
      <c r="K299" t="s">
        <v>590</v>
      </c>
      <c r="L299">
        <v>24</v>
      </c>
      <c r="M299" t="s">
        <v>592</v>
      </c>
      <c r="N299" t="s">
        <v>592</v>
      </c>
      <c r="O299" t="s">
        <v>1565</v>
      </c>
      <c r="P299" t="s">
        <v>1566</v>
      </c>
    </row>
    <row r="300" spans="1:16" x14ac:dyDescent="0.35">
      <c r="A300" t="s">
        <v>113</v>
      </c>
      <c r="B300" t="s">
        <v>1174</v>
      </c>
      <c r="C300" t="s">
        <v>1567</v>
      </c>
      <c r="D300" t="s">
        <v>846</v>
      </c>
      <c r="E300" t="s">
        <v>727</v>
      </c>
      <c r="F300" t="s">
        <v>590</v>
      </c>
      <c r="G300" t="s">
        <v>590</v>
      </c>
      <c r="H300" t="s">
        <v>590</v>
      </c>
      <c r="I300" t="s">
        <v>590</v>
      </c>
      <c r="J300" t="s">
        <v>590</v>
      </c>
      <c r="K300" t="s">
        <v>590</v>
      </c>
      <c r="L300">
        <v>24</v>
      </c>
      <c r="M300" t="s">
        <v>592</v>
      </c>
      <c r="N300" t="s">
        <v>592</v>
      </c>
      <c r="O300" t="s">
        <v>1026</v>
      </c>
      <c r="P300" t="s">
        <v>1568</v>
      </c>
    </row>
    <row r="301" spans="1:16" x14ac:dyDescent="0.35">
      <c r="A301" t="s">
        <v>114</v>
      </c>
      <c r="B301" t="s">
        <v>1569</v>
      </c>
      <c r="C301" t="s">
        <v>621</v>
      </c>
      <c r="D301" t="s">
        <v>619</v>
      </c>
      <c r="E301" t="s">
        <v>785</v>
      </c>
      <c r="F301" t="s">
        <v>590</v>
      </c>
      <c r="G301" t="s">
        <v>590</v>
      </c>
      <c r="H301" t="s">
        <v>590</v>
      </c>
      <c r="I301" t="s">
        <v>590</v>
      </c>
      <c r="J301" t="s">
        <v>590</v>
      </c>
      <c r="K301" t="s">
        <v>590</v>
      </c>
      <c r="L301">
        <v>24</v>
      </c>
      <c r="M301" t="s">
        <v>592</v>
      </c>
      <c r="N301" t="s">
        <v>592</v>
      </c>
      <c r="O301" t="s">
        <v>1244</v>
      </c>
      <c r="P301" t="s">
        <v>1570</v>
      </c>
    </row>
    <row r="302" spans="1:16" x14ac:dyDescent="0.35">
      <c r="A302" t="s">
        <v>115</v>
      </c>
      <c r="B302" t="s">
        <v>1571</v>
      </c>
      <c r="C302" t="s">
        <v>1053</v>
      </c>
      <c r="D302" t="s">
        <v>636</v>
      </c>
      <c r="E302" t="s">
        <v>779</v>
      </c>
      <c r="F302" t="s">
        <v>590</v>
      </c>
      <c r="G302" t="s">
        <v>590</v>
      </c>
      <c r="H302" t="s">
        <v>590</v>
      </c>
      <c r="I302" t="s">
        <v>590</v>
      </c>
      <c r="J302" t="s">
        <v>590</v>
      </c>
      <c r="K302" t="s">
        <v>590</v>
      </c>
      <c r="L302">
        <v>24</v>
      </c>
      <c r="M302" t="s">
        <v>592</v>
      </c>
      <c r="N302" t="s">
        <v>592</v>
      </c>
      <c r="O302" t="s">
        <v>1572</v>
      </c>
      <c r="P302" t="s">
        <v>1573</v>
      </c>
    </row>
    <row r="303" spans="1:16" x14ac:dyDescent="0.35">
      <c r="A303" t="s">
        <v>116</v>
      </c>
      <c r="B303" t="s">
        <v>1574</v>
      </c>
      <c r="C303" t="s">
        <v>706</v>
      </c>
      <c r="D303" t="s">
        <v>659</v>
      </c>
      <c r="E303" t="s">
        <v>1023</v>
      </c>
      <c r="F303" t="s">
        <v>590</v>
      </c>
      <c r="G303" t="s">
        <v>590</v>
      </c>
      <c r="H303" t="s">
        <v>590</v>
      </c>
      <c r="I303" t="s">
        <v>590</v>
      </c>
      <c r="J303" t="s">
        <v>590</v>
      </c>
      <c r="K303" t="s">
        <v>1575</v>
      </c>
      <c r="L303">
        <v>24</v>
      </c>
      <c r="M303" t="s">
        <v>878</v>
      </c>
      <c r="N303" t="s">
        <v>1576</v>
      </c>
      <c r="O303" t="s">
        <v>1577</v>
      </c>
      <c r="P303" t="s">
        <v>1578</v>
      </c>
    </row>
    <row r="304" spans="1:16" x14ac:dyDescent="0.35">
      <c r="A304" t="s">
        <v>117</v>
      </c>
      <c r="B304" t="s">
        <v>1579</v>
      </c>
      <c r="C304" t="s">
        <v>870</v>
      </c>
      <c r="D304" t="s">
        <v>666</v>
      </c>
      <c r="E304" t="s">
        <v>1137</v>
      </c>
      <c r="F304" t="s">
        <v>590</v>
      </c>
      <c r="G304" t="s">
        <v>590</v>
      </c>
      <c r="H304" t="s">
        <v>590</v>
      </c>
      <c r="I304" t="s">
        <v>590</v>
      </c>
      <c r="J304" t="s">
        <v>590</v>
      </c>
      <c r="K304" t="s">
        <v>590</v>
      </c>
      <c r="L304">
        <v>24</v>
      </c>
      <c r="M304" t="s">
        <v>592</v>
      </c>
      <c r="N304" t="s">
        <v>592</v>
      </c>
      <c r="O304" t="s">
        <v>1580</v>
      </c>
      <c r="P304" t="s">
        <v>1581</v>
      </c>
    </row>
    <row r="305" spans="1:16" x14ac:dyDescent="0.35">
      <c r="A305" t="s">
        <v>118</v>
      </c>
      <c r="B305" t="s">
        <v>1582</v>
      </c>
      <c r="C305" t="s">
        <v>1583</v>
      </c>
      <c r="D305" t="s">
        <v>670</v>
      </c>
      <c r="E305" t="s">
        <v>1584</v>
      </c>
      <c r="F305" t="s">
        <v>590</v>
      </c>
      <c r="G305" t="s">
        <v>719</v>
      </c>
      <c r="H305" t="s">
        <v>590</v>
      </c>
      <c r="I305" t="s">
        <v>590</v>
      </c>
      <c r="J305" t="s">
        <v>590</v>
      </c>
      <c r="K305" t="s">
        <v>590</v>
      </c>
      <c r="L305">
        <v>24</v>
      </c>
      <c r="M305" t="s">
        <v>768</v>
      </c>
      <c r="N305" t="s">
        <v>768</v>
      </c>
      <c r="O305" t="s">
        <v>1585</v>
      </c>
      <c r="P305" t="s">
        <v>1586</v>
      </c>
    </row>
    <row r="306" spans="1:16" x14ac:dyDescent="0.35">
      <c r="A306" t="s">
        <v>119</v>
      </c>
      <c r="B306" t="s">
        <v>590</v>
      </c>
      <c r="C306" t="s">
        <v>590</v>
      </c>
      <c r="D306" t="s">
        <v>590</v>
      </c>
      <c r="E306" t="s">
        <v>590</v>
      </c>
      <c r="F306" t="s">
        <v>590</v>
      </c>
      <c r="G306" t="s">
        <v>590</v>
      </c>
      <c r="H306" t="s">
        <v>590</v>
      </c>
      <c r="I306" t="s">
        <v>590</v>
      </c>
      <c r="J306" t="s">
        <v>590</v>
      </c>
      <c r="K306" t="s">
        <v>591</v>
      </c>
      <c r="L306">
        <v>24</v>
      </c>
      <c r="M306" t="s">
        <v>590</v>
      </c>
      <c r="N306" t="s">
        <v>590</v>
      </c>
      <c r="O306" t="s">
        <v>590</v>
      </c>
      <c r="P306" t="s">
        <v>590</v>
      </c>
    </row>
    <row r="307" spans="1:16" x14ac:dyDescent="0.35">
      <c r="A307" t="s">
        <v>120</v>
      </c>
      <c r="B307" t="s">
        <v>1587</v>
      </c>
      <c r="C307" t="s">
        <v>798</v>
      </c>
      <c r="D307" t="s">
        <v>645</v>
      </c>
      <c r="E307" t="s">
        <v>1144</v>
      </c>
      <c r="F307" t="s">
        <v>590</v>
      </c>
      <c r="G307" t="s">
        <v>590</v>
      </c>
      <c r="H307" t="s">
        <v>590</v>
      </c>
      <c r="I307" t="s">
        <v>590</v>
      </c>
      <c r="J307" t="s">
        <v>590</v>
      </c>
      <c r="K307" t="s">
        <v>590</v>
      </c>
      <c r="L307">
        <v>24</v>
      </c>
      <c r="M307" t="s">
        <v>592</v>
      </c>
      <c r="N307" t="s">
        <v>592</v>
      </c>
      <c r="O307" t="s">
        <v>1588</v>
      </c>
      <c r="P307" t="s">
        <v>1589</v>
      </c>
    </row>
    <row r="308" spans="1:16" x14ac:dyDescent="0.35">
      <c r="A308" t="s">
        <v>121</v>
      </c>
      <c r="B308" t="s">
        <v>1590</v>
      </c>
      <c r="C308" t="s">
        <v>639</v>
      </c>
      <c r="D308" t="s">
        <v>616</v>
      </c>
      <c r="E308" t="s">
        <v>846</v>
      </c>
      <c r="F308" t="s">
        <v>590</v>
      </c>
      <c r="G308" t="s">
        <v>590</v>
      </c>
      <c r="H308" t="s">
        <v>590</v>
      </c>
      <c r="I308" t="s">
        <v>590</v>
      </c>
      <c r="J308" t="s">
        <v>590</v>
      </c>
      <c r="K308" t="s">
        <v>590</v>
      </c>
      <c r="L308">
        <v>24</v>
      </c>
      <c r="M308" t="s">
        <v>592</v>
      </c>
      <c r="N308" t="s">
        <v>592</v>
      </c>
      <c r="O308" t="s">
        <v>843</v>
      </c>
      <c r="P308" t="s">
        <v>1591</v>
      </c>
    </row>
    <row r="309" spans="1:16" x14ac:dyDescent="0.35">
      <c r="A309" t="s">
        <v>122</v>
      </c>
      <c r="B309" t="s">
        <v>1592</v>
      </c>
      <c r="C309" t="s">
        <v>1593</v>
      </c>
      <c r="D309" t="s">
        <v>755</v>
      </c>
      <c r="E309" t="s">
        <v>667</v>
      </c>
      <c r="F309" t="s">
        <v>1594</v>
      </c>
      <c r="G309" t="s">
        <v>590</v>
      </c>
      <c r="H309" t="s">
        <v>590</v>
      </c>
      <c r="I309" t="s">
        <v>590</v>
      </c>
      <c r="J309" t="s">
        <v>590</v>
      </c>
      <c r="K309" t="s">
        <v>590</v>
      </c>
      <c r="L309">
        <v>24</v>
      </c>
      <c r="M309" t="s">
        <v>1595</v>
      </c>
      <c r="N309" t="s">
        <v>1595</v>
      </c>
      <c r="O309" t="s">
        <v>832</v>
      </c>
      <c r="P309" t="s">
        <v>1596</v>
      </c>
    </row>
    <row r="310" spans="1:16" x14ac:dyDescent="0.35">
      <c r="A310" t="s">
        <v>123</v>
      </c>
      <c r="B310" t="s">
        <v>1597</v>
      </c>
      <c r="C310" t="s">
        <v>1285</v>
      </c>
      <c r="D310" t="s">
        <v>615</v>
      </c>
      <c r="E310" t="s">
        <v>767</v>
      </c>
      <c r="F310" t="s">
        <v>590</v>
      </c>
      <c r="G310" t="s">
        <v>590</v>
      </c>
      <c r="H310" t="s">
        <v>590</v>
      </c>
      <c r="I310" t="s">
        <v>590</v>
      </c>
      <c r="J310" t="s">
        <v>590</v>
      </c>
      <c r="K310" t="s">
        <v>590</v>
      </c>
      <c r="L310">
        <v>24</v>
      </c>
      <c r="M310" t="s">
        <v>592</v>
      </c>
      <c r="N310" t="s">
        <v>592</v>
      </c>
      <c r="O310" t="s">
        <v>1598</v>
      </c>
      <c r="P310" t="s">
        <v>1000</v>
      </c>
    </row>
    <row r="311" spans="1:16" x14ac:dyDescent="0.35">
      <c r="A311" t="s">
        <v>124</v>
      </c>
      <c r="B311" t="s">
        <v>1599</v>
      </c>
      <c r="C311" t="s">
        <v>1583</v>
      </c>
      <c r="D311" t="s">
        <v>605</v>
      </c>
      <c r="E311" t="s">
        <v>660</v>
      </c>
      <c r="F311" t="s">
        <v>590</v>
      </c>
      <c r="G311" t="s">
        <v>590</v>
      </c>
      <c r="H311" t="s">
        <v>590</v>
      </c>
      <c r="I311" t="s">
        <v>590</v>
      </c>
      <c r="J311" t="s">
        <v>590</v>
      </c>
      <c r="K311" t="s">
        <v>590</v>
      </c>
      <c r="L311">
        <v>24</v>
      </c>
      <c r="M311" t="s">
        <v>592</v>
      </c>
      <c r="N311" t="s">
        <v>592</v>
      </c>
      <c r="O311" t="s">
        <v>1600</v>
      </c>
      <c r="P311" t="s">
        <v>879</v>
      </c>
    </row>
    <row r="312" spans="1:16" x14ac:dyDescent="0.35">
      <c r="A312" t="s">
        <v>125</v>
      </c>
      <c r="B312" t="s">
        <v>1601</v>
      </c>
      <c r="C312" t="s">
        <v>1285</v>
      </c>
      <c r="D312" t="s">
        <v>652</v>
      </c>
      <c r="E312" t="s">
        <v>1063</v>
      </c>
      <c r="F312" t="s">
        <v>590</v>
      </c>
      <c r="G312" t="s">
        <v>590</v>
      </c>
      <c r="H312" t="s">
        <v>590</v>
      </c>
      <c r="I312" t="s">
        <v>590</v>
      </c>
      <c r="J312" t="s">
        <v>590</v>
      </c>
      <c r="K312" t="s">
        <v>590</v>
      </c>
      <c r="L312">
        <v>24</v>
      </c>
      <c r="M312" t="s">
        <v>592</v>
      </c>
      <c r="N312" t="s">
        <v>592</v>
      </c>
      <c r="O312" t="s">
        <v>738</v>
      </c>
      <c r="P312" t="s">
        <v>1602</v>
      </c>
    </row>
    <row r="313" spans="1:16" x14ac:dyDescent="0.35">
      <c r="A313" t="s">
        <v>126</v>
      </c>
      <c r="B313" t="s">
        <v>1603</v>
      </c>
      <c r="C313" t="s">
        <v>841</v>
      </c>
      <c r="D313" t="s">
        <v>707</v>
      </c>
      <c r="E313" t="s">
        <v>773</v>
      </c>
      <c r="F313" t="s">
        <v>590</v>
      </c>
      <c r="G313" t="s">
        <v>590</v>
      </c>
      <c r="H313" t="s">
        <v>590</v>
      </c>
      <c r="I313" t="s">
        <v>590</v>
      </c>
      <c r="J313" t="s">
        <v>590</v>
      </c>
      <c r="K313" t="s">
        <v>790</v>
      </c>
      <c r="L313">
        <v>24</v>
      </c>
      <c r="M313" t="s">
        <v>1321</v>
      </c>
      <c r="N313" t="s">
        <v>1321</v>
      </c>
      <c r="O313" t="s">
        <v>1604</v>
      </c>
      <c r="P313" t="s">
        <v>1605</v>
      </c>
    </row>
    <row r="314" spans="1:16" x14ac:dyDescent="0.35">
      <c r="A314" t="s">
        <v>127</v>
      </c>
      <c r="B314" t="s">
        <v>1606</v>
      </c>
      <c r="C314" t="s">
        <v>1134</v>
      </c>
      <c r="D314" t="s">
        <v>687</v>
      </c>
      <c r="E314" t="s">
        <v>660</v>
      </c>
      <c r="F314" t="s">
        <v>590</v>
      </c>
      <c r="G314" t="s">
        <v>590</v>
      </c>
      <c r="H314" t="s">
        <v>590</v>
      </c>
      <c r="I314" t="s">
        <v>590</v>
      </c>
      <c r="J314" t="s">
        <v>590</v>
      </c>
      <c r="K314" t="s">
        <v>590</v>
      </c>
      <c r="L314">
        <v>24</v>
      </c>
      <c r="M314" t="s">
        <v>592</v>
      </c>
      <c r="N314" t="s">
        <v>592</v>
      </c>
      <c r="O314" t="s">
        <v>752</v>
      </c>
      <c r="P314" t="s">
        <v>1607</v>
      </c>
    </row>
    <row r="315" spans="1:16" x14ac:dyDescent="0.35">
      <c r="A315" t="s">
        <v>128</v>
      </c>
      <c r="B315" t="s">
        <v>1350</v>
      </c>
      <c r="C315" t="s">
        <v>1171</v>
      </c>
      <c r="D315" t="s">
        <v>860</v>
      </c>
      <c r="E315" t="s">
        <v>853</v>
      </c>
      <c r="F315" t="s">
        <v>590</v>
      </c>
      <c r="G315" t="s">
        <v>590</v>
      </c>
      <c r="H315" t="s">
        <v>590</v>
      </c>
      <c r="I315" t="s">
        <v>590</v>
      </c>
      <c r="J315" t="s">
        <v>590</v>
      </c>
      <c r="K315" t="s">
        <v>714</v>
      </c>
      <c r="L315">
        <v>24</v>
      </c>
      <c r="M315" t="s">
        <v>1608</v>
      </c>
      <c r="N315" t="s">
        <v>1608</v>
      </c>
      <c r="O315" t="s">
        <v>1609</v>
      </c>
      <c r="P315" t="s">
        <v>1610</v>
      </c>
    </row>
    <row r="316" spans="1:16" x14ac:dyDescent="0.35">
      <c r="A316" t="s">
        <v>364</v>
      </c>
      <c r="B316" t="s">
        <v>365</v>
      </c>
      <c r="C316" t="s">
        <v>365</v>
      </c>
      <c r="D316" t="s">
        <v>365</v>
      </c>
      <c r="E316" t="s">
        <v>365</v>
      </c>
      <c r="F316" t="s">
        <v>365</v>
      </c>
      <c r="G316" t="s">
        <v>365</v>
      </c>
      <c r="H316" t="s">
        <v>365</v>
      </c>
      <c r="I316" t="s">
        <v>365</v>
      </c>
      <c r="J316" t="s">
        <v>365</v>
      </c>
      <c r="K316" t="s">
        <v>365</v>
      </c>
      <c r="L316" t="s">
        <v>365</v>
      </c>
      <c r="M316" t="s">
        <v>365</v>
      </c>
      <c r="N316" t="s">
        <v>365</v>
      </c>
      <c r="O316" t="s">
        <v>365</v>
      </c>
      <c r="P316" t="s">
        <v>365</v>
      </c>
    </row>
    <row r="317" spans="1:16" x14ac:dyDescent="0.35">
      <c r="A317" t="s">
        <v>503</v>
      </c>
      <c r="B317" t="s">
        <v>1611</v>
      </c>
      <c r="C317" t="s">
        <v>1612</v>
      </c>
      <c r="D317" t="s">
        <v>1613</v>
      </c>
      <c r="E317" t="s">
        <v>1614</v>
      </c>
      <c r="F317" t="s">
        <v>1594</v>
      </c>
      <c r="G317" t="s">
        <v>719</v>
      </c>
      <c r="H317" t="s">
        <v>590</v>
      </c>
      <c r="I317" t="s">
        <v>590</v>
      </c>
      <c r="J317" t="s">
        <v>590</v>
      </c>
      <c r="K317" t="s">
        <v>1615</v>
      </c>
      <c r="L317">
        <v>384</v>
      </c>
      <c r="M317" t="s">
        <v>1616</v>
      </c>
      <c r="N317" t="s">
        <v>1616</v>
      </c>
      <c r="O317" t="s">
        <v>1617</v>
      </c>
      <c r="P317" t="s">
        <v>1293</v>
      </c>
    </row>
    <row r="319" spans="1:16" x14ac:dyDescent="0.35">
      <c r="A319" t="s">
        <v>504</v>
      </c>
      <c r="B319" t="s">
        <v>1618</v>
      </c>
      <c r="C319" t="s">
        <v>590</v>
      </c>
      <c r="D319" t="s">
        <v>590</v>
      </c>
      <c r="E319" t="s">
        <v>1619</v>
      </c>
      <c r="F319" t="s">
        <v>590</v>
      </c>
      <c r="G319" t="s">
        <v>590</v>
      </c>
      <c r="H319" t="s">
        <v>590</v>
      </c>
      <c r="I319" t="s">
        <v>590</v>
      </c>
      <c r="J319" t="s">
        <v>590</v>
      </c>
      <c r="K319" t="s">
        <v>590</v>
      </c>
      <c r="L319">
        <v>24</v>
      </c>
      <c r="M319" t="s">
        <v>592</v>
      </c>
      <c r="N319" t="s">
        <v>592</v>
      </c>
      <c r="O319" t="s">
        <v>1620</v>
      </c>
      <c r="P319" t="s">
        <v>592</v>
      </c>
    </row>
    <row r="320" spans="1:16" x14ac:dyDescent="0.35">
      <c r="A320" t="s">
        <v>505</v>
      </c>
      <c r="B320" t="s">
        <v>590</v>
      </c>
      <c r="C320" t="s">
        <v>590</v>
      </c>
      <c r="D320" t="s">
        <v>590</v>
      </c>
      <c r="E320" t="s">
        <v>944</v>
      </c>
      <c r="F320" t="s">
        <v>695</v>
      </c>
      <c r="G320" t="s">
        <v>590</v>
      </c>
      <c r="H320" t="s">
        <v>590</v>
      </c>
      <c r="I320" t="s">
        <v>590</v>
      </c>
      <c r="J320" t="s">
        <v>590</v>
      </c>
      <c r="K320" t="s">
        <v>1621</v>
      </c>
      <c r="L320">
        <v>24</v>
      </c>
      <c r="M320" t="s">
        <v>599</v>
      </c>
      <c r="N320" t="s">
        <v>599</v>
      </c>
      <c r="O320" t="s">
        <v>590</v>
      </c>
      <c r="P320" t="s">
        <v>590</v>
      </c>
    </row>
    <row r="321" spans="1:16" x14ac:dyDescent="0.35">
      <c r="A321" t="s">
        <v>364</v>
      </c>
      <c r="B321" t="s">
        <v>365</v>
      </c>
      <c r="C321" t="s">
        <v>365</v>
      </c>
      <c r="D321" t="s">
        <v>365</v>
      </c>
      <c r="E321" t="s">
        <v>365</v>
      </c>
      <c r="F321" t="s">
        <v>365</v>
      </c>
      <c r="G321" t="s">
        <v>365</v>
      </c>
      <c r="H321" t="s">
        <v>365</v>
      </c>
      <c r="I321" t="s">
        <v>365</v>
      </c>
      <c r="J321" t="s">
        <v>365</v>
      </c>
      <c r="K321" t="s">
        <v>365</v>
      </c>
      <c r="L321" t="s">
        <v>365</v>
      </c>
      <c r="M321" t="s">
        <v>365</v>
      </c>
      <c r="N321" t="s">
        <v>365</v>
      </c>
      <c r="O321" t="s">
        <v>365</v>
      </c>
      <c r="P321" t="s">
        <v>365</v>
      </c>
    </row>
    <row r="322" spans="1:16" x14ac:dyDescent="0.35">
      <c r="A322" t="s">
        <v>506</v>
      </c>
      <c r="B322" t="s">
        <v>1618</v>
      </c>
      <c r="C322" t="s">
        <v>590</v>
      </c>
      <c r="D322" t="s">
        <v>590</v>
      </c>
      <c r="E322" t="s">
        <v>1622</v>
      </c>
      <c r="F322" t="s">
        <v>695</v>
      </c>
      <c r="G322" t="s">
        <v>590</v>
      </c>
      <c r="H322" t="s">
        <v>590</v>
      </c>
      <c r="I322" t="s">
        <v>590</v>
      </c>
      <c r="J322" t="s">
        <v>590</v>
      </c>
      <c r="K322" t="s">
        <v>1621</v>
      </c>
      <c r="L322">
        <v>48</v>
      </c>
      <c r="M322" t="s">
        <v>754</v>
      </c>
      <c r="N322" t="s">
        <v>754</v>
      </c>
      <c r="O322" t="s">
        <v>1623</v>
      </c>
      <c r="P322" t="s">
        <v>592</v>
      </c>
    </row>
    <row r="324" spans="1:16" x14ac:dyDescent="0.35">
      <c r="A324" t="s">
        <v>271</v>
      </c>
      <c r="B324" t="s">
        <v>590</v>
      </c>
      <c r="C324" t="s">
        <v>590</v>
      </c>
      <c r="D324" t="s">
        <v>590</v>
      </c>
      <c r="E324" t="s">
        <v>591</v>
      </c>
      <c r="F324" t="s">
        <v>590</v>
      </c>
      <c r="G324" t="s">
        <v>590</v>
      </c>
      <c r="H324" t="s">
        <v>590</v>
      </c>
      <c r="I324" t="s">
        <v>590</v>
      </c>
      <c r="J324" t="s">
        <v>590</v>
      </c>
      <c r="K324" t="s">
        <v>590</v>
      </c>
      <c r="L324">
        <v>24</v>
      </c>
      <c r="M324" t="s">
        <v>592</v>
      </c>
      <c r="N324" t="s">
        <v>592</v>
      </c>
      <c r="O324" t="s">
        <v>590</v>
      </c>
      <c r="P324" t="s">
        <v>590</v>
      </c>
    </row>
    <row r="325" spans="1:16" x14ac:dyDescent="0.35">
      <c r="A325" t="s">
        <v>274</v>
      </c>
      <c r="B325" t="s">
        <v>590</v>
      </c>
      <c r="C325" t="s">
        <v>590</v>
      </c>
      <c r="D325" t="s">
        <v>590</v>
      </c>
      <c r="E325" t="s">
        <v>591</v>
      </c>
      <c r="F325" t="s">
        <v>590</v>
      </c>
      <c r="G325" t="s">
        <v>590</v>
      </c>
      <c r="H325" t="s">
        <v>590</v>
      </c>
      <c r="I325" t="s">
        <v>590</v>
      </c>
      <c r="J325" t="s">
        <v>590</v>
      </c>
      <c r="K325" t="s">
        <v>590</v>
      </c>
      <c r="L325">
        <v>24</v>
      </c>
      <c r="M325" t="s">
        <v>592</v>
      </c>
      <c r="N325" t="s">
        <v>592</v>
      </c>
      <c r="O325" t="s">
        <v>590</v>
      </c>
      <c r="P325" t="s">
        <v>590</v>
      </c>
    </row>
    <row r="326" spans="1:16" x14ac:dyDescent="0.35">
      <c r="A326" t="s">
        <v>272</v>
      </c>
      <c r="B326" t="s">
        <v>591</v>
      </c>
      <c r="C326" t="s">
        <v>590</v>
      </c>
      <c r="D326" t="s">
        <v>590</v>
      </c>
      <c r="E326" t="s">
        <v>590</v>
      </c>
      <c r="F326" t="s">
        <v>590</v>
      </c>
      <c r="G326" t="s">
        <v>590</v>
      </c>
      <c r="H326" t="s">
        <v>590</v>
      </c>
      <c r="I326" t="s">
        <v>590</v>
      </c>
      <c r="J326" t="s">
        <v>590</v>
      </c>
      <c r="K326" t="s">
        <v>590</v>
      </c>
      <c r="L326">
        <v>24</v>
      </c>
      <c r="M326" t="s">
        <v>592</v>
      </c>
      <c r="N326" t="s">
        <v>592</v>
      </c>
      <c r="O326" t="s">
        <v>592</v>
      </c>
      <c r="P326" t="s">
        <v>592</v>
      </c>
    </row>
    <row r="327" spans="1:16" x14ac:dyDescent="0.35">
      <c r="A327" t="s">
        <v>364</v>
      </c>
      <c r="B327" t="s">
        <v>365</v>
      </c>
      <c r="C327" t="s">
        <v>365</v>
      </c>
      <c r="D327" t="s">
        <v>365</v>
      </c>
      <c r="E327" t="s">
        <v>365</v>
      </c>
      <c r="F327" t="s">
        <v>365</v>
      </c>
      <c r="G327" t="s">
        <v>365</v>
      </c>
      <c r="H327" t="s">
        <v>365</v>
      </c>
      <c r="I327" t="s">
        <v>365</v>
      </c>
      <c r="J327" t="s">
        <v>365</v>
      </c>
      <c r="K327" t="s">
        <v>365</v>
      </c>
      <c r="L327" t="s">
        <v>365</v>
      </c>
      <c r="M327" t="s">
        <v>365</v>
      </c>
      <c r="N327" t="s">
        <v>365</v>
      </c>
      <c r="O327" t="s">
        <v>365</v>
      </c>
      <c r="P327" t="s">
        <v>365</v>
      </c>
    </row>
    <row r="328" spans="1:16" x14ac:dyDescent="0.35">
      <c r="A328" t="s">
        <v>507</v>
      </c>
      <c r="B328" t="s">
        <v>591</v>
      </c>
      <c r="C328" t="s">
        <v>590</v>
      </c>
      <c r="D328" t="s">
        <v>590</v>
      </c>
      <c r="E328" t="s">
        <v>607</v>
      </c>
      <c r="F328" t="s">
        <v>590</v>
      </c>
      <c r="G328" t="s">
        <v>590</v>
      </c>
      <c r="H328" t="s">
        <v>590</v>
      </c>
      <c r="I328" t="s">
        <v>590</v>
      </c>
      <c r="J328" t="s">
        <v>590</v>
      </c>
      <c r="K328" t="s">
        <v>590</v>
      </c>
      <c r="L328">
        <v>72</v>
      </c>
      <c r="M328" t="s">
        <v>592</v>
      </c>
      <c r="N328" t="s">
        <v>592</v>
      </c>
      <c r="O328" t="s">
        <v>889</v>
      </c>
      <c r="P328" t="s">
        <v>592</v>
      </c>
    </row>
    <row r="330" spans="1:16" x14ac:dyDescent="0.35">
      <c r="A330" t="s">
        <v>508</v>
      </c>
      <c r="B330" t="s">
        <v>1624</v>
      </c>
      <c r="C330" t="s">
        <v>590</v>
      </c>
      <c r="D330" t="s">
        <v>590</v>
      </c>
      <c r="E330" t="s">
        <v>731</v>
      </c>
      <c r="F330" t="s">
        <v>590</v>
      </c>
      <c r="G330" t="s">
        <v>590</v>
      </c>
      <c r="H330" t="s">
        <v>590</v>
      </c>
      <c r="I330" t="s">
        <v>590</v>
      </c>
      <c r="J330" t="s">
        <v>590</v>
      </c>
      <c r="K330" t="s">
        <v>1625</v>
      </c>
      <c r="L330">
        <v>24</v>
      </c>
      <c r="M330" t="s">
        <v>1626</v>
      </c>
      <c r="N330" t="s">
        <v>1626</v>
      </c>
      <c r="O330" t="s">
        <v>854</v>
      </c>
      <c r="P330" t="s">
        <v>592</v>
      </c>
    </row>
    <row r="331" spans="1:16" x14ac:dyDescent="0.35">
      <c r="A331" t="s">
        <v>509</v>
      </c>
      <c r="B331" t="s">
        <v>591</v>
      </c>
      <c r="C331" t="s">
        <v>590</v>
      </c>
      <c r="D331" t="s">
        <v>590</v>
      </c>
      <c r="E331" t="s">
        <v>590</v>
      </c>
      <c r="F331" t="s">
        <v>590</v>
      </c>
      <c r="G331" t="s">
        <v>590</v>
      </c>
      <c r="H331" t="s">
        <v>590</v>
      </c>
      <c r="I331" t="s">
        <v>590</v>
      </c>
      <c r="J331" t="s">
        <v>590</v>
      </c>
      <c r="K331" t="s">
        <v>590</v>
      </c>
      <c r="L331">
        <v>24</v>
      </c>
      <c r="M331" t="s">
        <v>592</v>
      </c>
      <c r="N331" t="s">
        <v>592</v>
      </c>
      <c r="O331" t="s">
        <v>592</v>
      </c>
      <c r="P331" t="s">
        <v>592</v>
      </c>
    </row>
    <row r="332" spans="1:16" x14ac:dyDescent="0.35">
      <c r="A332" t="s">
        <v>510</v>
      </c>
      <c r="B332" t="s">
        <v>590</v>
      </c>
      <c r="C332" t="s">
        <v>590</v>
      </c>
      <c r="D332" t="s">
        <v>590</v>
      </c>
      <c r="E332" t="s">
        <v>591</v>
      </c>
      <c r="F332" t="s">
        <v>590</v>
      </c>
      <c r="G332" t="s">
        <v>590</v>
      </c>
      <c r="H332" t="s">
        <v>590</v>
      </c>
      <c r="I332" t="s">
        <v>590</v>
      </c>
      <c r="J332" t="s">
        <v>590</v>
      </c>
      <c r="K332" t="s">
        <v>590</v>
      </c>
      <c r="L332">
        <v>24</v>
      </c>
      <c r="M332" t="s">
        <v>592</v>
      </c>
      <c r="N332" t="s">
        <v>592</v>
      </c>
      <c r="O332" t="s">
        <v>590</v>
      </c>
      <c r="P332" t="s">
        <v>590</v>
      </c>
    </row>
    <row r="333" spans="1:16" x14ac:dyDescent="0.35">
      <c r="A333" t="s">
        <v>511</v>
      </c>
      <c r="B333" t="s">
        <v>591</v>
      </c>
      <c r="C333" t="s">
        <v>590</v>
      </c>
      <c r="D333" t="s">
        <v>590</v>
      </c>
      <c r="E333" t="s">
        <v>590</v>
      </c>
      <c r="F333" t="s">
        <v>590</v>
      </c>
      <c r="G333" t="s">
        <v>590</v>
      </c>
      <c r="H333" t="s">
        <v>590</v>
      </c>
      <c r="I333" t="s">
        <v>590</v>
      </c>
      <c r="J333" t="s">
        <v>590</v>
      </c>
      <c r="K333" t="s">
        <v>590</v>
      </c>
      <c r="L333">
        <v>24</v>
      </c>
      <c r="M333" t="s">
        <v>592</v>
      </c>
      <c r="N333" t="s">
        <v>592</v>
      </c>
      <c r="O333" t="s">
        <v>592</v>
      </c>
      <c r="P333" t="s">
        <v>592</v>
      </c>
    </row>
    <row r="334" spans="1:16" x14ac:dyDescent="0.35">
      <c r="A334" t="s">
        <v>512</v>
      </c>
      <c r="B334" t="s">
        <v>875</v>
      </c>
      <c r="C334" t="s">
        <v>1627</v>
      </c>
      <c r="D334" t="s">
        <v>590</v>
      </c>
      <c r="E334" t="s">
        <v>590</v>
      </c>
      <c r="F334" t="s">
        <v>590</v>
      </c>
      <c r="G334" t="s">
        <v>590</v>
      </c>
      <c r="H334" t="s">
        <v>590</v>
      </c>
      <c r="I334" t="s">
        <v>590</v>
      </c>
      <c r="J334" t="s">
        <v>590</v>
      </c>
      <c r="K334" t="s">
        <v>590</v>
      </c>
      <c r="L334">
        <v>24</v>
      </c>
      <c r="M334" t="s">
        <v>592</v>
      </c>
      <c r="N334" t="s">
        <v>592</v>
      </c>
      <c r="O334" t="s">
        <v>1628</v>
      </c>
      <c r="P334" t="s">
        <v>592</v>
      </c>
    </row>
    <row r="335" spans="1:16" x14ac:dyDescent="0.35">
      <c r="A335" t="s">
        <v>513</v>
      </c>
      <c r="B335" t="s">
        <v>1629</v>
      </c>
      <c r="C335" t="s">
        <v>730</v>
      </c>
      <c r="D335" t="s">
        <v>590</v>
      </c>
      <c r="E335" t="s">
        <v>590</v>
      </c>
      <c r="F335" t="s">
        <v>590</v>
      </c>
      <c r="G335" t="s">
        <v>590</v>
      </c>
      <c r="H335" t="s">
        <v>590</v>
      </c>
      <c r="I335" t="s">
        <v>590</v>
      </c>
      <c r="J335" t="s">
        <v>590</v>
      </c>
      <c r="K335" t="s">
        <v>590</v>
      </c>
      <c r="L335">
        <v>24</v>
      </c>
      <c r="M335" t="s">
        <v>592</v>
      </c>
      <c r="N335" t="s">
        <v>592</v>
      </c>
      <c r="O335" t="s">
        <v>1630</v>
      </c>
      <c r="P335" t="s">
        <v>592</v>
      </c>
    </row>
    <row r="336" spans="1:16" x14ac:dyDescent="0.35">
      <c r="A336" t="s">
        <v>364</v>
      </c>
      <c r="B336" t="s">
        <v>365</v>
      </c>
      <c r="C336" t="s">
        <v>365</v>
      </c>
      <c r="D336" t="s">
        <v>365</v>
      </c>
      <c r="E336" t="s">
        <v>365</v>
      </c>
      <c r="F336" t="s">
        <v>365</v>
      </c>
      <c r="G336" t="s">
        <v>365</v>
      </c>
      <c r="H336" t="s">
        <v>365</v>
      </c>
      <c r="I336" t="s">
        <v>365</v>
      </c>
      <c r="J336" t="s">
        <v>365</v>
      </c>
      <c r="K336" t="s">
        <v>365</v>
      </c>
      <c r="L336" t="s">
        <v>365</v>
      </c>
      <c r="M336" t="s">
        <v>365</v>
      </c>
      <c r="N336" t="s">
        <v>365</v>
      </c>
      <c r="O336" t="s">
        <v>365</v>
      </c>
      <c r="P336" t="s">
        <v>365</v>
      </c>
    </row>
    <row r="337" spans="1:16" x14ac:dyDescent="0.35">
      <c r="A337" t="s">
        <v>514</v>
      </c>
      <c r="B337" t="s">
        <v>1631</v>
      </c>
      <c r="C337" t="s">
        <v>1632</v>
      </c>
      <c r="D337" t="s">
        <v>590</v>
      </c>
      <c r="E337" t="s">
        <v>590</v>
      </c>
      <c r="F337" t="s">
        <v>590</v>
      </c>
      <c r="G337" t="s">
        <v>590</v>
      </c>
      <c r="H337" t="s">
        <v>590</v>
      </c>
      <c r="I337" t="s">
        <v>590</v>
      </c>
      <c r="J337" t="s">
        <v>590</v>
      </c>
      <c r="K337" t="s">
        <v>590</v>
      </c>
      <c r="L337">
        <v>72</v>
      </c>
      <c r="M337" t="s">
        <v>592</v>
      </c>
      <c r="N337" t="s">
        <v>592</v>
      </c>
      <c r="O337" t="s">
        <v>1633</v>
      </c>
      <c r="P337" t="s">
        <v>592</v>
      </c>
    </row>
    <row r="339" spans="1:16" x14ac:dyDescent="0.35">
      <c r="A339" t="s">
        <v>515</v>
      </c>
      <c r="B339" t="s">
        <v>1634</v>
      </c>
      <c r="C339" t="s">
        <v>714</v>
      </c>
      <c r="D339" t="s">
        <v>782</v>
      </c>
      <c r="E339" t="s">
        <v>696</v>
      </c>
      <c r="F339" t="s">
        <v>590</v>
      </c>
      <c r="G339" t="s">
        <v>590</v>
      </c>
      <c r="H339" t="s">
        <v>590</v>
      </c>
      <c r="I339" t="s">
        <v>590</v>
      </c>
      <c r="J339" t="s">
        <v>590</v>
      </c>
      <c r="K339" t="s">
        <v>590</v>
      </c>
      <c r="L339">
        <v>24</v>
      </c>
      <c r="M339" t="s">
        <v>592</v>
      </c>
      <c r="N339" t="s">
        <v>592</v>
      </c>
      <c r="O339" t="s">
        <v>1635</v>
      </c>
      <c r="P339" t="s">
        <v>814</v>
      </c>
    </row>
    <row r="340" spans="1:16" x14ac:dyDescent="0.35">
      <c r="A340" t="s">
        <v>516</v>
      </c>
      <c r="B340" t="s">
        <v>1636</v>
      </c>
      <c r="C340" t="s">
        <v>698</v>
      </c>
      <c r="D340" t="s">
        <v>618</v>
      </c>
      <c r="E340" t="s">
        <v>1637</v>
      </c>
      <c r="F340" t="s">
        <v>590</v>
      </c>
      <c r="G340" t="s">
        <v>590</v>
      </c>
      <c r="H340" t="s">
        <v>590</v>
      </c>
      <c r="I340" t="s">
        <v>590</v>
      </c>
      <c r="J340" t="s">
        <v>590</v>
      </c>
      <c r="K340" t="s">
        <v>590</v>
      </c>
      <c r="L340">
        <v>24</v>
      </c>
      <c r="M340" t="s">
        <v>592</v>
      </c>
      <c r="N340" t="s">
        <v>592</v>
      </c>
      <c r="O340" t="s">
        <v>1638</v>
      </c>
      <c r="P340" t="s">
        <v>1639</v>
      </c>
    </row>
    <row r="341" spans="1:16" x14ac:dyDescent="0.35">
      <c r="A341" t="s">
        <v>517</v>
      </c>
      <c r="B341" t="s">
        <v>866</v>
      </c>
      <c r="C341" t="s">
        <v>696</v>
      </c>
      <c r="D341" t="s">
        <v>809</v>
      </c>
      <c r="E341" t="s">
        <v>1640</v>
      </c>
      <c r="F341" t="s">
        <v>590</v>
      </c>
      <c r="G341" t="s">
        <v>590</v>
      </c>
      <c r="H341" t="s">
        <v>590</v>
      </c>
      <c r="I341" t="s">
        <v>590</v>
      </c>
      <c r="J341" t="s">
        <v>590</v>
      </c>
      <c r="K341" t="s">
        <v>590</v>
      </c>
      <c r="L341">
        <v>24</v>
      </c>
      <c r="M341" t="s">
        <v>592</v>
      </c>
      <c r="N341" t="s">
        <v>592</v>
      </c>
      <c r="O341" t="s">
        <v>1641</v>
      </c>
      <c r="P341" t="s">
        <v>1642</v>
      </c>
    </row>
    <row r="342" spans="1:16" x14ac:dyDescent="0.35">
      <c r="A342" t="s">
        <v>364</v>
      </c>
      <c r="B342" t="s">
        <v>365</v>
      </c>
      <c r="C342" t="s">
        <v>365</v>
      </c>
      <c r="D342" t="s">
        <v>365</v>
      </c>
      <c r="E342" t="s">
        <v>365</v>
      </c>
      <c r="F342" t="s">
        <v>365</v>
      </c>
      <c r="G342" t="s">
        <v>365</v>
      </c>
      <c r="H342" t="s">
        <v>365</v>
      </c>
      <c r="I342" t="s">
        <v>365</v>
      </c>
      <c r="J342" t="s">
        <v>365</v>
      </c>
      <c r="K342" t="s">
        <v>365</v>
      </c>
      <c r="L342" t="s">
        <v>365</v>
      </c>
      <c r="M342" t="s">
        <v>365</v>
      </c>
      <c r="N342" t="s">
        <v>365</v>
      </c>
      <c r="O342" t="s">
        <v>365</v>
      </c>
      <c r="P342" t="s">
        <v>365</v>
      </c>
    </row>
    <row r="343" spans="1:16" x14ac:dyDescent="0.35">
      <c r="A343" t="s">
        <v>518</v>
      </c>
      <c r="B343" t="s">
        <v>892</v>
      </c>
      <c r="C343" t="s">
        <v>1643</v>
      </c>
      <c r="D343" t="s">
        <v>1644</v>
      </c>
      <c r="E343" t="s">
        <v>1645</v>
      </c>
      <c r="F343" t="s">
        <v>590</v>
      </c>
      <c r="G343" t="s">
        <v>590</v>
      </c>
      <c r="H343" t="s">
        <v>590</v>
      </c>
      <c r="I343" t="s">
        <v>590</v>
      </c>
      <c r="J343" t="s">
        <v>590</v>
      </c>
      <c r="K343" t="s">
        <v>590</v>
      </c>
      <c r="L343">
        <v>72</v>
      </c>
      <c r="M343" t="s">
        <v>592</v>
      </c>
      <c r="N343" t="s">
        <v>592</v>
      </c>
      <c r="O343" t="s">
        <v>1646</v>
      </c>
      <c r="P343" t="s">
        <v>1175</v>
      </c>
    </row>
    <row r="345" spans="1:16" x14ac:dyDescent="0.35">
      <c r="A345" t="s">
        <v>519</v>
      </c>
      <c r="B345" t="s">
        <v>1647</v>
      </c>
      <c r="C345" t="s">
        <v>697</v>
      </c>
      <c r="D345" t="s">
        <v>1381</v>
      </c>
      <c r="E345" t="s">
        <v>1648</v>
      </c>
      <c r="F345" t="s">
        <v>1016</v>
      </c>
      <c r="G345" t="s">
        <v>590</v>
      </c>
      <c r="H345" t="s">
        <v>590</v>
      </c>
      <c r="I345" t="s">
        <v>590</v>
      </c>
      <c r="J345" t="s">
        <v>590</v>
      </c>
      <c r="K345" t="s">
        <v>797</v>
      </c>
      <c r="L345">
        <v>24</v>
      </c>
      <c r="M345" t="s">
        <v>1649</v>
      </c>
      <c r="N345" t="s">
        <v>1649</v>
      </c>
      <c r="O345" t="s">
        <v>1650</v>
      </c>
      <c r="P345" t="s">
        <v>1651</v>
      </c>
    </row>
    <row r="346" spans="1:16" x14ac:dyDescent="0.35">
      <c r="A346" t="s">
        <v>520</v>
      </c>
      <c r="B346" t="s">
        <v>1652</v>
      </c>
      <c r="C346" t="s">
        <v>1653</v>
      </c>
      <c r="D346" t="s">
        <v>747</v>
      </c>
      <c r="E346" t="s">
        <v>733</v>
      </c>
      <c r="F346" t="s">
        <v>872</v>
      </c>
      <c r="G346" t="s">
        <v>590</v>
      </c>
      <c r="H346" t="s">
        <v>689</v>
      </c>
      <c r="I346" t="s">
        <v>590</v>
      </c>
      <c r="J346" t="s">
        <v>590</v>
      </c>
      <c r="K346" t="s">
        <v>590</v>
      </c>
      <c r="L346">
        <v>24</v>
      </c>
      <c r="M346" t="s">
        <v>1654</v>
      </c>
      <c r="N346" t="s">
        <v>1655</v>
      </c>
      <c r="O346" t="s">
        <v>1115</v>
      </c>
      <c r="P346" t="s">
        <v>1656</v>
      </c>
    </row>
    <row r="347" spans="1:16" x14ac:dyDescent="0.35">
      <c r="A347" t="s">
        <v>364</v>
      </c>
      <c r="B347" t="s">
        <v>365</v>
      </c>
      <c r="C347" t="s">
        <v>365</v>
      </c>
      <c r="D347" t="s">
        <v>365</v>
      </c>
      <c r="E347" t="s">
        <v>365</v>
      </c>
      <c r="F347" t="s">
        <v>365</v>
      </c>
      <c r="G347" t="s">
        <v>365</v>
      </c>
      <c r="H347" t="s">
        <v>365</v>
      </c>
      <c r="I347" t="s">
        <v>365</v>
      </c>
      <c r="J347" t="s">
        <v>365</v>
      </c>
      <c r="K347" t="s">
        <v>365</v>
      </c>
      <c r="L347" t="s">
        <v>365</v>
      </c>
      <c r="M347" t="s">
        <v>365</v>
      </c>
      <c r="N347" t="s">
        <v>365</v>
      </c>
      <c r="O347" t="s">
        <v>365</v>
      </c>
      <c r="P347" t="s">
        <v>365</v>
      </c>
    </row>
    <row r="348" spans="1:16" x14ac:dyDescent="0.35">
      <c r="A348" t="s">
        <v>521</v>
      </c>
      <c r="B348" t="s">
        <v>1438</v>
      </c>
      <c r="C348" t="s">
        <v>1657</v>
      </c>
      <c r="D348" t="s">
        <v>1658</v>
      </c>
      <c r="E348" t="s">
        <v>990</v>
      </c>
      <c r="F348" t="s">
        <v>1659</v>
      </c>
      <c r="G348" t="s">
        <v>590</v>
      </c>
      <c r="H348" t="s">
        <v>689</v>
      </c>
      <c r="I348" t="s">
        <v>590</v>
      </c>
      <c r="J348" t="s">
        <v>590</v>
      </c>
      <c r="K348" t="s">
        <v>797</v>
      </c>
      <c r="L348">
        <v>48</v>
      </c>
      <c r="M348" t="s">
        <v>1660</v>
      </c>
      <c r="N348" t="s">
        <v>1661</v>
      </c>
      <c r="O348" t="s">
        <v>1662</v>
      </c>
      <c r="P348" t="s">
        <v>1663</v>
      </c>
    </row>
    <row r="350" spans="1:16" x14ac:dyDescent="0.35">
      <c r="A350" t="s">
        <v>522</v>
      </c>
      <c r="B350" t="s">
        <v>1489</v>
      </c>
      <c r="C350" t="s">
        <v>1202</v>
      </c>
      <c r="D350" t="s">
        <v>862</v>
      </c>
      <c r="E350" t="s">
        <v>1664</v>
      </c>
      <c r="F350" t="s">
        <v>590</v>
      </c>
      <c r="G350" t="s">
        <v>590</v>
      </c>
      <c r="H350" t="s">
        <v>590</v>
      </c>
      <c r="I350" t="s">
        <v>590</v>
      </c>
      <c r="J350" t="s">
        <v>590</v>
      </c>
      <c r="K350" t="s">
        <v>603</v>
      </c>
      <c r="L350">
        <v>24</v>
      </c>
      <c r="M350" t="s">
        <v>1665</v>
      </c>
      <c r="N350" t="s">
        <v>1665</v>
      </c>
      <c r="O350" t="s">
        <v>1666</v>
      </c>
      <c r="P350" t="s">
        <v>1667</v>
      </c>
    </row>
    <row r="351" spans="1:16" x14ac:dyDescent="0.35">
      <c r="A351" t="s">
        <v>523</v>
      </c>
      <c r="B351" t="s">
        <v>874</v>
      </c>
      <c r="C351" t="s">
        <v>1668</v>
      </c>
      <c r="D351" t="s">
        <v>1032</v>
      </c>
      <c r="E351" t="s">
        <v>601</v>
      </c>
      <c r="F351" t="s">
        <v>676</v>
      </c>
      <c r="G351" t="s">
        <v>590</v>
      </c>
      <c r="H351" t="s">
        <v>590</v>
      </c>
      <c r="I351" t="s">
        <v>590</v>
      </c>
      <c r="J351" t="s">
        <v>590</v>
      </c>
      <c r="K351" t="s">
        <v>1070</v>
      </c>
      <c r="L351">
        <v>24</v>
      </c>
      <c r="M351" t="s">
        <v>844</v>
      </c>
      <c r="N351" t="s">
        <v>844</v>
      </c>
      <c r="O351" t="s">
        <v>1558</v>
      </c>
      <c r="P351" t="s">
        <v>1669</v>
      </c>
    </row>
    <row r="352" spans="1:16" x14ac:dyDescent="0.35">
      <c r="A352" t="s">
        <v>524</v>
      </c>
      <c r="B352" t="s">
        <v>1670</v>
      </c>
      <c r="C352" t="s">
        <v>1212</v>
      </c>
      <c r="D352" t="s">
        <v>852</v>
      </c>
      <c r="E352" t="s">
        <v>1155</v>
      </c>
      <c r="F352" t="s">
        <v>590</v>
      </c>
      <c r="G352" t="s">
        <v>590</v>
      </c>
      <c r="H352" t="s">
        <v>590</v>
      </c>
      <c r="I352" t="s">
        <v>590</v>
      </c>
      <c r="J352" t="s">
        <v>590</v>
      </c>
      <c r="K352" t="s">
        <v>590</v>
      </c>
      <c r="L352">
        <v>24</v>
      </c>
      <c r="M352" t="s">
        <v>592</v>
      </c>
      <c r="N352" t="s">
        <v>592</v>
      </c>
      <c r="O352" t="s">
        <v>1671</v>
      </c>
      <c r="P352" t="s">
        <v>1596</v>
      </c>
    </row>
    <row r="353" spans="1:16" x14ac:dyDescent="0.35">
      <c r="A353" t="s">
        <v>364</v>
      </c>
      <c r="B353" t="s">
        <v>365</v>
      </c>
      <c r="C353" t="s">
        <v>365</v>
      </c>
      <c r="D353" t="s">
        <v>365</v>
      </c>
      <c r="E353" t="s">
        <v>365</v>
      </c>
      <c r="F353" t="s">
        <v>365</v>
      </c>
      <c r="G353" t="s">
        <v>365</v>
      </c>
      <c r="H353" t="s">
        <v>365</v>
      </c>
      <c r="I353" t="s">
        <v>365</v>
      </c>
      <c r="J353" t="s">
        <v>365</v>
      </c>
      <c r="K353" t="s">
        <v>365</v>
      </c>
      <c r="L353" t="s">
        <v>365</v>
      </c>
      <c r="M353" t="s">
        <v>365</v>
      </c>
      <c r="N353" t="s">
        <v>365</v>
      </c>
      <c r="O353" t="s">
        <v>365</v>
      </c>
      <c r="P353" t="s">
        <v>365</v>
      </c>
    </row>
    <row r="354" spans="1:16" x14ac:dyDescent="0.35">
      <c r="A354" t="s">
        <v>525</v>
      </c>
      <c r="B354" t="s">
        <v>1672</v>
      </c>
      <c r="C354" t="s">
        <v>818</v>
      </c>
      <c r="D354" t="s">
        <v>1673</v>
      </c>
      <c r="E354" t="s">
        <v>1674</v>
      </c>
      <c r="F354" t="s">
        <v>676</v>
      </c>
      <c r="G354" t="s">
        <v>590</v>
      </c>
      <c r="H354" t="s">
        <v>590</v>
      </c>
      <c r="I354" t="s">
        <v>590</v>
      </c>
      <c r="J354" t="s">
        <v>590</v>
      </c>
      <c r="K354" t="s">
        <v>604</v>
      </c>
      <c r="L354">
        <v>72</v>
      </c>
      <c r="M354" t="s">
        <v>1675</v>
      </c>
      <c r="N354" t="s">
        <v>1675</v>
      </c>
      <c r="O354" t="s">
        <v>1676</v>
      </c>
      <c r="P354" t="s">
        <v>1677</v>
      </c>
    </row>
    <row r="357" spans="1:16" x14ac:dyDescent="0.35">
      <c r="A357" t="s">
        <v>526</v>
      </c>
      <c r="B357" t="s">
        <v>527</v>
      </c>
      <c r="C357" t="s">
        <v>528</v>
      </c>
      <c r="D357" t="s">
        <v>529</v>
      </c>
      <c r="E357" t="s">
        <v>530</v>
      </c>
      <c r="F357" t="s">
        <v>531</v>
      </c>
      <c r="G357" t="s">
        <v>532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F537B-D79C-4A00-BA99-41922DBB3DAC}">
  <sheetPr codeName="Hoja2">
    <tabColor rgb="FF001642"/>
  </sheetPr>
  <dimension ref="B1:XFC127"/>
  <sheetViews>
    <sheetView showGridLines="0" tabSelected="1" zoomScale="85" zoomScaleNormal="85" workbookViewId="0">
      <pane xSplit="2" ySplit="6" topLeftCell="I7" activePane="bottomRight" state="frozen"/>
      <selection pane="topRight" activeCell="C1" sqref="C1"/>
      <selection pane="bottomLeft" activeCell="A5" sqref="A5"/>
      <selection pane="bottomRight" activeCell="J8" sqref="J8"/>
    </sheetView>
  </sheetViews>
  <sheetFormatPr baseColWidth="10" defaultRowHeight="14.5" x14ac:dyDescent="0.35"/>
  <cols>
    <col min="1" max="1" width="1.6328125" customWidth="1"/>
    <col min="3" max="8" width="11.6328125" hidden="1" customWidth="1"/>
    <col min="9" max="9" width="0.54296875" customWidth="1"/>
    <col min="13" max="13" width="11.6328125" customWidth="1"/>
    <col min="14" max="14" width="11.90625" customWidth="1"/>
    <col min="15" max="15" width="12.1796875" customWidth="1"/>
    <col min="17" max="17" width="0.54296875" customWidth="1"/>
    <col min="18" max="18" width="14.36328125" customWidth="1"/>
    <col min="20" max="20" width="12" customWidth="1"/>
    <col min="21" max="21" width="12.1796875" customWidth="1"/>
    <col min="24" max="24" width="0.54296875" customWidth="1"/>
    <col min="26" max="28" width="13.08984375" customWidth="1"/>
    <col min="29" max="29" width="0.54296875" customWidth="1"/>
  </cols>
  <sheetData>
    <row r="1" spans="2:29 16379:16383" ht="4.25" customHeight="1" thickBot="1" x14ac:dyDescent="0.4">
      <c r="Z1" s="92"/>
      <c r="AA1" s="92"/>
      <c r="AB1" s="93"/>
    </row>
    <row r="2" spans="2:29 16379:16383" ht="25.25" customHeight="1" thickTop="1" thickBot="1" x14ac:dyDescent="0.4">
      <c r="M2" s="305" t="s">
        <v>535</v>
      </c>
      <c r="N2" s="305"/>
      <c r="O2" s="305"/>
      <c r="P2" s="305"/>
      <c r="Q2" s="305"/>
      <c r="R2" s="305"/>
      <c r="S2" s="305"/>
      <c r="T2" s="305"/>
      <c r="U2" s="39"/>
      <c r="Z2" s="302" t="s">
        <v>717</v>
      </c>
      <c r="AA2" s="303"/>
      <c r="AB2" s="304"/>
      <c r="XEY2" s="94" t="s">
        <v>566</v>
      </c>
      <c r="XEZ2" s="95"/>
      <c r="XFA2" s="95"/>
      <c r="XFB2" s="95"/>
      <c r="XFC2" s="96"/>
    </row>
    <row r="3" spans="2:29 16379:16383" ht="12" customHeight="1" thickTop="1" x14ac:dyDescent="0.35">
      <c r="M3" s="97"/>
      <c r="N3" s="98"/>
      <c r="O3" s="98"/>
      <c r="P3" s="98"/>
      <c r="Q3" s="98"/>
      <c r="R3" s="98"/>
      <c r="S3" s="98"/>
      <c r="T3" s="99"/>
      <c r="Z3" s="100"/>
      <c r="AA3" s="100"/>
      <c r="AB3" s="101"/>
      <c r="XEY3" s="102" t="s">
        <v>567</v>
      </c>
      <c r="XEZ3" s="103"/>
      <c r="XFA3" s="103"/>
      <c r="XFB3" s="103"/>
      <c r="XFC3" s="104"/>
    </row>
    <row r="4" spans="2:29 16379:16383" x14ac:dyDescent="0.35">
      <c r="X4" s="105"/>
      <c r="Y4" s="248" t="str">
        <f>"Desviación MP Caex:  " &amp; ROUND(AVERAGE(O7:O125)*100, 1) &amp; "%"</f>
        <v>Desviación MP Caex:  0,5%</v>
      </c>
      <c r="Z4" s="251"/>
      <c r="AA4" s="106" t="s">
        <v>8</v>
      </c>
      <c r="AB4" s="107">
        <f ca="1">TODAY()-1</f>
        <v>45568</v>
      </c>
      <c r="AC4" s="105"/>
      <c r="XEY4" s="108" t="s">
        <v>568</v>
      </c>
      <c r="XFC4" s="109"/>
    </row>
    <row r="5" spans="2:29 16379:16383" ht="15" thickBot="1" x14ac:dyDescent="0.4">
      <c r="B5" s="110" t="s">
        <v>0</v>
      </c>
      <c r="C5" s="306" t="s">
        <v>269</v>
      </c>
      <c r="D5" s="307"/>
      <c r="E5" s="307"/>
      <c r="F5" s="307"/>
      <c r="G5" s="307"/>
      <c r="H5" s="307"/>
      <c r="I5" s="105"/>
      <c r="J5" s="308" t="s">
        <v>556</v>
      </c>
      <c r="K5" s="308"/>
      <c r="L5" s="309"/>
      <c r="M5" s="309"/>
      <c r="N5" s="309"/>
      <c r="O5" s="309"/>
      <c r="P5" s="310"/>
      <c r="Q5" s="105"/>
      <c r="R5" s="309" t="s">
        <v>557</v>
      </c>
      <c r="S5" s="309"/>
      <c r="T5" s="309"/>
      <c r="U5" s="309"/>
      <c r="V5" s="309"/>
      <c r="W5" s="310"/>
      <c r="X5" s="111"/>
      <c r="Y5" s="311" t="s">
        <v>4</v>
      </c>
      <c r="Z5" s="312"/>
      <c r="AA5" s="313"/>
      <c r="AB5" s="313"/>
      <c r="AC5" s="111"/>
      <c r="XEY5" s="112" t="s">
        <v>569</v>
      </c>
      <c r="XEZ5" s="113"/>
      <c r="XFA5" s="113"/>
      <c r="XFB5" s="113" t="s">
        <v>570</v>
      </c>
      <c r="XFC5" s="114"/>
    </row>
    <row r="6" spans="2:29 16379:16383" s="1" customFormat="1" ht="59.4" customHeight="1" thickBot="1" x14ac:dyDescent="0.4">
      <c r="B6" s="115" t="s">
        <v>1</v>
      </c>
      <c r="C6" s="116" t="s">
        <v>7</v>
      </c>
      <c r="D6" s="116" t="s">
        <v>214</v>
      </c>
      <c r="E6" s="116" t="s">
        <v>137</v>
      </c>
      <c r="F6" s="116" t="s">
        <v>212</v>
      </c>
      <c r="G6" s="116" t="s">
        <v>136</v>
      </c>
      <c r="H6" s="116" t="s">
        <v>134</v>
      </c>
      <c r="I6" s="111"/>
      <c r="J6" s="117" t="s">
        <v>551</v>
      </c>
      <c r="K6" s="117" t="s">
        <v>576</v>
      </c>
      <c r="L6" s="115" t="s">
        <v>5</v>
      </c>
      <c r="M6" s="118" t="s">
        <v>2</v>
      </c>
      <c r="N6" s="118" t="s">
        <v>572</v>
      </c>
      <c r="O6" s="119" t="s">
        <v>3</v>
      </c>
      <c r="P6" s="120" t="s">
        <v>267</v>
      </c>
      <c r="Q6" s="121"/>
      <c r="R6" s="118" t="s">
        <v>558</v>
      </c>
      <c r="S6" s="118" t="s">
        <v>559</v>
      </c>
      <c r="T6" s="118" t="s">
        <v>573</v>
      </c>
      <c r="U6" s="119" t="s">
        <v>560</v>
      </c>
      <c r="V6" s="118" t="s">
        <v>267</v>
      </c>
      <c r="W6" s="120" t="s">
        <v>132</v>
      </c>
      <c r="X6" s="121"/>
      <c r="Y6" s="122" t="s">
        <v>1</v>
      </c>
      <c r="Z6" s="123" t="s">
        <v>571</v>
      </c>
      <c r="AA6" s="123" t="s">
        <v>555</v>
      </c>
      <c r="AB6" s="124" t="s">
        <v>4</v>
      </c>
      <c r="AC6" s="121"/>
    </row>
    <row r="7" spans="2:29 16379:16383" x14ac:dyDescent="0.35">
      <c r="B7" s="125" t="s">
        <v>10</v>
      </c>
      <c r="C7" s="202" t="s">
        <v>6</v>
      </c>
      <c r="D7" s="203" t="s">
        <v>215</v>
      </c>
      <c r="E7" s="204" t="s">
        <v>216</v>
      </c>
      <c r="F7" s="204" t="s">
        <v>211</v>
      </c>
      <c r="G7" s="126" t="s">
        <v>138</v>
      </c>
      <c r="H7" s="127" t="s">
        <v>135</v>
      </c>
      <c r="I7" s="111"/>
      <c r="J7" s="282">
        <f t="shared" ref="J7:J38" si="0">CHOOSE(MOD(INT((K7-1000)/1000), 4) + 1, 1000, 2000, 1000, 2000)</f>
        <v>2000</v>
      </c>
      <c r="K7" s="211">
        <v>80000</v>
      </c>
      <c r="L7" s="212">
        <v>83283.47</v>
      </c>
      <c r="M7" s="213">
        <v>45555</v>
      </c>
      <c r="N7" s="128">
        <f t="shared" ref="N7:N38" si="1">IF(L7="","",AB7-L7)</f>
        <v>166.72000000000116</v>
      </c>
      <c r="O7" s="299">
        <f t="shared" ref="O7:O38" si="2">IF(N7 &lt; 1000, 0, (N7 - 1000) / 1000)</f>
        <v>0</v>
      </c>
      <c r="P7" s="285" t="str">
        <f t="shared" ref="P7:P38" si="3">IF(M7="","",IF(MOD(WEEKNUM(M7,12),2)=1,"A","B"))</f>
        <v>A</v>
      </c>
      <c r="Q7" s="111"/>
      <c r="R7" s="212">
        <v>83386.23</v>
      </c>
      <c r="S7" s="213">
        <v>45563</v>
      </c>
      <c r="T7" s="128">
        <f t="shared" ref="T7:T38" si="4">IF(R7="","",AB7-R7)</f>
        <v>63.960000000006403</v>
      </c>
      <c r="U7" s="129">
        <f t="shared" ref="U7:U38" si="5">IF(T7 &lt; 500, 0, (T7 - 500) / 500)</f>
        <v>0</v>
      </c>
      <c r="V7" s="286" t="str">
        <f t="shared" ref="V7:V38" si="6">IF(S7="","",IF(MOD(WEEKNUM(S7,12),2)=1,"A","B"))</f>
        <v>B</v>
      </c>
      <c r="W7" s="130" t="s">
        <v>131</v>
      </c>
      <c r="X7" s="111"/>
      <c r="Y7" s="131" t="str">
        <f t="shared" ref="Y7:Y38" si="7">B7</f>
        <v>CA100</v>
      </c>
      <c r="Z7" s="281">
        <f t="shared" ref="Z7:Z38" si="8">CHOOSE(MOD(INT((AA7-1000)/1000), 4) + 1, 1000, 2000, 1000, 2000)</f>
        <v>1000</v>
      </c>
      <c r="AA7" s="132">
        <f t="shared" ref="AA7:AA38" si="9">K7+1000</f>
        <v>81000</v>
      </c>
      <c r="AB7" s="55">
        <f>'HORÓMETRO SEPTIEMBRE 2024'!AG4</f>
        <v>83450.19</v>
      </c>
      <c r="AC7" s="111"/>
    </row>
    <row r="8" spans="2:29 16379:16383" x14ac:dyDescent="0.35">
      <c r="B8" s="125" t="s">
        <v>11</v>
      </c>
      <c r="C8" s="205" t="s">
        <v>6</v>
      </c>
      <c r="D8" s="206" t="s">
        <v>215</v>
      </c>
      <c r="E8" s="207" t="s">
        <v>217</v>
      </c>
      <c r="F8" s="207" t="s">
        <v>211</v>
      </c>
      <c r="G8" s="125" t="s">
        <v>139</v>
      </c>
      <c r="H8" s="130" t="s">
        <v>135</v>
      </c>
      <c r="I8" s="111"/>
      <c r="J8" s="282">
        <f t="shared" si="0"/>
        <v>2000</v>
      </c>
      <c r="K8" s="211">
        <v>80000</v>
      </c>
      <c r="L8" s="212">
        <v>82848.230000000302</v>
      </c>
      <c r="M8" s="213">
        <v>45535</v>
      </c>
      <c r="N8" s="128">
        <f t="shared" si="1"/>
        <v>252.45999999970081</v>
      </c>
      <c r="O8" s="129">
        <f t="shared" si="2"/>
        <v>0</v>
      </c>
      <c r="P8" s="285" t="str">
        <f t="shared" si="3"/>
        <v>B</v>
      </c>
      <c r="Q8" s="111"/>
      <c r="R8" s="212">
        <v>83052.89</v>
      </c>
      <c r="S8" s="213">
        <v>45563</v>
      </c>
      <c r="T8" s="128">
        <f t="shared" si="4"/>
        <v>47.80000000000291</v>
      </c>
      <c r="U8" s="129">
        <f t="shared" si="5"/>
        <v>0</v>
      </c>
      <c r="V8" s="286" t="str">
        <f t="shared" si="6"/>
        <v>B</v>
      </c>
      <c r="W8" s="130" t="s">
        <v>131</v>
      </c>
      <c r="X8" s="111"/>
      <c r="Y8" s="131" t="str">
        <f t="shared" si="7"/>
        <v>CA101</v>
      </c>
      <c r="Z8" s="281">
        <f t="shared" si="8"/>
        <v>1000</v>
      </c>
      <c r="AA8" s="132">
        <f t="shared" si="9"/>
        <v>81000</v>
      </c>
      <c r="AB8" s="55">
        <f>'HORÓMETRO SEPTIEMBRE 2024'!AG5</f>
        <v>83100.69</v>
      </c>
      <c r="AC8" s="111"/>
    </row>
    <row r="9" spans="2:29 16379:16383" x14ac:dyDescent="0.35">
      <c r="B9" s="125" t="s">
        <v>12</v>
      </c>
      <c r="C9" s="205" t="s">
        <v>6</v>
      </c>
      <c r="D9" s="206" t="s">
        <v>215</v>
      </c>
      <c r="E9" s="207" t="s">
        <v>216</v>
      </c>
      <c r="F9" s="207" t="s">
        <v>211</v>
      </c>
      <c r="G9" s="125" t="s">
        <v>140</v>
      </c>
      <c r="H9" s="130" t="s">
        <v>135</v>
      </c>
      <c r="I9" s="111"/>
      <c r="J9" s="282">
        <f t="shared" si="0"/>
        <v>2000</v>
      </c>
      <c r="K9" s="211">
        <v>80000</v>
      </c>
      <c r="L9" s="212">
        <v>83368.669999999896</v>
      </c>
      <c r="M9" s="213">
        <v>45532</v>
      </c>
      <c r="N9" s="128">
        <f t="shared" si="1"/>
        <v>640.79000000011001</v>
      </c>
      <c r="O9" s="129">
        <f t="shared" si="2"/>
        <v>0</v>
      </c>
      <c r="P9" s="285" t="str">
        <f t="shared" si="3"/>
        <v>B</v>
      </c>
      <c r="Q9" s="111"/>
      <c r="R9" s="212">
        <v>83908.11</v>
      </c>
      <c r="S9" s="213">
        <v>45561</v>
      </c>
      <c r="T9" s="128">
        <f t="shared" si="4"/>
        <v>101.35000000000582</v>
      </c>
      <c r="U9" s="129">
        <f t="shared" si="5"/>
        <v>0</v>
      </c>
      <c r="V9" s="286" t="str">
        <f t="shared" si="6"/>
        <v>B</v>
      </c>
      <c r="W9" s="130" t="s">
        <v>131</v>
      </c>
      <c r="X9" s="111"/>
      <c r="Y9" s="131" t="str">
        <f t="shared" si="7"/>
        <v>CA102</v>
      </c>
      <c r="Z9" s="281">
        <f t="shared" si="8"/>
        <v>1000</v>
      </c>
      <c r="AA9" s="132">
        <f t="shared" si="9"/>
        <v>81000</v>
      </c>
      <c r="AB9" s="55">
        <f>'HORÓMETRO SEPTIEMBRE 2024'!AG6</f>
        <v>84009.46</v>
      </c>
      <c r="AC9" s="111"/>
    </row>
    <row r="10" spans="2:29 16379:16383" x14ac:dyDescent="0.35">
      <c r="B10" s="125" t="s">
        <v>13</v>
      </c>
      <c r="C10" s="205" t="s">
        <v>6</v>
      </c>
      <c r="D10" s="206" t="s">
        <v>215</v>
      </c>
      <c r="E10" s="208" t="s">
        <v>217</v>
      </c>
      <c r="F10" s="207" t="s">
        <v>211</v>
      </c>
      <c r="G10" s="125" t="s">
        <v>141</v>
      </c>
      <c r="H10" s="130" t="s">
        <v>135</v>
      </c>
      <c r="I10" s="111"/>
      <c r="J10" s="282">
        <f t="shared" si="0"/>
        <v>1000</v>
      </c>
      <c r="K10" s="211">
        <v>81000</v>
      </c>
      <c r="L10" s="212">
        <v>83854.459999999977</v>
      </c>
      <c r="M10" s="213">
        <v>45529</v>
      </c>
      <c r="N10" s="128">
        <f t="shared" si="1"/>
        <v>635.48000000002503</v>
      </c>
      <c r="O10" s="129">
        <f t="shared" si="2"/>
        <v>0</v>
      </c>
      <c r="P10" s="285" t="str">
        <f t="shared" si="3"/>
        <v>A</v>
      </c>
      <c r="Q10" s="111"/>
      <c r="R10" s="212">
        <v>84442.86</v>
      </c>
      <c r="S10" s="213">
        <v>45563</v>
      </c>
      <c r="T10" s="128">
        <f t="shared" si="4"/>
        <v>47.080000000001746</v>
      </c>
      <c r="U10" s="129">
        <f t="shared" si="5"/>
        <v>0</v>
      </c>
      <c r="V10" s="286" t="str">
        <f t="shared" si="6"/>
        <v>B</v>
      </c>
      <c r="W10" s="130" t="s">
        <v>131</v>
      </c>
      <c r="X10" s="111"/>
      <c r="Y10" s="131" t="str">
        <f t="shared" si="7"/>
        <v>CA103</v>
      </c>
      <c r="Z10" s="281">
        <f t="shared" si="8"/>
        <v>2000</v>
      </c>
      <c r="AA10" s="132">
        <f t="shared" si="9"/>
        <v>82000</v>
      </c>
      <c r="AB10" s="55">
        <f>'HORÓMETRO SEPTIEMBRE 2024'!AG7</f>
        <v>84489.94</v>
      </c>
      <c r="AC10" s="111"/>
    </row>
    <row r="11" spans="2:29 16379:16383" x14ac:dyDescent="0.35">
      <c r="B11" s="125" t="s">
        <v>14</v>
      </c>
      <c r="C11" s="205" t="s">
        <v>6</v>
      </c>
      <c r="D11" s="206" t="s">
        <v>215</v>
      </c>
      <c r="E11" s="208" t="s">
        <v>217</v>
      </c>
      <c r="F11" s="207" t="s">
        <v>211</v>
      </c>
      <c r="G11" s="125" t="s">
        <v>142</v>
      </c>
      <c r="H11" s="130" t="s">
        <v>135</v>
      </c>
      <c r="I11" s="111"/>
      <c r="J11" s="282">
        <f t="shared" si="0"/>
        <v>2000</v>
      </c>
      <c r="K11" s="211">
        <v>86000</v>
      </c>
      <c r="L11" s="212">
        <v>79531.69</v>
      </c>
      <c r="M11" s="213">
        <v>45554</v>
      </c>
      <c r="N11" s="128">
        <f t="shared" si="1"/>
        <v>192.44000000000233</v>
      </c>
      <c r="O11" s="299">
        <f t="shared" si="2"/>
        <v>0</v>
      </c>
      <c r="P11" s="285" t="str">
        <f t="shared" si="3"/>
        <v>A</v>
      </c>
      <c r="Q11" s="111"/>
      <c r="R11" s="212">
        <v>79669.52</v>
      </c>
      <c r="S11" s="213">
        <v>45563</v>
      </c>
      <c r="T11" s="128">
        <f t="shared" si="4"/>
        <v>54.610000000000582</v>
      </c>
      <c r="U11" s="129">
        <f t="shared" si="5"/>
        <v>0</v>
      </c>
      <c r="V11" s="286" t="str">
        <f t="shared" si="6"/>
        <v>B</v>
      </c>
      <c r="W11" s="130" t="s">
        <v>131</v>
      </c>
      <c r="X11" s="111"/>
      <c r="Y11" s="131" t="str">
        <f t="shared" si="7"/>
        <v>CA108</v>
      </c>
      <c r="Z11" s="281">
        <f t="shared" si="8"/>
        <v>1000</v>
      </c>
      <c r="AA11" s="132">
        <f t="shared" si="9"/>
        <v>87000</v>
      </c>
      <c r="AB11" s="55">
        <f>'HORÓMETRO SEPTIEMBRE 2024'!AG8</f>
        <v>79724.13</v>
      </c>
      <c r="AC11" s="111"/>
    </row>
    <row r="12" spans="2:29 16379:16383" x14ac:dyDescent="0.35">
      <c r="B12" s="125" t="s">
        <v>15</v>
      </c>
      <c r="C12" s="205" t="s">
        <v>6</v>
      </c>
      <c r="D12" s="206" t="s">
        <v>215</v>
      </c>
      <c r="E12" s="207" t="s">
        <v>216</v>
      </c>
      <c r="F12" s="207" t="s">
        <v>211</v>
      </c>
      <c r="G12" s="125" t="s">
        <v>143</v>
      </c>
      <c r="H12" s="130" t="s">
        <v>135</v>
      </c>
      <c r="I12" s="111"/>
      <c r="J12" s="282">
        <f t="shared" si="0"/>
        <v>2000</v>
      </c>
      <c r="K12" s="211">
        <v>78000</v>
      </c>
      <c r="L12" s="212">
        <v>81390.3</v>
      </c>
      <c r="M12" s="213">
        <v>45549</v>
      </c>
      <c r="N12" s="128">
        <f t="shared" si="1"/>
        <v>290.52999999999884</v>
      </c>
      <c r="O12" s="129">
        <f t="shared" si="2"/>
        <v>0</v>
      </c>
      <c r="P12" s="285" t="str">
        <f t="shared" si="3"/>
        <v>B</v>
      </c>
      <c r="Q12" s="111"/>
      <c r="R12" s="212">
        <v>81591.070000000007</v>
      </c>
      <c r="S12" s="213">
        <v>45561</v>
      </c>
      <c r="T12" s="128">
        <f t="shared" si="4"/>
        <v>89.759999999994761</v>
      </c>
      <c r="U12" s="129">
        <f t="shared" si="5"/>
        <v>0</v>
      </c>
      <c r="V12" s="286" t="str">
        <f t="shared" si="6"/>
        <v>B</v>
      </c>
      <c r="W12" s="130" t="s">
        <v>131</v>
      </c>
      <c r="X12" s="111"/>
      <c r="Y12" s="131" t="str">
        <f t="shared" si="7"/>
        <v>CA109</v>
      </c>
      <c r="Z12" s="281">
        <f t="shared" si="8"/>
        <v>1000</v>
      </c>
      <c r="AA12" s="132">
        <f t="shared" si="9"/>
        <v>79000</v>
      </c>
      <c r="AB12" s="55">
        <f>'HORÓMETRO SEPTIEMBRE 2024'!AG9</f>
        <v>81680.83</v>
      </c>
      <c r="AC12" s="111"/>
    </row>
    <row r="13" spans="2:29 16379:16383" x14ac:dyDescent="0.35">
      <c r="B13" s="125" t="s">
        <v>16</v>
      </c>
      <c r="C13" s="205" t="s">
        <v>6</v>
      </c>
      <c r="D13" s="206" t="s">
        <v>215</v>
      </c>
      <c r="E13" s="207" t="s">
        <v>216</v>
      </c>
      <c r="F13" s="207" t="s">
        <v>211</v>
      </c>
      <c r="G13" s="125" t="s">
        <v>144</v>
      </c>
      <c r="H13" s="130" t="s">
        <v>135</v>
      </c>
      <c r="I13" s="111"/>
      <c r="J13" s="282">
        <f t="shared" si="0"/>
        <v>2000</v>
      </c>
      <c r="K13" s="211">
        <v>78000</v>
      </c>
      <c r="L13" s="212">
        <v>80533.07000000008</v>
      </c>
      <c r="M13" s="213">
        <v>45517</v>
      </c>
      <c r="N13" s="128">
        <f t="shared" si="1"/>
        <v>791.32999999991443</v>
      </c>
      <c r="O13" s="129">
        <f t="shared" si="2"/>
        <v>0</v>
      </c>
      <c r="P13" s="285" t="str">
        <f t="shared" si="3"/>
        <v>B</v>
      </c>
      <c r="Q13" s="111"/>
      <c r="R13" s="212">
        <v>81222.64</v>
      </c>
      <c r="S13" s="213">
        <v>45560</v>
      </c>
      <c r="T13" s="128">
        <f t="shared" si="4"/>
        <v>101.75999999999476</v>
      </c>
      <c r="U13" s="129">
        <f t="shared" si="5"/>
        <v>0</v>
      </c>
      <c r="V13" s="286" t="str">
        <f t="shared" si="6"/>
        <v>B</v>
      </c>
      <c r="W13" s="130" t="s">
        <v>131</v>
      </c>
      <c r="X13" s="111"/>
      <c r="Y13" s="131" t="str">
        <f t="shared" si="7"/>
        <v>CA110</v>
      </c>
      <c r="Z13" s="281">
        <f t="shared" si="8"/>
        <v>1000</v>
      </c>
      <c r="AA13" s="132">
        <f t="shared" si="9"/>
        <v>79000</v>
      </c>
      <c r="AB13" s="55">
        <f>'HORÓMETRO SEPTIEMBRE 2024'!AG10</f>
        <v>81324.399999999994</v>
      </c>
      <c r="AC13" s="111"/>
    </row>
    <row r="14" spans="2:29 16379:16383" x14ac:dyDescent="0.35">
      <c r="B14" s="125" t="s">
        <v>17</v>
      </c>
      <c r="C14" s="205" t="s">
        <v>6</v>
      </c>
      <c r="D14" s="206" t="s">
        <v>215</v>
      </c>
      <c r="E14" s="207" t="s">
        <v>216</v>
      </c>
      <c r="F14" s="207" t="s">
        <v>211</v>
      </c>
      <c r="G14" s="125" t="s">
        <v>145</v>
      </c>
      <c r="H14" s="130" t="s">
        <v>135</v>
      </c>
      <c r="I14" s="111"/>
      <c r="J14" s="282">
        <f t="shared" si="0"/>
        <v>2000</v>
      </c>
      <c r="K14" s="211">
        <v>74000</v>
      </c>
      <c r="L14" s="212">
        <v>78603.340000000491</v>
      </c>
      <c r="M14" s="213">
        <v>45504</v>
      </c>
      <c r="N14" s="128">
        <f t="shared" si="1"/>
        <v>749.01999999950931</v>
      </c>
      <c r="O14" s="129">
        <f t="shared" si="2"/>
        <v>0</v>
      </c>
      <c r="P14" s="285" t="str">
        <f t="shared" si="3"/>
        <v>B</v>
      </c>
      <c r="Q14" s="111"/>
      <c r="R14" s="212">
        <v>79253.740000000005</v>
      </c>
      <c r="S14" s="213">
        <v>45561</v>
      </c>
      <c r="T14" s="128">
        <f t="shared" si="4"/>
        <v>98.619999999995343</v>
      </c>
      <c r="U14" s="129">
        <f t="shared" si="5"/>
        <v>0</v>
      </c>
      <c r="V14" s="286" t="str">
        <f t="shared" si="6"/>
        <v>B</v>
      </c>
      <c r="W14" s="130" t="s">
        <v>131</v>
      </c>
      <c r="X14" s="111"/>
      <c r="Y14" s="131" t="str">
        <f t="shared" si="7"/>
        <v>CA111</v>
      </c>
      <c r="Z14" s="281">
        <f t="shared" si="8"/>
        <v>1000</v>
      </c>
      <c r="AA14" s="132">
        <f t="shared" si="9"/>
        <v>75000</v>
      </c>
      <c r="AB14" s="55">
        <f>'HORÓMETRO SEPTIEMBRE 2024'!AG11</f>
        <v>79352.36</v>
      </c>
      <c r="AC14" s="111"/>
    </row>
    <row r="15" spans="2:29 16379:16383" x14ac:dyDescent="0.35">
      <c r="B15" s="125" t="s">
        <v>18</v>
      </c>
      <c r="C15" s="205" t="s">
        <v>6</v>
      </c>
      <c r="D15" s="206" t="s">
        <v>215</v>
      </c>
      <c r="E15" s="207" t="s">
        <v>216</v>
      </c>
      <c r="F15" s="207" t="s">
        <v>211</v>
      </c>
      <c r="G15" s="125" t="s">
        <v>146</v>
      </c>
      <c r="H15" s="130" t="s">
        <v>135</v>
      </c>
      <c r="I15" s="111"/>
      <c r="J15" s="282">
        <f t="shared" si="0"/>
        <v>1000</v>
      </c>
      <c r="K15" s="211">
        <v>75000</v>
      </c>
      <c r="L15" s="212">
        <v>79363.399999999994</v>
      </c>
      <c r="M15" s="213">
        <v>45547</v>
      </c>
      <c r="N15" s="128">
        <f t="shared" si="1"/>
        <v>354.02999999999884</v>
      </c>
      <c r="O15" s="129">
        <f t="shared" si="2"/>
        <v>0</v>
      </c>
      <c r="P15" s="285" t="str">
        <f t="shared" si="3"/>
        <v>B</v>
      </c>
      <c r="Q15" s="111"/>
      <c r="R15" s="212">
        <v>79582.52</v>
      </c>
      <c r="S15" s="213">
        <v>45559</v>
      </c>
      <c r="T15" s="128">
        <f t="shared" si="4"/>
        <v>134.90999999998894</v>
      </c>
      <c r="U15" s="129">
        <f t="shared" si="5"/>
        <v>0</v>
      </c>
      <c r="V15" s="286" t="str">
        <f t="shared" si="6"/>
        <v>B</v>
      </c>
      <c r="W15" s="130" t="s">
        <v>131</v>
      </c>
      <c r="X15" s="111"/>
      <c r="Y15" s="131" t="str">
        <f t="shared" si="7"/>
        <v>CA112</v>
      </c>
      <c r="Z15" s="281">
        <f t="shared" si="8"/>
        <v>2000</v>
      </c>
      <c r="AA15" s="132">
        <f t="shared" si="9"/>
        <v>76000</v>
      </c>
      <c r="AB15" s="55">
        <f>'HORÓMETRO SEPTIEMBRE 2024'!AG12</f>
        <v>79717.429999999993</v>
      </c>
      <c r="AC15" s="111"/>
    </row>
    <row r="16" spans="2:29 16379:16383" x14ac:dyDescent="0.35">
      <c r="B16" s="125" t="s">
        <v>19</v>
      </c>
      <c r="C16" s="205" t="s">
        <v>6</v>
      </c>
      <c r="D16" s="207" t="s">
        <v>263</v>
      </c>
      <c r="E16" s="207" t="s">
        <v>216</v>
      </c>
      <c r="F16" s="207" t="s">
        <v>211</v>
      </c>
      <c r="G16" s="125" t="s">
        <v>147</v>
      </c>
      <c r="H16" s="130" t="s">
        <v>135</v>
      </c>
      <c r="I16" s="111"/>
      <c r="J16" s="282">
        <f t="shared" si="0"/>
        <v>2000</v>
      </c>
      <c r="K16" s="211">
        <v>68000</v>
      </c>
      <c r="L16" s="212">
        <v>76091.100000000006</v>
      </c>
      <c r="M16" s="213">
        <v>45547</v>
      </c>
      <c r="N16" s="128">
        <f t="shared" si="1"/>
        <v>346.55999999999767</v>
      </c>
      <c r="O16" s="129">
        <f t="shared" si="2"/>
        <v>0</v>
      </c>
      <c r="P16" s="285" t="str">
        <f t="shared" si="3"/>
        <v>B</v>
      </c>
      <c r="Q16" s="111"/>
      <c r="R16" s="212">
        <v>76314.69</v>
      </c>
      <c r="S16" s="213">
        <v>45560</v>
      </c>
      <c r="T16" s="128">
        <f t="shared" si="4"/>
        <v>122.97000000000116</v>
      </c>
      <c r="U16" s="129">
        <f t="shared" si="5"/>
        <v>0</v>
      </c>
      <c r="V16" s="286" t="str">
        <f t="shared" si="6"/>
        <v>B</v>
      </c>
      <c r="W16" s="130" t="s">
        <v>131</v>
      </c>
      <c r="X16" s="111"/>
      <c r="Y16" s="131" t="str">
        <f t="shared" si="7"/>
        <v>CA113</v>
      </c>
      <c r="Z16" s="281">
        <f t="shared" si="8"/>
        <v>1000</v>
      </c>
      <c r="AA16" s="132">
        <f t="shared" si="9"/>
        <v>69000</v>
      </c>
      <c r="AB16" s="55">
        <f>'HORÓMETRO SEPTIEMBRE 2024'!AG13</f>
        <v>76437.66</v>
      </c>
      <c r="AC16" s="111"/>
    </row>
    <row r="17" spans="2:29" x14ac:dyDescent="0.35">
      <c r="B17" s="125" t="s">
        <v>20</v>
      </c>
      <c r="C17" s="205" t="s">
        <v>6</v>
      </c>
      <c r="D17" s="206" t="s">
        <v>215</v>
      </c>
      <c r="E17" s="207" t="s">
        <v>216</v>
      </c>
      <c r="F17" s="207" t="s">
        <v>211</v>
      </c>
      <c r="G17" s="125" t="s">
        <v>148</v>
      </c>
      <c r="H17" s="130" t="s">
        <v>135</v>
      </c>
      <c r="I17" s="111"/>
      <c r="J17" s="282">
        <f t="shared" si="0"/>
        <v>2000</v>
      </c>
      <c r="K17" s="211">
        <v>70000</v>
      </c>
      <c r="L17" s="212">
        <v>74970</v>
      </c>
      <c r="M17" s="213">
        <v>45550</v>
      </c>
      <c r="N17" s="128">
        <f t="shared" si="1"/>
        <v>106.33999999999651</v>
      </c>
      <c r="O17" s="129">
        <f t="shared" si="2"/>
        <v>0</v>
      </c>
      <c r="P17" s="285" t="str">
        <f t="shared" si="3"/>
        <v>B</v>
      </c>
      <c r="Q17" s="111"/>
      <c r="R17" s="212">
        <v>74970.03</v>
      </c>
      <c r="S17" s="213">
        <v>45550</v>
      </c>
      <c r="T17" s="128">
        <f t="shared" si="4"/>
        <v>106.30999999999767</v>
      </c>
      <c r="U17" s="129">
        <f t="shared" si="5"/>
        <v>0</v>
      </c>
      <c r="V17" s="286" t="str">
        <f t="shared" si="6"/>
        <v>B</v>
      </c>
      <c r="W17" s="130" t="s">
        <v>131</v>
      </c>
      <c r="X17" s="111"/>
      <c r="Y17" s="131" t="str">
        <f t="shared" si="7"/>
        <v>CA114</v>
      </c>
      <c r="Z17" s="281">
        <f t="shared" si="8"/>
        <v>1000</v>
      </c>
      <c r="AA17" s="132">
        <f t="shared" si="9"/>
        <v>71000</v>
      </c>
      <c r="AB17" s="55">
        <f>'HORÓMETRO SEPTIEMBRE 2024'!AG14</f>
        <v>75076.34</v>
      </c>
      <c r="AC17" s="111"/>
    </row>
    <row r="18" spans="2:29" x14ac:dyDescent="0.35">
      <c r="B18" s="125" t="s">
        <v>21</v>
      </c>
      <c r="C18" s="205" t="s">
        <v>6</v>
      </c>
      <c r="D18" s="206" t="s">
        <v>215</v>
      </c>
      <c r="E18" s="208" t="s">
        <v>217</v>
      </c>
      <c r="F18" s="207" t="s">
        <v>211</v>
      </c>
      <c r="G18" s="125" t="s">
        <v>149</v>
      </c>
      <c r="H18" s="130" t="s">
        <v>135</v>
      </c>
      <c r="I18" s="111"/>
      <c r="J18" s="282">
        <f t="shared" si="0"/>
        <v>2000</v>
      </c>
      <c r="K18" s="211">
        <v>70000</v>
      </c>
      <c r="L18" s="212">
        <v>74883.100000000006</v>
      </c>
      <c r="M18" s="213">
        <v>45518</v>
      </c>
      <c r="N18" s="128">
        <f t="shared" si="1"/>
        <v>893.70999999999185</v>
      </c>
      <c r="O18" s="129">
        <f t="shared" si="2"/>
        <v>0</v>
      </c>
      <c r="P18" s="285" t="str">
        <f t="shared" si="3"/>
        <v>B</v>
      </c>
      <c r="Q18" s="111"/>
      <c r="R18" s="212">
        <v>75733.02</v>
      </c>
      <c r="S18" s="213">
        <v>45564</v>
      </c>
      <c r="T18" s="128">
        <f t="shared" si="4"/>
        <v>43.789999999993597</v>
      </c>
      <c r="U18" s="129">
        <f t="shared" si="5"/>
        <v>0</v>
      </c>
      <c r="V18" s="286" t="str">
        <f t="shared" si="6"/>
        <v>B</v>
      </c>
      <c r="W18" s="130" t="s">
        <v>131</v>
      </c>
      <c r="X18" s="111"/>
      <c r="Y18" s="131" t="str">
        <f t="shared" si="7"/>
        <v>CA115</v>
      </c>
      <c r="Z18" s="281">
        <f t="shared" si="8"/>
        <v>1000</v>
      </c>
      <c r="AA18" s="132">
        <f t="shared" si="9"/>
        <v>71000</v>
      </c>
      <c r="AB18" s="55">
        <f>'HORÓMETRO SEPTIEMBRE 2024'!AG15</f>
        <v>75776.81</v>
      </c>
      <c r="AC18" s="111"/>
    </row>
    <row r="19" spans="2:29" x14ac:dyDescent="0.35">
      <c r="B19" s="125" t="s">
        <v>22</v>
      </c>
      <c r="C19" s="205" t="s">
        <v>6</v>
      </c>
      <c r="D19" s="206" t="s">
        <v>215</v>
      </c>
      <c r="E19" s="207" t="s">
        <v>216</v>
      </c>
      <c r="F19" s="207" t="s">
        <v>211</v>
      </c>
      <c r="G19" s="125" t="s">
        <v>150</v>
      </c>
      <c r="H19" s="130" t="s">
        <v>135</v>
      </c>
      <c r="I19" s="111"/>
      <c r="J19" s="282">
        <f t="shared" si="0"/>
        <v>1000</v>
      </c>
      <c r="K19" s="211">
        <v>69000</v>
      </c>
      <c r="L19" s="212">
        <v>73218.619999999879</v>
      </c>
      <c r="M19" s="213">
        <v>45541</v>
      </c>
      <c r="N19" s="128">
        <f t="shared" si="1"/>
        <v>451.10000000012224</v>
      </c>
      <c r="O19" s="129">
        <f t="shared" si="2"/>
        <v>0</v>
      </c>
      <c r="P19" s="285" t="str">
        <f t="shared" si="3"/>
        <v>A</v>
      </c>
      <c r="Q19" s="111"/>
      <c r="R19" s="212">
        <v>73544.160000000003</v>
      </c>
      <c r="S19" s="213">
        <v>45559</v>
      </c>
      <c r="T19" s="128">
        <f t="shared" si="4"/>
        <v>125.55999999999767</v>
      </c>
      <c r="U19" s="129">
        <f t="shared" si="5"/>
        <v>0</v>
      </c>
      <c r="V19" s="286" t="str">
        <f t="shared" si="6"/>
        <v>B</v>
      </c>
      <c r="W19" s="130" t="s">
        <v>131</v>
      </c>
      <c r="X19" s="111"/>
      <c r="Y19" s="131" t="str">
        <f t="shared" si="7"/>
        <v>CA116</v>
      </c>
      <c r="Z19" s="281">
        <f t="shared" si="8"/>
        <v>2000</v>
      </c>
      <c r="AA19" s="132">
        <f t="shared" si="9"/>
        <v>70000</v>
      </c>
      <c r="AB19" s="55">
        <f>'HORÓMETRO SEPTIEMBRE 2024'!AG16</f>
        <v>73669.72</v>
      </c>
      <c r="AC19" s="111"/>
    </row>
    <row r="20" spans="2:29" x14ac:dyDescent="0.35">
      <c r="B20" s="125" t="s">
        <v>23</v>
      </c>
      <c r="C20" s="205" t="s">
        <v>6</v>
      </c>
      <c r="D20" s="207" t="s">
        <v>263</v>
      </c>
      <c r="E20" s="207" t="s">
        <v>216</v>
      </c>
      <c r="F20" s="207" t="s">
        <v>211</v>
      </c>
      <c r="G20" s="125" t="s">
        <v>151</v>
      </c>
      <c r="H20" s="130" t="s">
        <v>135</v>
      </c>
      <c r="I20" s="111"/>
      <c r="J20" s="282">
        <f t="shared" si="0"/>
        <v>2000</v>
      </c>
      <c r="K20" s="211">
        <v>70000</v>
      </c>
      <c r="L20" s="212">
        <v>75246.33</v>
      </c>
      <c r="M20" s="213">
        <v>45555</v>
      </c>
      <c r="N20" s="128">
        <f t="shared" si="1"/>
        <v>180.50999999999476</v>
      </c>
      <c r="O20" s="299">
        <f t="shared" si="2"/>
        <v>0</v>
      </c>
      <c r="P20" s="285" t="str">
        <f t="shared" si="3"/>
        <v>A</v>
      </c>
      <c r="Q20" s="111"/>
      <c r="R20" s="212">
        <v>75267.95</v>
      </c>
      <c r="S20" s="213">
        <v>45558</v>
      </c>
      <c r="T20" s="128">
        <f t="shared" si="4"/>
        <v>158.88999999999942</v>
      </c>
      <c r="U20" s="129">
        <f t="shared" si="5"/>
        <v>0</v>
      </c>
      <c r="V20" s="286" t="str">
        <f t="shared" si="6"/>
        <v>A</v>
      </c>
      <c r="W20" s="130" t="s">
        <v>131</v>
      </c>
      <c r="X20" s="111"/>
      <c r="Y20" s="131" t="str">
        <f t="shared" si="7"/>
        <v>CA117</v>
      </c>
      <c r="Z20" s="281">
        <f t="shared" si="8"/>
        <v>1000</v>
      </c>
      <c r="AA20" s="132">
        <f t="shared" si="9"/>
        <v>71000</v>
      </c>
      <c r="AB20" s="55">
        <f>'HORÓMETRO SEPTIEMBRE 2024'!AG17</f>
        <v>75426.84</v>
      </c>
      <c r="AC20" s="111"/>
    </row>
    <row r="21" spans="2:29" x14ac:dyDescent="0.35">
      <c r="B21" s="125" t="s">
        <v>24</v>
      </c>
      <c r="C21" s="205" t="s">
        <v>6</v>
      </c>
      <c r="D21" s="207" t="s">
        <v>263</v>
      </c>
      <c r="E21" s="207" t="s">
        <v>216</v>
      </c>
      <c r="F21" s="207" t="s">
        <v>211</v>
      </c>
      <c r="G21" s="125" t="s">
        <v>152</v>
      </c>
      <c r="H21" s="130" t="s">
        <v>135</v>
      </c>
      <c r="I21" s="111"/>
      <c r="J21" s="282">
        <f t="shared" si="0"/>
        <v>2000</v>
      </c>
      <c r="K21" s="211">
        <v>70000</v>
      </c>
      <c r="L21" s="212">
        <v>75284.820000000094</v>
      </c>
      <c r="M21" s="213">
        <v>45534</v>
      </c>
      <c r="N21" s="128">
        <f t="shared" si="1"/>
        <v>583.55999999991036</v>
      </c>
      <c r="O21" s="129">
        <f t="shared" si="2"/>
        <v>0</v>
      </c>
      <c r="P21" s="285" t="str">
        <f t="shared" si="3"/>
        <v>B</v>
      </c>
      <c r="Q21" s="111"/>
      <c r="R21" s="212">
        <v>75745.009999999995</v>
      </c>
      <c r="S21" s="213">
        <v>45560</v>
      </c>
      <c r="T21" s="128">
        <f t="shared" si="4"/>
        <v>123.3700000000099</v>
      </c>
      <c r="U21" s="129">
        <f t="shared" si="5"/>
        <v>0</v>
      </c>
      <c r="V21" s="286" t="str">
        <f t="shared" si="6"/>
        <v>B</v>
      </c>
      <c r="W21" s="130" t="s">
        <v>131</v>
      </c>
      <c r="X21" s="111"/>
      <c r="Y21" s="131" t="str">
        <f t="shared" si="7"/>
        <v>CA118</v>
      </c>
      <c r="Z21" s="281">
        <f t="shared" si="8"/>
        <v>1000</v>
      </c>
      <c r="AA21" s="132">
        <f t="shared" si="9"/>
        <v>71000</v>
      </c>
      <c r="AB21" s="55">
        <f>'HORÓMETRO SEPTIEMBRE 2024'!AG18</f>
        <v>75868.38</v>
      </c>
      <c r="AC21" s="111"/>
    </row>
    <row r="22" spans="2:29" x14ac:dyDescent="0.35">
      <c r="B22" s="125" t="s">
        <v>25</v>
      </c>
      <c r="C22" s="205" t="s">
        <v>6</v>
      </c>
      <c r="D22" s="206" t="s">
        <v>215</v>
      </c>
      <c r="E22" s="207" t="s">
        <v>216</v>
      </c>
      <c r="F22" s="207" t="s">
        <v>211</v>
      </c>
      <c r="G22" s="125" t="s">
        <v>153</v>
      </c>
      <c r="H22" s="130" t="s">
        <v>135</v>
      </c>
      <c r="I22" s="111"/>
      <c r="J22" s="282">
        <f t="shared" si="0"/>
        <v>2000</v>
      </c>
      <c r="K22" s="211">
        <v>70000</v>
      </c>
      <c r="L22" s="212">
        <v>73136.380000000296</v>
      </c>
      <c r="M22" s="213">
        <v>45456</v>
      </c>
      <c r="N22" s="128">
        <f t="shared" si="1"/>
        <v>736.54999999969732</v>
      </c>
      <c r="O22" s="129">
        <f t="shared" si="2"/>
        <v>0</v>
      </c>
      <c r="P22" s="285" t="str">
        <f t="shared" si="3"/>
        <v>A</v>
      </c>
      <c r="Q22" s="111"/>
      <c r="R22" s="212">
        <v>73816.960000000006</v>
      </c>
      <c r="S22" s="213">
        <v>45563</v>
      </c>
      <c r="T22" s="128">
        <f t="shared" si="4"/>
        <v>55.969999999986612</v>
      </c>
      <c r="U22" s="129">
        <f t="shared" si="5"/>
        <v>0</v>
      </c>
      <c r="V22" s="286" t="str">
        <f t="shared" si="6"/>
        <v>B</v>
      </c>
      <c r="W22" s="130" t="s">
        <v>131</v>
      </c>
      <c r="X22" s="111"/>
      <c r="Y22" s="131" t="str">
        <f t="shared" si="7"/>
        <v>CA119</v>
      </c>
      <c r="Z22" s="281">
        <f t="shared" si="8"/>
        <v>1000</v>
      </c>
      <c r="AA22" s="132">
        <f t="shared" si="9"/>
        <v>71000</v>
      </c>
      <c r="AB22" s="55">
        <f>'HORÓMETRO SEPTIEMBRE 2024'!AG19</f>
        <v>73872.929999999993</v>
      </c>
      <c r="AC22" s="111"/>
    </row>
    <row r="23" spans="2:29" x14ac:dyDescent="0.35">
      <c r="B23" s="125" t="s">
        <v>26</v>
      </c>
      <c r="C23" s="205" t="s">
        <v>6</v>
      </c>
      <c r="D23" s="206" t="s">
        <v>215</v>
      </c>
      <c r="E23" s="207" t="s">
        <v>216</v>
      </c>
      <c r="F23" s="207" t="s">
        <v>211</v>
      </c>
      <c r="G23" s="125" t="s">
        <v>154</v>
      </c>
      <c r="H23" s="130" t="s">
        <v>135</v>
      </c>
      <c r="I23" s="111"/>
      <c r="J23" s="282">
        <f t="shared" si="0"/>
        <v>2000</v>
      </c>
      <c r="K23" s="211">
        <v>70000</v>
      </c>
      <c r="L23" s="212">
        <v>74225.009999999907</v>
      </c>
      <c r="M23" s="213">
        <v>45527</v>
      </c>
      <c r="N23" s="128">
        <f t="shared" si="1"/>
        <v>710.19000000008964</v>
      </c>
      <c r="O23" s="129">
        <f t="shared" si="2"/>
        <v>0</v>
      </c>
      <c r="P23" s="285" t="str">
        <f t="shared" si="3"/>
        <v>A</v>
      </c>
      <c r="Q23" s="111"/>
      <c r="R23" s="212">
        <v>74876.45</v>
      </c>
      <c r="S23" s="213">
        <v>45563</v>
      </c>
      <c r="T23" s="128">
        <f t="shared" si="4"/>
        <v>58.75</v>
      </c>
      <c r="U23" s="129">
        <f t="shared" si="5"/>
        <v>0</v>
      </c>
      <c r="V23" s="286" t="str">
        <f t="shared" si="6"/>
        <v>B</v>
      </c>
      <c r="W23" s="130" t="s">
        <v>131</v>
      </c>
      <c r="X23" s="111"/>
      <c r="Y23" s="131" t="str">
        <f t="shared" si="7"/>
        <v>CA120</v>
      </c>
      <c r="Z23" s="281">
        <f t="shared" si="8"/>
        <v>1000</v>
      </c>
      <c r="AA23" s="132">
        <f t="shared" si="9"/>
        <v>71000</v>
      </c>
      <c r="AB23" s="55">
        <f>'HORÓMETRO SEPTIEMBRE 2024'!AG20</f>
        <v>74935.199999999997</v>
      </c>
      <c r="AC23" s="111"/>
    </row>
    <row r="24" spans="2:29" x14ac:dyDescent="0.35">
      <c r="B24" s="125" t="s">
        <v>27</v>
      </c>
      <c r="C24" s="205" t="s">
        <v>6</v>
      </c>
      <c r="D24" s="206" t="s">
        <v>215</v>
      </c>
      <c r="E24" s="207" t="s">
        <v>216</v>
      </c>
      <c r="F24" s="207" t="s">
        <v>211</v>
      </c>
      <c r="G24" s="125" t="s">
        <v>155</v>
      </c>
      <c r="H24" s="130" t="s">
        <v>135</v>
      </c>
      <c r="I24" s="111"/>
      <c r="J24" s="282">
        <f t="shared" si="0"/>
        <v>2000</v>
      </c>
      <c r="K24" s="211">
        <v>72000</v>
      </c>
      <c r="L24" s="212">
        <v>75983.600000000006</v>
      </c>
      <c r="M24" s="213">
        <v>45548</v>
      </c>
      <c r="N24" s="128">
        <f t="shared" si="1"/>
        <v>321.26999999998952</v>
      </c>
      <c r="O24" s="129">
        <f t="shared" si="2"/>
        <v>0</v>
      </c>
      <c r="P24" s="285" t="str">
        <f t="shared" si="3"/>
        <v>B</v>
      </c>
      <c r="Q24" s="111"/>
      <c r="R24" s="212">
        <v>76243.679999999993</v>
      </c>
      <c r="S24" s="213">
        <v>45563</v>
      </c>
      <c r="T24" s="128">
        <f t="shared" si="4"/>
        <v>61.190000000002328</v>
      </c>
      <c r="U24" s="129">
        <f t="shared" si="5"/>
        <v>0</v>
      </c>
      <c r="V24" s="286" t="str">
        <f t="shared" si="6"/>
        <v>B</v>
      </c>
      <c r="W24" s="130" t="s">
        <v>131</v>
      </c>
      <c r="X24" s="111"/>
      <c r="Y24" s="131" t="str">
        <f t="shared" si="7"/>
        <v>CA121</v>
      </c>
      <c r="Z24" s="281">
        <f t="shared" si="8"/>
        <v>1000</v>
      </c>
      <c r="AA24" s="132">
        <f t="shared" si="9"/>
        <v>73000</v>
      </c>
      <c r="AB24" s="55">
        <f>'HORÓMETRO SEPTIEMBRE 2024'!AG21</f>
        <v>76304.87</v>
      </c>
      <c r="AC24" s="111"/>
    </row>
    <row r="25" spans="2:29" x14ac:dyDescent="0.35">
      <c r="B25" s="125" t="s">
        <v>28</v>
      </c>
      <c r="C25" s="205" t="s">
        <v>6</v>
      </c>
      <c r="D25" s="206" t="s">
        <v>215</v>
      </c>
      <c r="E25" s="208" t="s">
        <v>217</v>
      </c>
      <c r="F25" s="207" t="s">
        <v>211</v>
      </c>
      <c r="G25" s="125" t="s">
        <v>156</v>
      </c>
      <c r="H25" s="130" t="s">
        <v>135</v>
      </c>
      <c r="I25" s="111"/>
      <c r="J25" s="294">
        <f t="shared" si="0"/>
        <v>2000</v>
      </c>
      <c r="K25" s="295">
        <v>68000</v>
      </c>
      <c r="L25" s="296">
        <v>72499.22</v>
      </c>
      <c r="M25" s="297">
        <v>45567</v>
      </c>
      <c r="N25" s="298">
        <f t="shared" si="1"/>
        <v>0</v>
      </c>
      <c r="O25" s="129">
        <f t="shared" si="2"/>
        <v>0</v>
      </c>
      <c r="P25" s="300" t="str">
        <f t="shared" si="3"/>
        <v>A</v>
      </c>
      <c r="Q25" s="111"/>
      <c r="R25" s="212">
        <v>72499.22</v>
      </c>
      <c r="S25" s="213">
        <v>45567</v>
      </c>
      <c r="T25" s="128">
        <f t="shared" si="4"/>
        <v>0</v>
      </c>
      <c r="U25" s="129">
        <f t="shared" si="5"/>
        <v>0</v>
      </c>
      <c r="V25" s="286" t="str">
        <f t="shared" si="6"/>
        <v>A</v>
      </c>
      <c r="W25" s="130" t="s">
        <v>131</v>
      </c>
      <c r="X25" s="111"/>
      <c r="Y25" s="131" t="str">
        <f t="shared" si="7"/>
        <v>CA122</v>
      </c>
      <c r="Z25" s="281">
        <f t="shared" si="8"/>
        <v>1000</v>
      </c>
      <c r="AA25" s="132">
        <f t="shared" si="9"/>
        <v>69000</v>
      </c>
      <c r="AB25" s="55">
        <f>'HORÓMETRO SEPTIEMBRE 2024'!AG22</f>
        <v>72499.22</v>
      </c>
      <c r="AC25" s="111"/>
    </row>
    <row r="26" spans="2:29" x14ac:dyDescent="0.35">
      <c r="B26" s="125" t="s">
        <v>29</v>
      </c>
      <c r="C26" s="205" t="s">
        <v>6</v>
      </c>
      <c r="D26" s="206" t="s">
        <v>215</v>
      </c>
      <c r="E26" s="208" t="s">
        <v>217</v>
      </c>
      <c r="F26" s="207" t="s">
        <v>211</v>
      </c>
      <c r="G26" s="125" t="s">
        <v>157</v>
      </c>
      <c r="H26" s="130" t="s">
        <v>135</v>
      </c>
      <c r="I26" s="111"/>
      <c r="J26" s="282">
        <f t="shared" si="0"/>
        <v>1000</v>
      </c>
      <c r="K26" s="211">
        <v>65000</v>
      </c>
      <c r="L26" s="212">
        <v>69527.88</v>
      </c>
      <c r="M26" s="213">
        <v>45558</v>
      </c>
      <c r="N26" s="128">
        <f t="shared" si="1"/>
        <v>121.51999999998952</v>
      </c>
      <c r="O26" s="299">
        <f t="shared" si="2"/>
        <v>0</v>
      </c>
      <c r="P26" s="285" t="str">
        <f t="shared" si="3"/>
        <v>A</v>
      </c>
      <c r="Q26" s="111"/>
      <c r="R26" s="212">
        <v>69527.88</v>
      </c>
      <c r="S26" s="213">
        <v>45557</v>
      </c>
      <c r="T26" s="128">
        <f t="shared" si="4"/>
        <v>121.51999999998952</v>
      </c>
      <c r="U26" s="129">
        <f t="shared" si="5"/>
        <v>0</v>
      </c>
      <c r="V26" s="286" t="str">
        <f t="shared" si="6"/>
        <v>A</v>
      </c>
      <c r="W26" s="130" t="s">
        <v>131</v>
      </c>
      <c r="X26" s="111"/>
      <c r="Y26" s="131" t="str">
        <f t="shared" si="7"/>
        <v>CA123</v>
      </c>
      <c r="Z26" s="281">
        <f t="shared" si="8"/>
        <v>2000</v>
      </c>
      <c r="AA26" s="132">
        <f t="shared" si="9"/>
        <v>66000</v>
      </c>
      <c r="AB26" s="55">
        <f>'HORÓMETRO SEPTIEMBRE 2024'!AG23</f>
        <v>69649.399999999994</v>
      </c>
      <c r="AC26" s="111"/>
    </row>
    <row r="27" spans="2:29" x14ac:dyDescent="0.35">
      <c r="B27" s="125" t="s">
        <v>30</v>
      </c>
      <c r="C27" s="205" t="s">
        <v>6</v>
      </c>
      <c r="D27" s="206" t="s">
        <v>215</v>
      </c>
      <c r="E27" s="207" t="s">
        <v>216</v>
      </c>
      <c r="F27" s="207" t="s">
        <v>211</v>
      </c>
      <c r="G27" s="125" t="s">
        <v>158</v>
      </c>
      <c r="H27" s="130" t="s">
        <v>135</v>
      </c>
      <c r="I27" s="111"/>
      <c r="J27" s="282">
        <f t="shared" si="0"/>
        <v>1000</v>
      </c>
      <c r="K27" s="211">
        <v>37000</v>
      </c>
      <c r="L27" s="212">
        <v>67915.440000000031</v>
      </c>
      <c r="M27" s="213">
        <v>45542</v>
      </c>
      <c r="N27" s="128">
        <f t="shared" si="1"/>
        <v>449.50999999996566</v>
      </c>
      <c r="O27" s="129">
        <f t="shared" si="2"/>
        <v>0</v>
      </c>
      <c r="P27" s="285" t="str">
        <f t="shared" si="3"/>
        <v>A</v>
      </c>
      <c r="Q27" s="111"/>
      <c r="R27" s="212">
        <v>68225.72</v>
      </c>
      <c r="S27" s="213">
        <v>45559</v>
      </c>
      <c r="T27" s="128">
        <f t="shared" si="4"/>
        <v>139.22999999999593</v>
      </c>
      <c r="U27" s="129">
        <f t="shared" si="5"/>
        <v>0</v>
      </c>
      <c r="V27" s="286" t="str">
        <f t="shared" si="6"/>
        <v>B</v>
      </c>
      <c r="W27" s="130" t="s">
        <v>131</v>
      </c>
      <c r="X27" s="111"/>
      <c r="Y27" s="131" t="str">
        <f t="shared" si="7"/>
        <v>CA124</v>
      </c>
      <c r="Z27" s="281">
        <f t="shared" si="8"/>
        <v>2000</v>
      </c>
      <c r="AA27" s="132">
        <f t="shared" si="9"/>
        <v>38000</v>
      </c>
      <c r="AB27" s="55">
        <f>'HORÓMETRO SEPTIEMBRE 2024'!AG24</f>
        <v>68364.95</v>
      </c>
      <c r="AC27" s="111"/>
    </row>
    <row r="28" spans="2:29" x14ac:dyDescent="0.35">
      <c r="B28" s="125" t="s">
        <v>31</v>
      </c>
      <c r="C28" s="205" t="s">
        <v>6</v>
      </c>
      <c r="D28" s="206" t="s">
        <v>215</v>
      </c>
      <c r="E28" s="208" t="s">
        <v>217</v>
      </c>
      <c r="F28" s="207" t="s">
        <v>211</v>
      </c>
      <c r="G28" s="125" t="s">
        <v>159</v>
      </c>
      <c r="H28" s="130" t="s">
        <v>135</v>
      </c>
      <c r="I28" s="111"/>
      <c r="J28" s="282">
        <f t="shared" si="0"/>
        <v>1000</v>
      </c>
      <c r="K28" s="211">
        <v>71000</v>
      </c>
      <c r="L28" s="212">
        <v>67694.989999999976</v>
      </c>
      <c r="M28" s="213">
        <v>45526</v>
      </c>
      <c r="N28" s="128">
        <f t="shared" si="1"/>
        <v>695.68000000002212</v>
      </c>
      <c r="O28" s="129">
        <f t="shared" si="2"/>
        <v>0</v>
      </c>
      <c r="P28" s="285" t="str">
        <f t="shared" si="3"/>
        <v>A</v>
      </c>
      <c r="Q28" s="111"/>
      <c r="R28" s="212">
        <v>68334.039999999994</v>
      </c>
      <c r="S28" s="213">
        <v>45563</v>
      </c>
      <c r="T28" s="128">
        <f t="shared" si="4"/>
        <v>56.630000000004657</v>
      </c>
      <c r="U28" s="129">
        <f t="shared" si="5"/>
        <v>0</v>
      </c>
      <c r="V28" s="286" t="str">
        <f t="shared" si="6"/>
        <v>B</v>
      </c>
      <c r="W28" s="130" t="s">
        <v>131</v>
      </c>
      <c r="X28" s="111"/>
      <c r="Y28" s="131" t="str">
        <f t="shared" si="7"/>
        <v>CA125</v>
      </c>
      <c r="Z28" s="281">
        <f t="shared" si="8"/>
        <v>2000</v>
      </c>
      <c r="AA28" s="132">
        <f t="shared" si="9"/>
        <v>72000</v>
      </c>
      <c r="AB28" s="55">
        <f>'HORÓMETRO SEPTIEMBRE 2024'!AG25</f>
        <v>68390.67</v>
      </c>
      <c r="AC28" s="111"/>
    </row>
    <row r="29" spans="2:29" x14ac:dyDescent="0.35">
      <c r="B29" s="125" t="s">
        <v>32</v>
      </c>
      <c r="C29" s="205" t="s">
        <v>6</v>
      </c>
      <c r="D29" s="206" t="s">
        <v>215</v>
      </c>
      <c r="E29" s="208" t="s">
        <v>217</v>
      </c>
      <c r="F29" s="207" t="s">
        <v>211</v>
      </c>
      <c r="G29" s="125" t="s">
        <v>160</v>
      </c>
      <c r="H29" s="130" t="s">
        <v>135</v>
      </c>
      <c r="I29" s="111"/>
      <c r="J29" s="282">
        <f t="shared" si="0"/>
        <v>1000</v>
      </c>
      <c r="K29" s="211">
        <v>65000</v>
      </c>
      <c r="L29" s="212">
        <v>69101.929999999993</v>
      </c>
      <c r="M29" s="213">
        <v>45560</v>
      </c>
      <c r="N29" s="128">
        <f t="shared" si="1"/>
        <v>105.29000000000815</v>
      </c>
      <c r="O29" s="129">
        <f t="shared" si="2"/>
        <v>0</v>
      </c>
      <c r="P29" s="285" t="str">
        <f t="shared" si="3"/>
        <v>B</v>
      </c>
      <c r="Q29" s="111"/>
      <c r="R29" s="212">
        <v>69089.94</v>
      </c>
      <c r="S29" s="213">
        <v>45559</v>
      </c>
      <c r="T29" s="128">
        <f t="shared" si="4"/>
        <v>117.27999999999884</v>
      </c>
      <c r="U29" s="129">
        <f t="shared" si="5"/>
        <v>0</v>
      </c>
      <c r="V29" s="286" t="str">
        <f t="shared" si="6"/>
        <v>B</v>
      </c>
      <c r="W29" s="130" t="s">
        <v>131</v>
      </c>
      <c r="X29" s="111"/>
      <c r="Y29" s="131" t="str">
        <f t="shared" si="7"/>
        <v>CA126</v>
      </c>
      <c r="Z29" s="281">
        <f t="shared" si="8"/>
        <v>2000</v>
      </c>
      <c r="AA29" s="132">
        <f t="shared" si="9"/>
        <v>66000</v>
      </c>
      <c r="AB29" s="55">
        <f>'HORÓMETRO SEPTIEMBRE 2024'!AG26</f>
        <v>69207.22</v>
      </c>
      <c r="AC29" s="111"/>
    </row>
    <row r="30" spans="2:29" x14ac:dyDescent="0.35">
      <c r="B30" s="125" t="s">
        <v>33</v>
      </c>
      <c r="C30" s="205" t="s">
        <v>6</v>
      </c>
      <c r="D30" s="206" t="s">
        <v>215</v>
      </c>
      <c r="E30" s="208" t="s">
        <v>217</v>
      </c>
      <c r="F30" s="207" t="s">
        <v>211</v>
      </c>
      <c r="G30" s="125" t="s">
        <v>161</v>
      </c>
      <c r="H30" s="130" t="s">
        <v>135</v>
      </c>
      <c r="I30" s="111"/>
      <c r="J30" s="282">
        <f t="shared" si="0"/>
        <v>2000</v>
      </c>
      <c r="K30" s="211">
        <v>64000</v>
      </c>
      <c r="L30" s="212">
        <v>68839.770000000019</v>
      </c>
      <c r="M30" s="213">
        <v>45515</v>
      </c>
      <c r="N30" s="128">
        <f t="shared" si="1"/>
        <v>810.04999999998836</v>
      </c>
      <c r="O30" s="129">
        <f t="shared" si="2"/>
        <v>0</v>
      </c>
      <c r="P30" s="285" t="str">
        <f t="shared" si="3"/>
        <v>A</v>
      </c>
      <c r="Q30" s="111"/>
      <c r="R30" s="212">
        <v>69573.509999999995</v>
      </c>
      <c r="S30" s="213">
        <v>45553</v>
      </c>
      <c r="T30" s="128">
        <f t="shared" si="4"/>
        <v>76.310000000012224</v>
      </c>
      <c r="U30" s="129">
        <f t="shared" si="5"/>
        <v>0</v>
      </c>
      <c r="V30" s="286" t="str">
        <f t="shared" si="6"/>
        <v>A</v>
      </c>
      <c r="W30" s="130" t="s">
        <v>131</v>
      </c>
      <c r="X30" s="111"/>
      <c r="Y30" s="131" t="str">
        <f t="shared" si="7"/>
        <v>CA127</v>
      </c>
      <c r="Z30" s="281">
        <f t="shared" si="8"/>
        <v>1000</v>
      </c>
      <c r="AA30" s="132">
        <f t="shared" si="9"/>
        <v>65000</v>
      </c>
      <c r="AB30" s="55">
        <f>'HORÓMETRO SEPTIEMBRE 2024'!AG27</f>
        <v>69649.820000000007</v>
      </c>
      <c r="AC30" s="111"/>
    </row>
    <row r="31" spans="2:29" x14ac:dyDescent="0.35">
      <c r="B31" s="125" t="s">
        <v>34</v>
      </c>
      <c r="C31" s="205" t="s">
        <v>6</v>
      </c>
      <c r="D31" s="207" t="s">
        <v>263</v>
      </c>
      <c r="E31" s="208" t="s">
        <v>217</v>
      </c>
      <c r="F31" s="207" t="s">
        <v>211</v>
      </c>
      <c r="G31" s="125" t="s">
        <v>162</v>
      </c>
      <c r="H31" s="130" t="s">
        <v>135</v>
      </c>
      <c r="I31" s="111"/>
      <c r="J31" s="282">
        <f t="shared" si="0"/>
        <v>2000</v>
      </c>
      <c r="K31" s="211">
        <v>62000</v>
      </c>
      <c r="L31" s="212">
        <v>66771.250000000087</v>
      </c>
      <c r="M31" s="213">
        <v>45527</v>
      </c>
      <c r="N31" s="128">
        <f t="shared" si="1"/>
        <v>556.09999999991851</v>
      </c>
      <c r="O31" s="129">
        <f t="shared" si="2"/>
        <v>0</v>
      </c>
      <c r="P31" s="285" t="str">
        <f t="shared" si="3"/>
        <v>A</v>
      </c>
      <c r="Q31" s="111"/>
      <c r="R31" s="212">
        <v>67088.12</v>
      </c>
      <c r="S31" s="213">
        <v>45553</v>
      </c>
      <c r="T31" s="128">
        <f t="shared" si="4"/>
        <v>239.23000000001048</v>
      </c>
      <c r="U31" s="129">
        <f t="shared" si="5"/>
        <v>0</v>
      </c>
      <c r="V31" s="286" t="str">
        <f t="shared" si="6"/>
        <v>A</v>
      </c>
      <c r="W31" s="130" t="s">
        <v>131</v>
      </c>
      <c r="X31" s="111"/>
      <c r="Y31" s="131" t="str">
        <f t="shared" si="7"/>
        <v>CA128</v>
      </c>
      <c r="Z31" s="281">
        <f t="shared" si="8"/>
        <v>1000</v>
      </c>
      <c r="AA31" s="132">
        <f t="shared" si="9"/>
        <v>63000</v>
      </c>
      <c r="AB31" s="55">
        <f>'HORÓMETRO SEPTIEMBRE 2024'!AG28</f>
        <v>67327.350000000006</v>
      </c>
      <c r="AC31" s="111"/>
    </row>
    <row r="32" spans="2:29" x14ac:dyDescent="0.35">
      <c r="B32" s="125" t="s">
        <v>35</v>
      </c>
      <c r="C32" s="205" t="s">
        <v>6</v>
      </c>
      <c r="D32" s="207" t="s">
        <v>263</v>
      </c>
      <c r="E32" s="207" t="s">
        <v>216</v>
      </c>
      <c r="F32" s="207" t="s">
        <v>211</v>
      </c>
      <c r="G32" s="125" t="s">
        <v>163</v>
      </c>
      <c r="H32" s="130" t="s">
        <v>135</v>
      </c>
      <c r="I32" s="111"/>
      <c r="J32" s="282">
        <f t="shared" si="0"/>
        <v>1000</v>
      </c>
      <c r="K32" s="211">
        <v>63000</v>
      </c>
      <c r="L32" s="212">
        <v>67838.360000000073</v>
      </c>
      <c r="M32" s="213">
        <v>45517</v>
      </c>
      <c r="N32" s="128">
        <f t="shared" si="1"/>
        <v>935.26999999993131</v>
      </c>
      <c r="O32" s="129">
        <f t="shared" si="2"/>
        <v>0</v>
      </c>
      <c r="P32" s="285" t="str">
        <f t="shared" si="3"/>
        <v>B</v>
      </c>
      <c r="Q32" s="111"/>
      <c r="R32" s="212">
        <v>68653.789999999994</v>
      </c>
      <c r="S32" s="213">
        <v>45560</v>
      </c>
      <c r="T32" s="128">
        <f t="shared" si="4"/>
        <v>119.84000000001106</v>
      </c>
      <c r="U32" s="129">
        <f t="shared" si="5"/>
        <v>0</v>
      </c>
      <c r="V32" s="286" t="str">
        <f t="shared" si="6"/>
        <v>B</v>
      </c>
      <c r="W32" s="130" t="s">
        <v>131</v>
      </c>
      <c r="X32" s="111"/>
      <c r="Y32" s="131" t="str">
        <f t="shared" si="7"/>
        <v>CA129</v>
      </c>
      <c r="Z32" s="281">
        <f t="shared" si="8"/>
        <v>2000</v>
      </c>
      <c r="AA32" s="132">
        <f t="shared" si="9"/>
        <v>64000</v>
      </c>
      <c r="AB32" s="55">
        <f>'HORÓMETRO SEPTIEMBRE 2024'!AG29</f>
        <v>68773.63</v>
      </c>
      <c r="AC32" s="111"/>
    </row>
    <row r="33" spans="2:29" x14ac:dyDescent="0.35">
      <c r="B33" s="125" t="s">
        <v>36</v>
      </c>
      <c r="C33" s="205" t="s">
        <v>6</v>
      </c>
      <c r="D33" s="207" t="s">
        <v>263</v>
      </c>
      <c r="E33" s="208" t="s">
        <v>217</v>
      </c>
      <c r="F33" s="207" t="s">
        <v>211</v>
      </c>
      <c r="G33" s="125" t="s">
        <v>164</v>
      </c>
      <c r="H33" s="130" t="s">
        <v>135</v>
      </c>
      <c r="I33" s="111"/>
      <c r="J33" s="282">
        <f t="shared" si="0"/>
        <v>1000</v>
      </c>
      <c r="K33" s="211">
        <v>63000</v>
      </c>
      <c r="L33" s="212">
        <v>68100.25</v>
      </c>
      <c r="M33" s="213">
        <v>45555</v>
      </c>
      <c r="N33" s="128">
        <f t="shared" si="1"/>
        <v>203.74000000000524</v>
      </c>
      <c r="O33" s="299">
        <f t="shared" si="2"/>
        <v>0</v>
      </c>
      <c r="P33" s="285" t="str">
        <f t="shared" si="3"/>
        <v>A</v>
      </c>
      <c r="Q33" s="111"/>
      <c r="R33" s="212">
        <v>68179.55</v>
      </c>
      <c r="S33" s="213">
        <v>45560</v>
      </c>
      <c r="T33" s="128">
        <f t="shared" si="4"/>
        <v>124.44000000000233</v>
      </c>
      <c r="U33" s="129">
        <f t="shared" si="5"/>
        <v>0</v>
      </c>
      <c r="V33" s="286" t="str">
        <f t="shared" si="6"/>
        <v>B</v>
      </c>
      <c r="W33" s="130" t="s">
        <v>131</v>
      </c>
      <c r="X33" s="111"/>
      <c r="Y33" s="131" t="str">
        <f t="shared" si="7"/>
        <v>CA130</v>
      </c>
      <c r="Z33" s="281">
        <f t="shared" si="8"/>
        <v>2000</v>
      </c>
      <c r="AA33" s="132">
        <f t="shared" si="9"/>
        <v>64000</v>
      </c>
      <c r="AB33" s="55">
        <f>'HORÓMETRO SEPTIEMBRE 2024'!AG30</f>
        <v>68303.990000000005</v>
      </c>
      <c r="AC33" s="111"/>
    </row>
    <row r="34" spans="2:29" x14ac:dyDescent="0.35">
      <c r="B34" s="125" t="s">
        <v>37</v>
      </c>
      <c r="C34" s="205" t="s">
        <v>6</v>
      </c>
      <c r="D34" s="207" t="s">
        <v>263</v>
      </c>
      <c r="E34" s="207" t="s">
        <v>216</v>
      </c>
      <c r="F34" s="207" t="s">
        <v>211</v>
      </c>
      <c r="G34" s="125" t="s">
        <v>165</v>
      </c>
      <c r="H34" s="130" t="s">
        <v>135</v>
      </c>
      <c r="I34" s="111"/>
      <c r="J34" s="282">
        <f t="shared" si="0"/>
        <v>2000</v>
      </c>
      <c r="K34" s="211">
        <v>64000</v>
      </c>
      <c r="L34" s="212">
        <v>67748.290000000066</v>
      </c>
      <c r="M34" s="213">
        <v>45531</v>
      </c>
      <c r="N34" s="128">
        <f t="shared" si="1"/>
        <v>355.28999999993539</v>
      </c>
      <c r="O34" s="129">
        <f t="shared" si="2"/>
        <v>0</v>
      </c>
      <c r="P34" s="285" t="str">
        <f t="shared" si="3"/>
        <v>B</v>
      </c>
      <c r="Q34" s="111"/>
      <c r="R34" s="212">
        <v>68024.740000000005</v>
      </c>
      <c r="S34" s="213">
        <v>45558</v>
      </c>
      <c r="T34" s="128">
        <f t="shared" si="4"/>
        <v>78.839999999996508</v>
      </c>
      <c r="U34" s="129">
        <f t="shared" si="5"/>
        <v>0</v>
      </c>
      <c r="V34" s="286" t="str">
        <f t="shared" si="6"/>
        <v>A</v>
      </c>
      <c r="W34" s="130" t="s">
        <v>131</v>
      </c>
      <c r="X34" s="111"/>
      <c r="Y34" s="131" t="str">
        <f t="shared" si="7"/>
        <v>CA131</v>
      </c>
      <c r="Z34" s="281">
        <f t="shared" si="8"/>
        <v>1000</v>
      </c>
      <c r="AA34" s="132">
        <f t="shared" si="9"/>
        <v>65000</v>
      </c>
      <c r="AB34" s="55">
        <f>'HORÓMETRO SEPTIEMBRE 2024'!AG31</f>
        <v>68103.58</v>
      </c>
      <c r="AC34" s="111"/>
    </row>
    <row r="35" spans="2:29" x14ac:dyDescent="0.35">
      <c r="B35" s="125" t="s">
        <v>38</v>
      </c>
      <c r="C35" s="205" t="s">
        <v>6</v>
      </c>
      <c r="D35" s="206" t="s">
        <v>215</v>
      </c>
      <c r="E35" s="207" t="s">
        <v>216</v>
      </c>
      <c r="F35" s="207" t="s">
        <v>211</v>
      </c>
      <c r="G35" s="125" t="s">
        <v>166</v>
      </c>
      <c r="H35" s="130" t="s">
        <v>135</v>
      </c>
      <c r="I35" s="111"/>
      <c r="J35" s="282">
        <f t="shared" si="0"/>
        <v>1000</v>
      </c>
      <c r="K35" s="211">
        <v>65000</v>
      </c>
      <c r="L35" s="212">
        <v>68178.620000000112</v>
      </c>
      <c r="M35" s="213">
        <v>45540</v>
      </c>
      <c r="N35" s="128">
        <f t="shared" si="1"/>
        <v>523.86999999989348</v>
      </c>
      <c r="O35" s="129">
        <f t="shared" si="2"/>
        <v>0</v>
      </c>
      <c r="P35" s="285" t="str">
        <f t="shared" si="3"/>
        <v>A</v>
      </c>
      <c r="Q35" s="111"/>
      <c r="R35" s="212">
        <v>68450.61</v>
      </c>
      <c r="S35" s="213">
        <v>45554</v>
      </c>
      <c r="T35" s="128">
        <f t="shared" si="4"/>
        <v>251.88000000000466</v>
      </c>
      <c r="U35" s="129">
        <f t="shared" si="5"/>
        <v>0</v>
      </c>
      <c r="V35" s="286" t="str">
        <f t="shared" si="6"/>
        <v>A</v>
      </c>
      <c r="W35" s="130" t="s">
        <v>131</v>
      </c>
      <c r="X35" s="111"/>
      <c r="Y35" s="131" t="str">
        <f t="shared" si="7"/>
        <v>CA132</v>
      </c>
      <c r="Z35" s="281">
        <f t="shared" si="8"/>
        <v>2000</v>
      </c>
      <c r="AA35" s="132">
        <f t="shared" si="9"/>
        <v>66000</v>
      </c>
      <c r="AB35" s="55">
        <f>'HORÓMETRO SEPTIEMBRE 2024'!AG32</f>
        <v>68702.490000000005</v>
      </c>
      <c r="AC35" s="111"/>
    </row>
    <row r="36" spans="2:29" x14ac:dyDescent="0.35">
      <c r="B36" s="125" t="s">
        <v>39</v>
      </c>
      <c r="C36" s="205" t="s">
        <v>6</v>
      </c>
      <c r="D36" s="206" t="s">
        <v>215</v>
      </c>
      <c r="E36" s="207" t="s">
        <v>216</v>
      </c>
      <c r="F36" s="207" t="s">
        <v>211</v>
      </c>
      <c r="G36" s="125" t="s">
        <v>167</v>
      </c>
      <c r="H36" s="130" t="s">
        <v>135</v>
      </c>
      <c r="I36" s="111"/>
      <c r="J36" s="282">
        <f t="shared" si="0"/>
        <v>1000</v>
      </c>
      <c r="K36" s="211">
        <v>61000</v>
      </c>
      <c r="L36" s="212">
        <v>66900.969999999914</v>
      </c>
      <c r="M36" s="213">
        <v>45512</v>
      </c>
      <c r="N36" s="128">
        <f t="shared" si="1"/>
        <v>966.23000000008324</v>
      </c>
      <c r="O36" s="129">
        <f t="shared" si="2"/>
        <v>0</v>
      </c>
      <c r="P36" s="285" t="str">
        <f t="shared" si="3"/>
        <v>A</v>
      </c>
      <c r="Q36" s="111"/>
      <c r="R36" s="212">
        <v>67827.92</v>
      </c>
      <c r="S36" s="213">
        <v>45564</v>
      </c>
      <c r="T36" s="128">
        <f t="shared" si="4"/>
        <v>39.279999999998836</v>
      </c>
      <c r="U36" s="129">
        <f t="shared" si="5"/>
        <v>0</v>
      </c>
      <c r="V36" s="286" t="str">
        <f t="shared" si="6"/>
        <v>B</v>
      </c>
      <c r="W36" s="130" t="s">
        <v>131</v>
      </c>
      <c r="X36" s="111"/>
      <c r="Y36" s="131" t="str">
        <f t="shared" si="7"/>
        <v>CA133</v>
      </c>
      <c r="Z36" s="281">
        <f t="shared" si="8"/>
        <v>2000</v>
      </c>
      <c r="AA36" s="132">
        <f t="shared" si="9"/>
        <v>62000</v>
      </c>
      <c r="AB36" s="55">
        <f>'HORÓMETRO SEPTIEMBRE 2024'!AG33</f>
        <v>67867.199999999997</v>
      </c>
      <c r="AC36" s="111"/>
    </row>
    <row r="37" spans="2:29" x14ac:dyDescent="0.35">
      <c r="B37" s="133" t="s">
        <v>40</v>
      </c>
      <c r="C37" s="209" t="s">
        <v>129</v>
      </c>
      <c r="D37" s="207" t="s">
        <v>263</v>
      </c>
      <c r="E37" s="207" t="s">
        <v>216</v>
      </c>
      <c r="F37" s="207" t="s">
        <v>211</v>
      </c>
      <c r="G37" s="125" t="s">
        <v>168</v>
      </c>
      <c r="H37" s="130" t="s">
        <v>135</v>
      </c>
      <c r="I37" s="111"/>
      <c r="J37" s="282">
        <f t="shared" si="0"/>
        <v>2000</v>
      </c>
      <c r="K37" s="211">
        <v>46000</v>
      </c>
      <c r="L37" s="212">
        <v>49552.3</v>
      </c>
      <c r="M37" s="213">
        <v>45519</v>
      </c>
      <c r="N37" s="128">
        <f t="shared" si="1"/>
        <v>853.04999999999563</v>
      </c>
      <c r="O37" s="129">
        <f t="shared" si="2"/>
        <v>0</v>
      </c>
      <c r="P37" s="285" t="str">
        <f t="shared" si="3"/>
        <v>B</v>
      </c>
      <c r="Q37" s="111"/>
      <c r="R37" s="212">
        <v>49987.12</v>
      </c>
      <c r="S37" s="213">
        <v>45544</v>
      </c>
      <c r="T37" s="128">
        <f t="shared" si="4"/>
        <v>418.22999999999593</v>
      </c>
      <c r="U37" s="129">
        <f t="shared" si="5"/>
        <v>0</v>
      </c>
      <c r="V37" s="286" t="str">
        <f t="shared" si="6"/>
        <v>A</v>
      </c>
      <c r="W37" s="130" t="s">
        <v>131</v>
      </c>
      <c r="X37" s="111"/>
      <c r="Y37" s="134" t="str">
        <f t="shared" si="7"/>
        <v>CA134</v>
      </c>
      <c r="Z37" s="281">
        <f t="shared" si="8"/>
        <v>1000</v>
      </c>
      <c r="AA37" s="132">
        <f t="shared" si="9"/>
        <v>47000</v>
      </c>
      <c r="AB37" s="55">
        <f>'HORÓMETRO SEPTIEMBRE 2024'!AG34</f>
        <v>50405.35</v>
      </c>
      <c r="AC37" s="111"/>
    </row>
    <row r="38" spans="2:29" x14ac:dyDescent="0.35">
      <c r="B38" s="125" t="s">
        <v>41</v>
      </c>
      <c r="C38" s="205" t="s">
        <v>6</v>
      </c>
      <c r="D38" s="206" t="s">
        <v>215</v>
      </c>
      <c r="E38" s="207" t="s">
        <v>216</v>
      </c>
      <c r="F38" s="207" t="s">
        <v>211</v>
      </c>
      <c r="G38" s="125" t="s">
        <v>169</v>
      </c>
      <c r="H38" s="130" t="s">
        <v>135</v>
      </c>
      <c r="I38" s="111"/>
      <c r="J38" s="282">
        <f t="shared" si="0"/>
        <v>2000</v>
      </c>
      <c r="K38" s="211">
        <v>48000</v>
      </c>
      <c r="L38" s="212">
        <v>52273.699999999968</v>
      </c>
      <c r="M38" s="213">
        <v>45527</v>
      </c>
      <c r="N38" s="128">
        <f t="shared" si="1"/>
        <v>717.67000000003463</v>
      </c>
      <c r="O38" s="129">
        <f t="shared" si="2"/>
        <v>0</v>
      </c>
      <c r="P38" s="285" t="str">
        <f t="shared" si="3"/>
        <v>A</v>
      </c>
      <c r="Q38" s="111"/>
      <c r="R38" s="212">
        <v>52816.01</v>
      </c>
      <c r="S38" s="213">
        <v>45557</v>
      </c>
      <c r="T38" s="128">
        <f t="shared" si="4"/>
        <v>175.36000000000058</v>
      </c>
      <c r="U38" s="129">
        <f t="shared" si="5"/>
        <v>0</v>
      </c>
      <c r="V38" s="286" t="str">
        <f t="shared" si="6"/>
        <v>A</v>
      </c>
      <c r="W38" s="130" t="s">
        <v>131</v>
      </c>
      <c r="X38" s="111"/>
      <c r="Y38" s="131" t="str">
        <f t="shared" si="7"/>
        <v>CA135</v>
      </c>
      <c r="Z38" s="281">
        <f t="shared" si="8"/>
        <v>1000</v>
      </c>
      <c r="AA38" s="132">
        <f t="shared" si="9"/>
        <v>49000</v>
      </c>
      <c r="AB38" s="55">
        <f>'HORÓMETRO SEPTIEMBRE 2024'!AG35</f>
        <v>52991.37</v>
      </c>
      <c r="AC38" s="111"/>
    </row>
    <row r="39" spans="2:29" x14ac:dyDescent="0.35">
      <c r="B39" s="133" t="s">
        <v>42</v>
      </c>
      <c r="C39" s="209" t="s">
        <v>129</v>
      </c>
      <c r="D39" s="206" t="s">
        <v>215</v>
      </c>
      <c r="E39" s="207" t="s">
        <v>216</v>
      </c>
      <c r="F39" s="207" t="s">
        <v>211</v>
      </c>
      <c r="G39" s="125" t="s">
        <v>170</v>
      </c>
      <c r="H39" s="130" t="s">
        <v>135</v>
      </c>
      <c r="I39" s="111"/>
      <c r="J39" s="282">
        <f t="shared" ref="J39:J70" si="10">CHOOSE(MOD(INT((K39-1000)/1000), 4) + 1, 1000, 2000, 1000, 2000)</f>
        <v>2000</v>
      </c>
      <c r="K39" s="211">
        <v>42000</v>
      </c>
      <c r="L39" s="212">
        <v>46521.85000000002</v>
      </c>
      <c r="M39" s="213">
        <v>45505</v>
      </c>
      <c r="N39" s="128">
        <f t="shared" ref="N39:N70" si="11">IF(L39="","",AB39-L39)</f>
        <v>972.42999999997846</v>
      </c>
      <c r="O39" s="129">
        <f t="shared" ref="O39:O70" si="12">IF(N39 &lt; 1000, 0, (N39 - 1000) / 1000)</f>
        <v>0</v>
      </c>
      <c r="P39" s="285" t="str">
        <f t="shared" ref="P39:P70" si="13">IF(M39="","",IF(MOD(WEEKNUM(M39,12),2)=1,"A","B"))</f>
        <v>B</v>
      </c>
      <c r="Q39" s="111"/>
      <c r="R39" s="212">
        <v>47332.33</v>
      </c>
      <c r="S39" s="213">
        <v>45556</v>
      </c>
      <c r="T39" s="128">
        <f t="shared" ref="T39:T70" si="14">IF(R39="","",AB39-R39)</f>
        <v>161.94999999999709</v>
      </c>
      <c r="U39" s="129">
        <f t="shared" ref="U39:U70" si="15">IF(T39 &lt; 500, 0, (T39 - 500) / 500)</f>
        <v>0</v>
      </c>
      <c r="V39" s="286" t="str">
        <f t="shared" ref="V39:V70" si="16">IF(S39="","",IF(MOD(WEEKNUM(S39,12),2)=1,"A","B"))</f>
        <v>A</v>
      </c>
      <c r="W39" s="130" t="s">
        <v>131</v>
      </c>
      <c r="X39" s="111"/>
      <c r="Y39" s="134" t="str">
        <f t="shared" ref="Y39:Y70" si="17">B39</f>
        <v>CA136</v>
      </c>
      <c r="Z39" s="281">
        <f t="shared" ref="Z39:Z70" si="18">CHOOSE(MOD(INT((AA39-1000)/1000), 4) + 1, 1000, 2000, 1000, 2000)</f>
        <v>1000</v>
      </c>
      <c r="AA39" s="132">
        <f t="shared" ref="AA39:AA74" si="19">K39+1000</f>
        <v>43000</v>
      </c>
      <c r="AB39" s="55">
        <f>'HORÓMETRO SEPTIEMBRE 2024'!AG36</f>
        <v>47494.28</v>
      </c>
      <c r="AC39" s="111"/>
    </row>
    <row r="40" spans="2:29" x14ac:dyDescent="0.35">
      <c r="B40" s="125" t="s">
        <v>43</v>
      </c>
      <c r="C40" s="205" t="s">
        <v>6</v>
      </c>
      <c r="D40" s="207" t="s">
        <v>263</v>
      </c>
      <c r="E40" s="208" t="s">
        <v>217</v>
      </c>
      <c r="F40" s="207" t="s">
        <v>211</v>
      </c>
      <c r="G40" s="125" t="s">
        <v>171</v>
      </c>
      <c r="H40" s="130" t="s">
        <v>135</v>
      </c>
      <c r="I40" s="111"/>
      <c r="J40" s="282">
        <f t="shared" si="10"/>
        <v>2000</v>
      </c>
      <c r="K40" s="211">
        <v>48000</v>
      </c>
      <c r="L40" s="212">
        <v>52345.050000000047</v>
      </c>
      <c r="M40" s="213">
        <v>45539</v>
      </c>
      <c r="N40" s="128">
        <f t="shared" si="11"/>
        <v>458.35999999995693</v>
      </c>
      <c r="O40" s="129">
        <f t="shared" si="12"/>
        <v>0</v>
      </c>
      <c r="P40" s="285" t="str">
        <f t="shared" si="13"/>
        <v>A</v>
      </c>
      <c r="Q40" s="111"/>
      <c r="R40" s="212">
        <v>52568.6</v>
      </c>
      <c r="S40" s="213">
        <v>45552</v>
      </c>
      <c r="T40" s="128">
        <f t="shared" si="14"/>
        <v>234.81000000000495</v>
      </c>
      <c r="U40" s="129">
        <f t="shared" si="15"/>
        <v>0</v>
      </c>
      <c r="V40" s="286" t="str">
        <f t="shared" si="16"/>
        <v>A</v>
      </c>
      <c r="W40" s="130" t="s">
        <v>131</v>
      </c>
      <c r="X40" s="111"/>
      <c r="Y40" s="131" t="str">
        <f t="shared" si="17"/>
        <v>CA137</v>
      </c>
      <c r="Z40" s="281">
        <f t="shared" si="18"/>
        <v>1000</v>
      </c>
      <c r="AA40" s="132">
        <f t="shared" si="19"/>
        <v>49000</v>
      </c>
      <c r="AB40" s="55">
        <f>'HORÓMETRO SEPTIEMBRE 2024'!AG37</f>
        <v>52803.41</v>
      </c>
      <c r="AC40" s="111"/>
    </row>
    <row r="41" spans="2:29" x14ac:dyDescent="0.35">
      <c r="B41" s="125" t="s">
        <v>44</v>
      </c>
      <c r="C41" s="205" t="s">
        <v>6</v>
      </c>
      <c r="D41" s="206" t="s">
        <v>215</v>
      </c>
      <c r="E41" s="207" t="s">
        <v>216</v>
      </c>
      <c r="F41" s="207" t="s">
        <v>211</v>
      </c>
      <c r="G41" s="125" t="s">
        <v>172</v>
      </c>
      <c r="H41" s="130" t="s">
        <v>135</v>
      </c>
      <c r="I41" s="111"/>
      <c r="J41" s="282">
        <f t="shared" si="10"/>
        <v>2000</v>
      </c>
      <c r="K41" s="211">
        <v>48000</v>
      </c>
      <c r="L41" s="212">
        <v>52445</v>
      </c>
      <c r="M41" s="213">
        <v>45489</v>
      </c>
      <c r="N41" s="128">
        <f t="shared" si="11"/>
        <v>940.66000000000349</v>
      </c>
      <c r="O41" s="129">
        <f t="shared" si="12"/>
        <v>0</v>
      </c>
      <c r="P41" s="285" t="str">
        <f t="shared" si="13"/>
        <v>B</v>
      </c>
      <c r="Q41" s="111"/>
      <c r="R41" s="212">
        <v>53280.75</v>
      </c>
      <c r="S41" s="213">
        <v>45561</v>
      </c>
      <c r="T41" s="128">
        <f t="shared" si="14"/>
        <v>104.91000000000349</v>
      </c>
      <c r="U41" s="129">
        <f t="shared" si="15"/>
        <v>0</v>
      </c>
      <c r="V41" s="286" t="str">
        <f t="shared" si="16"/>
        <v>B</v>
      </c>
      <c r="W41" s="130" t="s">
        <v>131</v>
      </c>
      <c r="X41" s="111"/>
      <c r="Y41" s="131" t="str">
        <f t="shared" si="17"/>
        <v>CA138</v>
      </c>
      <c r="Z41" s="281">
        <f t="shared" si="18"/>
        <v>1000</v>
      </c>
      <c r="AA41" s="132">
        <f t="shared" si="19"/>
        <v>49000</v>
      </c>
      <c r="AB41" s="55">
        <f>'HORÓMETRO SEPTIEMBRE 2024'!AG38</f>
        <v>53385.66</v>
      </c>
      <c r="AC41" s="111"/>
    </row>
    <row r="42" spans="2:29" x14ac:dyDescent="0.35">
      <c r="B42" s="125" t="s">
        <v>45</v>
      </c>
      <c r="C42" s="205" t="s">
        <v>6</v>
      </c>
      <c r="D42" s="206" t="s">
        <v>215</v>
      </c>
      <c r="E42" s="207" t="s">
        <v>216</v>
      </c>
      <c r="F42" s="207" t="s">
        <v>211</v>
      </c>
      <c r="G42" s="125" t="s">
        <v>173</v>
      </c>
      <c r="H42" s="130" t="s">
        <v>135</v>
      </c>
      <c r="I42" s="111"/>
      <c r="J42" s="282">
        <f t="shared" si="10"/>
        <v>1000</v>
      </c>
      <c r="K42" s="211">
        <v>47000</v>
      </c>
      <c r="L42" s="212">
        <v>51758.41</v>
      </c>
      <c r="M42" s="213">
        <v>45560</v>
      </c>
      <c r="N42" s="128">
        <f t="shared" si="11"/>
        <v>66.109999999993306</v>
      </c>
      <c r="O42" s="129">
        <f t="shared" si="12"/>
        <v>0</v>
      </c>
      <c r="P42" s="285" t="str">
        <f t="shared" si="13"/>
        <v>B</v>
      </c>
      <c r="Q42" s="111"/>
      <c r="R42" s="212">
        <v>51747.38</v>
      </c>
      <c r="S42" s="213">
        <v>45559</v>
      </c>
      <c r="T42" s="128">
        <f t="shared" si="14"/>
        <v>77.139999999999418</v>
      </c>
      <c r="U42" s="129">
        <f t="shared" si="15"/>
        <v>0</v>
      </c>
      <c r="V42" s="286" t="str">
        <f t="shared" si="16"/>
        <v>B</v>
      </c>
      <c r="W42" s="130" t="s">
        <v>131</v>
      </c>
      <c r="X42" s="111"/>
      <c r="Y42" s="131" t="str">
        <f t="shared" si="17"/>
        <v>CA139</v>
      </c>
      <c r="Z42" s="281">
        <f t="shared" si="18"/>
        <v>2000</v>
      </c>
      <c r="AA42" s="132">
        <f t="shared" si="19"/>
        <v>48000</v>
      </c>
      <c r="AB42" s="55">
        <f>'HORÓMETRO SEPTIEMBRE 2024'!AG39</f>
        <v>51824.52</v>
      </c>
      <c r="AC42" s="111"/>
    </row>
    <row r="43" spans="2:29" x14ac:dyDescent="0.35">
      <c r="B43" s="125" t="s">
        <v>46</v>
      </c>
      <c r="C43" s="205" t="s">
        <v>6</v>
      </c>
      <c r="D43" s="206" t="s">
        <v>215</v>
      </c>
      <c r="E43" s="208" t="s">
        <v>217</v>
      </c>
      <c r="F43" s="207" t="s">
        <v>211</v>
      </c>
      <c r="G43" s="125" t="s">
        <v>174</v>
      </c>
      <c r="H43" s="130" t="s">
        <v>135</v>
      </c>
      <c r="I43" s="111"/>
      <c r="J43" s="282">
        <f t="shared" si="10"/>
        <v>1000</v>
      </c>
      <c r="K43" s="211">
        <v>47000</v>
      </c>
      <c r="L43" s="212">
        <v>52136.809999999969</v>
      </c>
      <c r="M43" s="213">
        <v>45515</v>
      </c>
      <c r="N43" s="128">
        <f t="shared" si="11"/>
        <v>972.9100000000326</v>
      </c>
      <c r="O43" s="129">
        <f t="shared" si="12"/>
        <v>0</v>
      </c>
      <c r="P43" s="285" t="str">
        <f t="shared" si="13"/>
        <v>A</v>
      </c>
      <c r="Q43" s="111"/>
      <c r="R43" s="212">
        <v>52973.68</v>
      </c>
      <c r="S43" s="213">
        <v>45559</v>
      </c>
      <c r="T43" s="128">
        <f t="shared" si="14"/>
        <v>136.04000000000087</v>
      </c>
      <c r="U43" s="129">
        <f t="shared" si="15"/>
        <v>0</v>
      </c>
      <c r="V43" s="286" t="str">
        <f t="shared" si="16"/>
        <v>B</v>
      </c>
      <c r="W43" s="130" t="s">
        <v>131</v>
      </c>
      <c r="X43" s="111"/>
      <c r="Y43" s="131" t="str">
        <f t="shared" si="17"/>
        <v>CA140</v>
      </c>
      <c r="Z43" s="281">
        <f t="shared" si="18"/>
        <v>2000</v>
      </c>
      <c r="AA43" s="132">
        <f t="shared" si="19"/>
        <v>48000</v>
      </c>
      <c r="AB43" s="55">
        <f>'HORÓMETRO SEPTIEMBRE 2024'!AG40</f>
        <v>53109.72</v>
      </c>
      <c r="AC43" s="111"/>
    </row>
    <row r="44" spans="2:29" x14ac:dyDescent="0.35">
      <c r="B44" s="125" t="s">
        <v>47</v>
      </c>
      <c r="C44" s="205" t="s">
        <v>6</v>
      </c>
      <c r="D44" s="206" t="s">
        <v>215</v>
      </c>
      <c r="E44" s="208" t="s">
        <v>217</v>
      </c>
      <c r="F44" s="207" t="s">
        <v>211</v>
      </c>
      <c r="G44" s="125" t="s">
        <v>175</v>
      </c>
      <c r="H44" s="130" t="s">
        <v>135</v>
      </c>
      <c r="I44" s="111"/>
      <c r="J44" s="282">
        <f t="shared" si="10"/>
        <v>2000</v>
      </c>
      <c r="K44" s="211">
        <v>46000</v>
      </c>
      <c r="L44" s="212">
        <v>50260.81</v>
      </c>
      <c r="M44" s="213">
        <v>45541</v>
      </c>
      <c r="N44" s="128">
        <f t="shared" si="11"/>
        <v>502.99000000000524</v>
      </c>
      <c r="O44" s="129">
        <f t="shared" si="12"/>
        <v>0</v>
      </c>
      <c r="P44" s="285" t="str">
        <f t="shared" si="13"/>
        <v>A</v>
      </c>
      <c r="Q44" s="111"/>
      <c r="R44" s="212">
        <v>50627.43</v>
      </c>
      <c r="S44" s="213">
        <v>45559</v>
      </c>
      <c r="T44" s="128">
        <f t="shared" si="14"/>
        <v>136.37000000000262</v>
      </c>
      <c r="U44" s="129">
        <f t="shared" si="15"/>
        <v>0</v>
      </c>
      <c r="V44" s="286" t="str">
        <f t="shared" si="16"/>
        <v>B</v>
      </c>
      <c r="W44" s="130" t="s">
        <v>131</v>
      </c>
      <c r="X44" s="111"/>
      <c r="Y44" s="131" t="str">
        <f t="shared" si="17"/>
        <v>CA141</v>
      </c>
      <c r="Z44" s="281">
        <f t="shared" si="18"/>
        <v>1000</v>
      </c>
      <c r="AA44" s="132">
        <f t="shared" si="19"/>
        <v>47000</v>
      </c>
      <c r="AB44" s="55">
        <f>'HORÓMETRO SEPTIEMBRE 2024'!AG41</f>
        <v>50763.8</v>
      </c>
      <c r="AC44" s="111"/>
    </row>
    <row r="45" spans="2:29" x14ac:dyDescent="0.35">
      <c r="B45" s="133" t="s">
        <v>48</v>
      </c>
      <c r="C45" s="209" t="s">
        <v>129</v>
      </c>
      <c r="D45" s="206" t="s">
        <v>215</v>
      </c>
      <c r="E45" s="208" t="s">
        <v>217</v>
      </c>
      <c r="F45" s="207" t="s">
        <v>211</v>
      </c>
      <c r="G45" s="125" t="s">
        <v>176</v>
      </c>
      <c r="H45" s="130" t="s">
        <v>135</v>
      </c>
      <c r="I45" s="111"/>
      <c r="J45" s="282">
        <f t="shared" si="10"/>
        <v>2000</v>
      </c>
      <c r="K45" s="211">
        <v>40000</v>
      </c>
      <c r="L45" s="212">
        <v>43038.049999999945</v>
      </c>
      <c r="M45" s="213">
        <v>45533</v>
      </c>
      <c r="N45" s="128">
        <f t="shared" si="11"/>
        <v>443.5400000000518</v>
      </c>
      <c r="O45" s="129">
        <f t="shared" si="12"/>
        <v>0</v>
      </c>
      <c r="P45" s="285" t="str">
        <f t="shared" si="13"/>
        <v>B</v>
      </c>
      <c r="Q45" s="111"/>
      <c r="R45" s="212">
        <v>43430.34</v>
      </c>
      <c r="S45" s="213">
        <v>45563</v>
      </c>
      <c r="T45" s="128">
        <f t="shared" si="14"/>
        <v>51.25</v>
      </c>
      <c r="U45" s="129">
        <f t="shared" si="15"/>
        <v>0</v>
      </c>
      <c r="V45" s="286" t="str">
        <f t="shared" si="16"/>
        <v>B</v>
      </c>
      <c r="W45" s="130" t="s">
        <v>131</v>
      </c>
      <c r="X45" s="111"/>
      <c r="Y45" s="134" t="str">
        <f t="shared" si="17"/>
        <v>CA142</v>
      </c>
      <c r="Z45" s="281">
        <f t="shared" si="18"/>
        <v>1000</v>
      </c>
      <c r="AA45" s="132">
        <f t="shared" si="19"/>
        <v>41000</v>
      </c>
      <c r="AB45" s="55">
        <f>'HORÓMETRO SEPTIEMBRE 2024'!AG42</f>
        <v>43481.59</v>
      </c>
      <c r="AC45" s="111"/>
    </row>
    <row r="46" spans="2:29" x14ac:dyDescent="0.35">
      <c r="B46" s="125" t="s">
        <v>49</v>
      </c>
      <c r="C46" s="205" t="s">
        <v>6</v>
      </c>
      <c r="D46" s="206" t="s">
        <v>215</v>
      </c>
      <c r="E46" s="208" t="s">
        <v>217</v>
      </c>
      <c r="F46" s="207" t="s">
        <v>211</v>
      </c>
      <c r="G46" s="125" t="s">
        <v>177</v>
      </c>
      <c r="H46" s="130" t="s">
        <v>135</v>
      </c>
      <c r="I46" s="111"/>
      <c r="J46" s="294">
        <f t="shared" si="10"/>
        <v>1000</v>
      </c>
      <c r="K46" s="295">
        <v>49000</v>
      </c>
      <c r="L46" s="296">
        <v>53171.23</v>
      </c>
      <c r="M46" s="297">
        <v>45566</v>
      </c>
      <c r="N46" s="298">
        <f t="shared" si="11"/>
        <v>0</v>
      </c>
      <c r="O46" s="129">
        <f t="shared" si="12"/>
        <v>0</v>
      </c>
      <c r="P46" s="300" t="str">
        <f t="shared" si="13"/>
        <v>A</v>
      </c>
      <c r="Q46" s="111"/>
      <c r="R46" s="212">
        <v>53173.73</v>
      </c>
      <c r="S46" s="213">
        <v>45565</v>
      </c>
      <c r="T46" s="128">
        <f t="shared" si="14"/>
        <v>-2.5</v>
      </c>
      <c r="U46" s="129">
        <f t="shared" si="15"/>
        <v>0</v>
      </c>
      <c r="V46" s="286" t="str">
        <f t="shared" si="16"/>
        <v>B</v>
      </c>
      <c r="W46" s="130" t="s">
        <v>131</v>
      </c>
      <c r="X46" s="111"/>
      <c r="Y46" s="131" t="str">
        <f t="shared" si="17"/>
        <v>CA143</v>
      </c>
      <c r="Z46" s="281">
        <f t="shared" si="18"/>
        <v>2000</v>
      </c>
      <c r="AA46" s="132">
        <f t="shared" si="19"/>
        <v>50000</v>
      </c>
      <c r="AB46" s="55">
        <f>'HORÓMETRO SEPTIEMBRE 2024'!AG43</f>
        <v>53171.23</v>
      </c>
      <c r="AC46" s="111"/>
    </row>
    <row r="47" spans="2:29" x14ac:dyDescent="0.35">
      <c r="B47" s="125" t="s">
        <v>50</v>
      </c>
      <c r="C47" s="205" t="s">
        <v>6</v>
      </c>
      <c r="D47" s="206" t="s">
        <v>215</v>
      </c>
      <c r="E47" s="208" t="s">
        <v>217</v>
      </c>
      <c r="F47" s="207" t="s">
        <v>211</v>
      </c>
      <c r="G47" s="125" t="s">
        <v>178</v>
      </c>
      <c r="H47" s="130" t="s">
        <v>135</v>
      </c>
      <c r="I47" s="111"/>
      <c r="J47" s="282">
        <f t="shared" si="10"/>
        <v>2000</v>
      </c>
      <c r="K47" s="211">
        <v>48000</v>
      </c>
      <c r="L47" s="212">
        <v>52700.800000000003</v>
      </c>
      <c r="M47" s="213">
        <v>45544</v>
      </c>
      <c r="N47" s="128">
        <f t="shared" si="11"/>
        <v>357.39999999999418</v>
      </c>
      <c r="O47" s="129">
        <f t="shared" si="12"/>
        <v>0</v>
      </c>
      <c r="P47" s="285" t="str">
        <f t="shared" si="13"/>
        <v>A</v>
      </c>
      <c r="Q47" s="111"/>
      <c r="R47" s="212">
        <v>52964.800000000003</v>
      </c>
      <c r="S47" s="213">
        <v>45559</v>
      </c>
      <c r="T47" s="128">
        <f t="shared" si="14"/>
        <v>93.399999999994179</v>
      </c>
      <c r="U47" s="129">
        <f t="shared" si="15"/>
        <v>0</v>
      </c>
      <c r="V47" s="286" t="str">
        <f t="shared" si="16"/>
        <v>B</v>
      </c>
      <c r="W47" s="130" t="s">
        <v>131</v>
      </c>
      <c r="X47" s="111"/>
      <c r="Y47" s="131" t="str">
        <f t="shared" si="17"/>
        <v>CA144</v>
      </c>
      <c r="Z47" s="281">
        <f t="shared" si="18"/>
        <v>1000</v>
      </c>
      <c r="AA47" s="132">
        <f t="shared" si="19"/>
        <v>49000</v>
      </c>
      <c r="AB47" s="55">
        <f>'HORÓMETRO SEPTIEMBRE 2024'!AG44</f>
        <v>53058.2</v>
      </c>
      <c r="AC47" s="111"/>
    </row>
    <row r="48" spans="2:29" x14ac:dyDescent="0.35">
      <c r="B48" s="125" t="s">
        <v>51</v>
      </c>
      <c r="C48" s="205" t="s">
        <v>6</v>
      </c>
      <c r="D48" s="207" t="s">
        <v>263</v>
      </c>
      <c r="E48" s="208" t="s">
        <v>217</v>
      </c>
      <c r="F48" s="301" t="s">
        <v>575</v>
      </c>
      <c r="G48" s="125" t="s">
        <v>179</v>
      </c>
      <c r="H48" s="130" t="s">
        <v>135</v>
      </c>
      <c r="I48" s="111"/>
      <c r="J48" s="282">
        <f t="shared" si="10"/>
        <v>2000</v>
      </c>
      <c r="K48" s="211">
        <v>48000</v>
      </c>
      <c r="L48" s="212">
        <v>51770.849999999926</v>
      </c>
      <c r="M48" s="213">
        <v>45508</v>
      </c>
      <c r="N48" s="128">
        <f t="shared" si="11"/>
        <v>1087.2900000000736</v>
      </c>
      <c r="O48" s="129">
        <f t="shared" si="12"/>
        <v>8.7290000000073628E-2</v>
      </c>
      <c r="P48" s="285" t="str">
        <f t="shared" si="13"/>
        <v>B</v>
      </c>
      <c r="Q48" s="111"/>
      <c r="R48" s="212">
        <v>52541.15</v>
      </c>
      <c r="S48" s="213">
        <v>45549</v>
      </c>
      <c r="T48" s="128">
        <f t="shared" si="14"/>
        <v>316.98999999999796</v>
      </c>
      <c r="U48" s="129">
        <f t="shared" si="15"/>
        <v>0</v>
      </c>
      <c r="V48" s="286" t="str">
        <f t="shared" si="16"/>
        <v>B</v>
      </c>
      <c r="W48" s="130" t="s">
        <v>131</v>
      </c>
      <c r="X48" s="111"/>
      <c r="Y48" s="131" t="str">
        <f t="shared" si="17"/>
        <v>CA145</v>
      </c>
      <c r="Z48" s="281">
        <f t="shared" si="18"/>
        <v>1000</v>
      </c>
      <c r="AA48" s="132">
        <f t="shared" si="19"/>
        <v>49000</v>
      </c>
      <c r="AB48" s="55">
        <f>'HORÓMETRO SEPTIEMBRE 2024'!AG45</f>
        <v>52858.14</v>
      </c>
      <c r="AC48" s="111"/>
    </row>
    <row r="49" spans="2:29" x14ac:dyDescent="0.35">
      <c r="B49" s="125" t="s">
        <v>52</v>
      </c>
      <c r="C49" s="205" t="s">
        <v>6</v>
      </c>
      <c r="D49" s="206" t="s">
        <v>215</v>
      </c>
      <c r="E49" s="207" t="s">
        <v>216</v>
      </c>
      <c r="F49" s="207" t="s">
        <v>211</v>
      </c>
      <c r="G49" s="125" t="s">
        <v>180</v>
      </c>
      <c r="H49" s="130" t="s">
        <v>135</v>
      </c>
      <c r="I49" s="111"/>
      <c r="J49" s="282">
        <f t="shared" si="10"/>
        <v>2000</v>
      </c>
      <c r="K49" s="211">
        <v>42000</v>
      </c>
      <c r="L49" s="212">
        <v>44763.360000000001</v>
      </c>
      <c r="M49" s="213">
        <v>45553</v>
      </c>
      <c r="N49" s="128">
        <f t="shared" si="11"/>
        <v>244.41999999999825</v>
      </c>
      <c r="O49" s="299">
        <f t="shared" si="12"/>
        <v>0</v>
      </c>
      <c r="P49" s="285" t="str">
        <f t="shared" si="13"/>
        <v>A</v>
      </c>
      <c r="Q49" s="111"/>
      <c r="R49" s="212">
        <v>44855.03</v>
      </c>
      <c r="S49" s="213">
        <v>45559</v>
      </c>
      <c r="T49" s="128">
        <f t="shared" si="14"/>
        <v>152.75</v>
      </c>
      <c r="U49" s="129">
        <f t="shared" si="15"/>
        <v>0</v>
      </c>
      <c r="V49" s="286" t="str">
        <f t="shared" si="16"/>
        <v>B</v>
      </c>
      <c r="W49" s="130" t="s">
        <v>131</v>
      </c>
      <c r="X49" s="111"/>
      <c r="Y49" s="131" t="str">
        <f t="shared" si="17"/>
        <v>CA149</v>
      </c>
      <c r="Z49" s="281">
        <f t="shared" si="18"/>
        <v>1000</v>
      </c>
      <c r="AA49" s="132">
        <f t="shared" si="19"/>
        <v>43000</v>
      </c>
      <c r="AB49" s="55">
        <f>'HORÓMETRO SEPTIEMBRE 2024'!AG46</f>
        <v>45007.78</v>
      </c>
      <c r="AC49" s="111"/>
    </row>
    <row r="50" spans="2:29" x14ac:dyDescent="0.35">
      <c r="B50" s="125" t="s">
        <v>53</v>
      </c>
      <c r="C50" s="205" t="s">
        <v>6</v>
      </c>
      <c r="D50" s="207" t="s">
        <v>263</v>
      </c>
      <c r="E50" s="208" t="s">
        <v>217</v>
      </c>
      <c r="F50" s="207" t="s">
        <v>211</v>
      </c>
      <c r="G50" s="125" t="s">
        <v>181</v>
      </c>
      <c r="H50" s="130" t="s">
        <v>135</v>
      </c>
      <c r="I50" s="111"/>
      <c r="J50" s="294">
        <f t="shared" si="10"/>
        <v>1000</v>
      </c>
      <c r="K50" s="295">
        <v>43000</v>
      </c>
      <c r="L50" s="296">
        <v>47011.97</v>
      </c>
      <c r="M50" s="297">
        <v>45569</v>
      </c>
      <c r="N50" s="298">
        <f t="shared" si="11"/>
        <v>0</v>
      </c>
      <c r="O50" s="129">
        <f t="shared" si="12"/>
        <v>0</v>
      </c>
      <c r="P50" s="300" t="str">
        <f t="shared" si="13"/>
        <v>A</v>
      </c>
      <c r="Q50" s="111"/>
      <c r="R50" s="212">
        <v>47011.97</v>
      </c>
      <c r="S50" s="213">
        <v>45569</v>
      </c>
      <c r="T50" s="128">
        <f t="shared" si="14"/>
        <v>0</v>
      </c>
      <c r="U50" s="129">
        <f t="shared" si="15"/>
        <v>0</v>
      </c>
      <c r="V50" s="286" t="str">
        <f t="shared" si="16"/>
        <v>A</v>
      </c>
      <c r="W50" s="130" t="s">
        <v>131</v>
      </c>
      <c r="X50" s="111"/>
      <c r="Y50" s="131" t="str">
        <f t="shared" si="17"/>
        <v>CA150</v>
      </c>
      <c r="Z50" s="281">
        <f t="shared" si="18"/>
        <v>2000</v>
      </c>
      <c r="AA50" s="132">
        <f t="shared" si="19"/>
        <v>44000</v>
      </c>
      <c r="AB50" s="55">
        <f>'HORÓMETRO SEPTIEMBRE 2024'!AG47</f>
        <v>47011.97</v>
      </c>
      <c r="AC50" s="111"/>
    </row>
    <row r="51" spans="2:29" x14ac:dyDescent="0.35">
      <c r="B51" s="135" t="s">
        <v>54</v>
      </c>
      <c r="C51" s="205" t="s">
        <v>6</v>
      </c>
      <c r="D51" s="207" t="s">
        <v>263</v>
      </c>
      <c r="E51" s="208" t="s">
        <v>217</v>
      </c>
      <c r="F51" s="210" t="s">
        <v>213</v>
      </c>
      <c r="G51" s="125" t="s">
        <v>182</v>
      </c>
      <c r="H51" s="130" t="s">
        <v>135</v>
      </c>
      <c r="I51" s="111"/>
      <c r="J51" s="282">
        <f t="shared" si="10"/>
        <v>2000</v>
      </c>
      <c r="K51" s="211">
        <v>40000</v>
      </c>
      <c r="L51" s="212">
        <v>44793.629999999932</v>
      </c>
      <c r="M51" s="213">
        <v>45516</v>
      </c>
      <c r="N51" s="128">
        <f t="shared" si="11"/>
        <v>809.95000000006985</v>
      </c>
      <c r="O51" s="129">
        <f t="shared" si="12"/>
        <v>0</v>
      </c>
      <c r="P51" s="285" t="str">
        <f t="shared" si="13"/>
        <v>A</v>
      </c>
      <c r="Q51" s="111"/>
      <c r="R51" s="212">
        <v>45222.32</v>
      </c>
      <c r="S51" s="213">
        <v>45539</v>
      </c>
      <c r="T51" s="128">
        <f t="shared" si="14"/>
        <v>381.26000000000204</v>
      </c>
      <c r="U51" s="129">
        <f t="shared" si="15"/>
        <v>0</v>
      </c>
      <c r="V51" s="286" t="str">
        <f t="shared" si="16"/>
        <v>A</v>
      </c>
      <c r="W51" s="130" t="s">
        <v>131</v>
      </c>
      <c r="X51" s="111"/>
      <c r="Y51" s="136" t="str">
        <f t="shared" si="17"/>
        <v>CA151</v>
      </c>
      <c r="Z51" s="281">
        <f t="shared" si="18"/>
        <v>1000</v>
      </c>
      <c r="AA51" s="132">
        <f t="shared" si="19"/>
        <v>41000</v>
      </c>
      <c r="AB51" s="55">
        <f>'HORÓMETRO SEPTIEMBRE 2024'!AG48</f>
        <v>45603.58</v>
      </c>
      <c r="AC51" s="111"/>
    </row>
    <row r="52" spans="2:29" x14ac:dyDescent="0.35">
      <c r="B52" s="125" t="s">
        <v>55</v>
      </c>
      <c r="C52" s="205" t="s">
        <v>6</v>
      </c>
      <c r="D52" s="207" t="s">
        <v>263</v>
      </c>
      <c r="E52" s="208" t="s">
        <v>217</v>
      </c>
      <c r="F52" s="207" t="s">
        <v>211</v>
      </c>
      <c r="G52" s="125" t="s">
        <v>183</v>
      </c>
      <c r="H52" s="130" t="s">
        <v>135</v>
      </c>
      <c r="I52" s="111"/>
      <c r="J52" s="282">
        <f t="shared" si="10"/>
        <v>1000</v>
      </c>
      <c r="K52" s="211">
        <v>41000</v>
      </c>
      <c r="L52" s="212">
        <v>44722.440000000061</v>
      </c>
      <c r="M52" s="213">
        <v>45515</v>
      </c>
      <c r="N52" s="128">
        <f t="shared" si="11"/>
        <v>831.13999999994121</v>
      </c>
      <c r="O52" s="129">
        <f t="shared" si="12"/>
        <v>0</v>
      </c>
      <c r="P52" s="285" t="str">
        <f t="shared" si="13"/>
        <v>A</v>
      </c>
      <c r="Q52" s="111"/>
      <c r="R52" s="212">
        <v>45511.06</v>
      </c>
      <c r="S52" s="213">
        <v>45564</v>
      </c>
      <c r="T52" s="128">
        <f t="shared" si="14"/>
        <v>42.520000000004075</v>
      </c>
      <c r="U52" s="129">
        <f t="shared" si="15"/>
        <v>0</v>
      </c>
      <c r="V52" s="286" t="str">
        <f t="shared" si="16"/>
        <v>B</v>
      </c>
      <c r="W52" s="130" t="s">
        <v>131</v>
      </c>
      <c r="X52" s="111"/>
      <c r="Y52" s="131" t="str">
        <f t="shared" si="17"/>
        <v>CA152</v>
      </c>
      <c r="Z52" s="281">
        <f t="shared" si="18"/>
        <v>2000</v>
      </c>
      <c r="AA52" s="132">
        <f t="shared" si="19"/>
        <v>42000</v>
      </c>
      <c r="AB52" s="55">
        <f>'HORÓMETRO SEPTIEMBRE 2024'!AG49</f>
        <v>45553.58</v>
      </c>
      <c r="AC52" s="111"/>
    </row>
    <row r="53" spans="2:29" x14ac:dyDescent="0.35">
      <c r="B53" s="125" t="s">
        <v>56</v>
      </c>
      <c r="C53" s="205" t="s">
        <v>6</v>
      </c>
      <c r="D53" s="206" t="s">
        <v>215</v>
      </c>
      <c r="E53" s="208" t="s">
        <v>217</v>
      </c>
      <c r="F53" s="207" t="s">
        <v>211</v>
      </c>
      <c r="G53" s="125" t="s">
        <v>184</v>
      </c>
      <c r="H53" s="130" t="s">
        <v>135</v>
      </c>
      <c r="I53" s="111"/>
      <c r="J53" s="282">
        <f t="shared" si="10"/>
        <v>1000</v>
      </c>
      <c r="K53" s="211">
        <v>41000</v>
      </c>
      <c r="L53" s="212">
        <v>44498.6</v>
      </c>
      <c r="M53" s="213">
        <v>45543</v>
      </c>
      <c r="N53" s="128">
        <f t="shared" si="11"/>
        <v>293.54000000000087</v>
      </c>
      <c r="O53" s="129">
        <f t="shared" si="12"/>
        <v>0</v>
      </c>
      <c r="P53" s="285" t="str">
        <f t="shared" si="13"/>
        <v>A</v>
      </c>
      <c r="Q53" s="111"/>
      <c r="R53" s="212">
        <v>44783.14</v>
      </c>
      <c r="S53" s="213">
        <v>45561</v>
      </c>
      <c r="T53" s="128">
        <f t="shared" si="14"/>
        <v>9</v>
      </c>
      <c r="U53" s="129">
        <f t="shared" si="15"/>
        <v>0</v>
      </c>
      <c r="V53" s="286" t="str">
        <f t="shared" si="16"/>
        <v>B</v>
      </c>
      <c r="W53" s="130" t="s">
        <v>131</v>
      </c>
      <c r="X53" s="111"/>
      <c r="Y53" s="131" t="str">
        <f t="shared" si="17"/>
        <v>CA153</v>
      </c>
      <c r="Z53" s="281">
        <f t="shared" si="18"/>
        <v>2000</v>
      </c>
      <c r="AA53" s="132">
        <f t="shared" si="19"/>
        <v>42000</v>
      </c>
      <c r="AB53" s="55">
        <f>'HORÓMETRO SEPTIEMBRE 2024'!AG50</f>
        <v>44792.14</v>
      </c>
      <c r="AC53" s="111"/>
    </row>
    <row r="54" spans="2:29" x14ac:dyDescent="0.35">
      <c r="B54" s="125" t="s">
        <v>57</v>
      </c>
      <c r="C54" s="205" t="s">
        <v>6</v>
      </c>
      <c r="D54" s="206" t="s">
        <v>215</v>
      </c>
      <c r="E54" s="207" t="s">
        <v>216</v>
      </c>
      <c r="F54" s="207" t="s">
        <v>211</v>
      </c>
      <c r="G54" s="125" t="s">
        <v>185</v>
      </c>
      <c r="H54" s="130" t="s">
        <v>135</v>
      </c>
      <c r="I54" s="111"/>
      <c r="J54" s="282">
        <f t="shared" si="10"/>
        <v>1000</v>
      </c>
      <c r="K54" s="211">
        <v>39000</v>
      </c>
      <c r="L54" s="212">
        <v>42262.8</v>
      </c>
      <c r="M54" s="213">
        <v>45491</v>
      </c>
      <c r="N54" s="128">
        <f t="shared" si="11"/>
        <v>1125.9199999999983</v>
      </c>
      <c r="O54" s="129">
        <f t="shared" si="12"/>
        <v>0.12591999999999826</v>
      </c>
      <c r="P54" s="285" t="str">
        <f t="shared" si="13"/>
        <v>B</v>
      </c>
      <c r="Q54" s="111"/>
      <c r="R54" s="212">
        <v>43331.32</v>
      </c>
      <c r="S54" s="213">
        <v>45563</v>
      </c>
      <c r="T54" s="128">
        <f t="shared" si="14"/>
        <v>57.400000000001455</v>
      </c>
      <c r="U54" s="129">
        <f t="shared" si="15"/>
        <v>0</v>
      </c>
      <c r="V54" s="286" t="str">
        <f t="shared" si="16"/>
        <v>B</v>
      </c>
      <c r="W54" s="130" t="s">
        <v>131</v>
      </c>
      <c r="X54" s="111"/>
      <c r="Y54" s="131" t="str">
        <f t="shared" si="17"/>
        <v>CA154</v>
      </c>
      <c r="Z54" s="281">
        <f t="shared" si="18"/>
        <v>2000</v>
      </c>
      <c r="AA54" s="132">
        <f t="shared" si="19"/>
        <v>40000</v>
      </c>
      <c r="AB54" s="55">
        <f>'HORÓMETRO SEPTIEMBRE 2024'!AG51</f>
        <v>43388.72</v>
      </c>
      <c r="AC54" s="111"/>
    </row>
    <row r="55" spans="2:29" x14ac:dyDescent="0.35">
      <c r="B55" s="125" t="s">
        <v>58</v>
      </c>
      <c r="C55" s="205" t="s">
        <v>6</v>
      </c>
      <c r="D55" s="206" t="s">
        <v>215</v>
      </c>
      <c r="E55" s="207" t="s">
        <v>216</v>
      </c>
      <c r="F55" s="207" t="s">
        <v>211</v>
      </c>
      <c r="G55" s="125" t="s">
        <v>186</v>
      </c>
      <c r="H55" s="130" t="s">
        <v>135</v>
      </c>
      <c r="I55" s="111"/>
      <c r="J55" s="282">
        <f t="shared" si="10"/>
        <v>1000</v>
      </c>
      <c r="K55" s="211">
        <v>39000</v>
      </c>
      <c r="L55" s="212">
        <v>42747</v>
      </c>
      <c r="M55" s="213">
        <v>45549</v>
      </c>
      <c r="N55" s="128">
        <f t="shared" si="11"/>
        <v>303.31999999999971</v>
      </c>
      <c r="O55" s="129">
        <f t="shared" si="12"/>
        <v>0</v>
      </c>
      <c r="P55" s="285" t="str">
        <f t="shared" si="13"/>
        <v>B</v>
      </c>
      <c r="Q55" s="111"/>
      <c r="R55" s="212">
        <v>42977.02</v>
      </c>
      <c r="S55" s="213">
        <v>45562</v>
      </c>
      <c r="T55" s="128">
        <f t="shared" si="14"/>
        <v>73.30000000000291</v>
      </c>
      <c r="U55" s="129">
        <f t="shared" si="15"/>
        <v>0</v>
      </c>
      <c r="V55" s="286" t="str">
        <f t="shared" si="16"/>
        <v>B</v>
      </c>
      <c r="W55" s="130" t="s">
        <v>131</v>
      </c>
      <c r="X55" s="111"/>
      <c r="Y55" s="131" t="str">
        <f t="shared" si="17"/>
        <v>CA155</v>
      </c>
      <c r="Z55" s="281">
        <f t="shared" si="18"/>
        <v>2000</v>
      </c>
      <c r="AA55" s="132">
        <f t="shared" si="19"/>
        <v>40000</v>
      </c>
      <c r="AB55" s="55">
        <f>'HORÓMETRO SEPTIEMBRE 2024'!AG52</f>
        <v>43050.32</v>
      </c>
      <c r="AC55" s="111"/>
    </row>
    <row r="56" spans="2:29" x14ac:dyDescent="0.35">
      <c r="B56" s="125" t="s">
        <v>59</v>
      </c>
      <c r="C56" s="205" t="s">
        <v>6</v>
      </c>
      <c r="D56" s="207" t="s">
        <v>263</v>
      </c>
      <c r="E56" s="207" t="s">
        <v>216</v>
      </c>
      <c r="F56" s="207" t="s">
        <v>211</v>
      </c>
      <c r="G56" s="125" t="s">
        <v>187</v>
      </c>
      <c r="H56" s="130" t="s">
        <v>135</v>
      </c>
      <c r="I56" s="111"/>
      <c r="J56" s="282">
        <f t="shared" si="10"/>
        <v>2000</v>
      </c>
      <c r="K56" s="211">
        <v>42000</v>
      </c>
      <c r="L56" s="212">
        <v>45452.310000000049</v>
      </c>
      <c r="M56" s="213">
        <v>45534</v>
      </c>
      <c r="N56" s="128">
        <f t="shared" si="11"/>
        <v>601.86999999995169</v>
      </c>
      <c r="O56" s="129">
        <f t="shared" si="12"/>
        <v>0</v>
      </c>
      <c r="P56" s="285" t="str">
        <f t="shared" si="13"/>
        <v>B</v>
      </c>
      <c r="Q56" s="111"/>
      <c r="R56" s="212">
        <v>45720.76</v>
      </c>
      <c r="S56" s="213">
        <v>45549</v>
      </c>
      <c r="T56" s="128">
        <f t="shared" si="14"/>
        <v>333.41999999999825</v>
      </c>
      <c r="U56" s="129">
        <f t="shared" si="15"/>
        <v>0</v>
      </c>
      <c r="V56" s="286" t="str">
        <f t="shared" si="16"/>
        <v>B</v>
      </c>
      <c r="W56" s="130" t="s">
        <v>131</v>
      </c>
      <c r="X56" s="111"/>
      <c r="Y56" s="131" t="str">
        <f t="shared" si="17"/>
        <v>CA156</v>
      </c>
      <c r="Z56" s="281">
        <f t="shared" si="18"/>
        <v>1000</v>
      </c>
      <c r="AA56" s="132">
        <f t="shared" si="19"/>
        <v>43000</v>
      </c>
      <c r="AB56" s="55">
        <f>'HORÓMETRO SEPTIEMBRE 2024'!AG53</f>
        <v>46054.18</v>
      </c>
      <c r="AC56" s="111"/>
    </row>
    <row r="57" spans="2:29" x14ac:dyDescent="0.35">
      <c r="B57" s="125" t="s">
        <v>60</v>
      </c>
      <c r="C57" s="205" t="s">
        <v>6</v>
      </c>
      <c r="D57" s="207" t="s">
        <v>263</v>
      </c>
      <c r="E57" s="207" t="s">
        <v>216</v>
      </c>
      <c r="F57" s="207" t="s">
        <v>211</v>
      </c>
      <c r="G57" s="125" t="s">
        <v>188</v>
      </c>
      <c r="H57" s="130" t="s">
        <v>135</v>
      </c>
      <c r="I57" s="111"/>
      <c r="J57" s="282">
        <f t="shared" si="10"/>
        <v>1000</v>
      </c>
      <c r="K57" s="211">
        <v>41000</v>
      </c>
      <c r="L57" s="212">
        <v>44895.140000000181</v>
      </c>
      <c r="M57" s="213">
        <v>45528</v>
      </c>
      <c r="N57" s="128">
        <f t="shared" si="11"/>
        <v>625.62999999981548</v>
      </c>
      <c r="O57" s="129">
        <f t="shared" si="12"/>
        <v>0</v>
      </c>
      <c r="P57" s="285" t="str">
        <f t="shared" si="13"/>
        <v>A</v>
      </c>
      <c r="Q57" s="111"/>
      <c r="R57" s="212">
        <v>45480.32</v>
      </c>
      <c r="S57" s="213">
        <v>45564</v>
      </c>
      <c r="T57" s="128">
        <f t="shared" si="14"/>
        <v>40.44999999999709</v>
      </c>
      <c r="U57" s="129">
        <f t="shared" si="15"/>
        <v>0</v>
      </c>
      <c r="V57" s="286" t="str">
        <f t="shared" si="16"/>
        <v>B</v>
      </c>
      <c r="W57" s="130" t="s">
        <v>131</v>
      </c>
      <c r="X57" s="111"/>
      <c r="Y57" s="131" t="str">
        <f t="shared" si="17"/>
        <v>CA157</v>
      </c>
      <c r="Z57" s="281">
        <f t="shared" si="18"/>
        <v>2000</v>
      </c>
      <c r="AA57" s="132">
        <f t="shared" si="19"/>
        <v>42000</v>
      </c>
      <c r="AB57" s="55">
        <f>'HORÓMETRO SEPTIEMBRE 2024'!AG54</f>
        <v>45520.77</v>
      </c>
      <c r="AC57" s="111"/>
    </row>
    <row r="58" spans="2:29" x14ac:dyDescent="0.35">
      <c r="B58" s="125" t="s">
        <v>61</v>
      </c>
      <c r="C58" s="205" t="s">
        <v>6</v>
      </c>
      <c r="D58" s="206" t="s">
        <v>215</v>
      </c>
      <c r="E58" s="207" t="s">
        <v>216</v>
      </c>
      <c r="F58" s="207" t="s">
        <v>211</v>
      </c>
      <c r="G58" s="125" t="s">
        <v>189</v>
      </c>
      <c r="H58" s="130" t="s">
        <v>135</v>
      </c>
      <c r="I58" s="111"/>
      <c r="J58" s="282">
        <f t="shared" si="10"/>
        <v>2000</v>
      </c>
      <c r="K58" s="211">
        <v>40000</v>
      </c>
      <c r="L58" s="212">
        <v>44327.8</v>
      </c>
      <c r="M58" s="213">
        <v>45507</v>
      </c>
      <c r="N58" s="128">
        <f t="shared" si="11"/>
        <v>995.34999999999854</v>
      </c>
      <c r="O58" s="129">
        <f t="shared" si="12"/>
        <v>0</v>
      </c>
      <c r="P58" s="285" t="str">
        <f t="shared" si="13"/>
        <v>B</v>
      </c>
      <c r="Q58" s="111"/>
      <c r="R58" s="212">
        <v>45028.22</v>
      </c>
      <c r="S58" s="213">
        <v>45550</v>
      </c>
      <c r="T58" s="128">
        <f t="shared" si="14"/>
        <v>294.93000000000029</v>
      </c>
      <c r="U58" s="129">
        <f t="shared" si="15"/>
        <v>0</v>
      </c>
      <c r="V58" s="286" t="str">
        <f t="shared" si="16"/>
        <v>B</v>
      </c>
      <c r="W58" s="130" t="s">
        <v>131</v>
      </c>
      <c r="X58" s="111"/>
      <c r="Y58" s="131" t="str">
        <f t="shared" si="17"/>
        <v>CA158</v>
      </c>
      <c r="Z58" s="281">
        <f t="shared" si="18"/>
        <v>1000</v>
      </c>
      <c r="AA58" s="132">
        <f t="shared" si="19"/>
        <v>41000</v>
      </c>
      <c r="AB58" s="55">
        <f>'HORÓMETRO SEPTIEMBRE 2024'!AG55</f>
        <v>45323.15</v>
      </c>
      <c r="AC58" s="111"/>
    </row>
    <row r="59" spans="2:29" x14ac:dyDescent="0.35">
      <c r="B59" s="137" t="s">
        <v>113</v>
      </c>
      <c r="C59" s="205" t="s">
        <v>6</v>
      </c>
      <c r="D59" s="206" t="s">
        <v>215</v>
      </c>
      <c r="E59" s="208" t="s">
        <v>217</v>
      </c>
      <c r="F59" s="207" t="s">
        <v>211</v>
      </c>
      <c r="G59" s="125" t="s">
        <v>191</v>
      </c>
      <c r="H59" s="138" t="s">
        <v>190</v>
      </c>
      <c r="I59" s="111"/>
      <c r="J59" s="282">
        <f t="shared" si="10"/>
        <v>2000</v>
      </c>
      <c r="K59" s="211">
        <v>36000</v>
      </c>
      <c r="L59" s="212">
        <v>40373</v>
      </c>
      <c r="M59" s="213">
        <v>45508</v>
      </c>
      <c r="N59" s="128">
        <f t="shared" si="11"/>
        <v>974.5</v>
      </c>
      <c r="O59" s="129">
        <f t="shared" si="12"/>
        <v>0</v>
      </c>
      <c r="P59" s="285" t="str">
        <f t="shared" si="13"/>
        <v>B</v>
      </c>
      <c r="Q59" s="111"/>
      <c r="R59" s="212">
        <v>41006.33</v>
      </c>
      <c r="S59" s="213">
        <v>45560</v>
      </c>
      <c r="T59" s="128">
        <f t="shared" si="14"/>
        <v>341.16999999999825</v>
      </c>
      <c r="U59" s="129">
        <f t="shared" si="15"/>
        <v>0</v>
      </c>
      <c r="V59" s="286" t="str">
        <f t="shared" si="16"/>
        <v>B</v>
      </c>
      <c r="W59" s="130" t="s">
        <v>131</v>
      </c>
      <c r="X59" s="111"/>
      <c r="Y59" s="243" t="str">
        <f t="shared" si="17"/>
        <v>CA159</v>
      </c>
      <c r="Z59" s="281">
        <f t="shared" si="18"/>
        <v>1000</v>
      </c>
      <c r="AA59" s="132">
        <f t="shared" si="19"/>
        <v>37000</v>
      </c>
      <c r="AB59" s="55">
        <f>'HORÓMETRO SEPTIEMBRE 2024'!AG109</f>
        <v>41347.5</v>
      </c>
      <c r="AC59" s="111"/>
    </row>
    <row r="60" spans="2:29" x14ac:dyDescent="0.35">
      <c r="B60" s="137" t="s">
        <v>114</v>
      </c>
      <c r="C60" s="205" t="s">
        <v>6</v>
      </c>
      <c r="D60" s="206" t="s">
        <v>215</v>
      </c>
      <c r="E60" s="208" t="s">
        <v>217</v>
      </c>
      <c r="F60" s="207" t="s">
        <v>211</v>
      </c>
      <c r="G60" s="125" t="s">
        <v>192</v>
      </c>
      <c r="H60" s="138" t="s">
        <v>190</v>
      </c>
      <c r="I60" s="111"/>
      <c r="J60" s="282">
        <f t="shared" si="10"/>
        <v>2000</v>
      </c>
      <c r="K60" s="211">
        <v>36000</v>
      </c>
      <c r="L60" s="212">
        <v>41268.699999999997</v>
      </c>
      <c r="M60" s="213">
        <v>45546</v>
      </c>
      <c r="N60" s="128">
        <f t="shared" si="11"/>
        <v>301.75</v>
      </c>
      <c r="O60" s="129">
        <f t="shared" si="12"/>
        <v>0</v>
      </c>
      <c r="P60" s="285" t="str">
        <f t="shared" si="13"/>
        <v>B</v>
      </c>
      <c r="Q60" s="111"/>
      <c r="R60" s="212">
        <v>41252.43</v>
      </c>
      <c r="S60" s="213">
        <v>45558</v>
      </c>
      <c r="T60" s="128">
        <f t="shared" si="14"/>
        <v>318.0199999999968</v>
      </c>
      <c r="U60" s="129">
        <f t="shared" si="15"/>
        <v>0</v>
      </c>
      <c r="V60" s="286" t="str">
        <f t="shared" si="16"/>
        <v>A</v>
      </c>
      <c r="W60" s="130" t="s">
        <v>131</v>
      </c>
      <c r="X60" s="111"/>
      <c r="Y60" s="243" t="str">
        <f t="shared" si="17"/>
        <v>CA160</v>
      </c>
      <c r="Z60" s="281">
        <f t="shared" si="18"/>
        <v>1000</v>
      </c>
      <c r="AA60" s="132">
        <f t="shared" si="19"/>
        <v>37000</v>
      </c>
      <c r="AB60" s="55">
        <f>'HORÓMETRO SEPTIEMBRE 2024'!AG110</f>
        <v>41570.449999999997</v>
      </c>
      <c r="AC60" s="111"/>
    </row>
    <row r="61" spans="2:29" x14ac:dyDescent="0.35">
      <c r="B61" s="137" t="s">
        <v>115</v>
      </c>
      <c r="C61" s="205" t="s">
        <v>6</v>
      </c>
      <c r="D61" s="207" t="s">
        <v>263</v>
      </c>
      <c r="E61" s="208" t="s">
        <v>217</v>
      </c>
      <c r="F61" s="207" t="s">
        <v>211</v>
      </c>
      <c r="G61" s="125" t="s">
        <v>193</v>
      </c>
      <c r="H61" s="138" t="s">
        <v>190</v>
      </c>
      <c r="I61" s="111"/>
      <c r="J61" s="282">
        <f t="shared" si="10"/>
        <v>2000</v>
      </c>
      <c r="K61" s="211">
        <v>32000</v>
      </c>
      <c r="L61" s="212">
        <v>36007.300000000003</v>
      </c>
      <c r="M61" s="213">
        <v>45506</v>
      </c>
      <c r="N61" s="128">
        <f t="shared" si="11"/>
        <v>880.86000000000058</v>
      </c>
      <c r="O61" s="129">
        <f t="shared" si="12"/>
        <v>0</v>
      </c>
      <c r="P61" s="285" t="str">
        <f t="shared" si="13"/>
        <v>B</v>
      </c>
      <c r="Q61" s="111"/>
      <c r="R61" s="212">
        <v>36665.81</v>
      </c>
      <c r="S61" s="213">
        <v>45559</v>
      </c>
      <c r="T61" s="128">
        <f t="shared" si="14"/>
        <v>222.35000000000582</v>
      </c>
      <c r="U61" s="129">
        <f t="shared" si="15"/>
        <v>0</v>
      </c>
      <c r="V61" s="286" t="str">
        <f t="shared" si="16"/>
        <v>B</v>
      </c>
      <c r="W61" s="130" t="s">
        <v>131</v>
      </c>
      <c r="X61" s="111"/>
      <c r="Y61" s="243" t="str">
        <f t="shared" si="17"/>
        <v>CA161</v>
      </c>
      <c r="Z61" s="281">
        <f t="shared" si="18"/>
        <v>1000</v>
      </c>
      <c r="AA61" s="132">
        <f t="shared" si="19"/>
        <v>33000</v>
      </c>
      <c r="AB61" s="55">
        <f>'HORÓMETRO SEPTIEMBRE 2024'!AG111</f>
        <v>36888.160000000003</v>
      </c>
      <c r="AC61" s="111"/>
    </row>
    <row r="62" spans="2:29" x14ac:dyDescent="0.35">
      <c r="B62" s="137" t="s">
        <v>116</v>
      </c>
      <c r="C62" s="205" t="s">
        <v>6</v>
      </c>
      <c r="D62" s="206" t="s">
        <v>215</v>
      </c>
      <c r="E62" s="208" t="s">
        <v>217</v>
      </c>
      <c r="F62" s="207" t="s">
        <v>211</v>
      </c>
      <c r="G62" s="125" t="s">
        <v>194</v>
      </c>
      <c r="H62" s="138" t="s">
        <v>190</v>
      </c>
      <c r="I62" s="111"/>
      <c r="J62" s="282">
        <f t="shared" si="10"/>
        <v>2000</v>
      </c>
      <c r="K62" s="211">
        <v>32000</v>
      </c>
      <c r="L62" s="212">
        <v>36009.259999999929</v>
      </c>
      <c r="M62" s="213">
        <v>45513</v>
      </c>
      <c r="N62" s="128">
        <f t="shared" si="11"/>
        <v>941.96000000007189</v>
      </c>
      <c r="O62" s="129">
        <f t="shared" si="12"/>
        <v>0</v>
      </c>
      <c r="P62" s="285" t="str">
        <f t="shared" si="13"/>
        <v>A</v>
      </c>
      <c r="Q62" s="111"/>
      <c r="R62" s="212">
        <v>36682.629999999997</v>
      </c>
      <c r="S62" s="213">
        <v>45552</v>
      </c>
      <c r="T62" s="128">
        <f t="shared" si="14"/>
        <v>268.59000000000378</v>
      </c>
      <c r="U62" s="129">
        <f t="shared" si="15"/>
        <v>0</v>
      </c>
      <c r="V62" s="286" t="str">
        <f t="shared" si="16"/>
        <v>A</v>
      </c>
      <c r="W62" s="130" t="s">
        <v>131</v>
      </c>
      <c r="X62" s="111"/>
      <c r="Y62" s="243" t="str">
        <f t="shared" si="17"/>
        <v>CA162</v>
      </c>
      <c r="Z62" s="281">
        <f t="shared" si="18"/>
        <v>1000</v>
      </c>
      <c r="AA62" s="132">
        <f t="shared" si="19"/>
        <v>33000</v>
      </c>
      <c r="AB62" s="55">
        <f>'HORÓMETRO SEPTIEMBRE 2024'!AG112</f>
        <v>36951.22</v>
      </c>
      <c r="AC62" s="111"/>
    </row>
    <row r="63" spans="2:29" x14ac:dyDescent="0.35">
      <c r="B63" s="137" t="s">
        <v>117</v>
      </c>
      <c r="C63" s="205" t="s">
        <v>6</v>
      </c>
      <c r="D63" s="206" t="s">
        <v>215</v>
      </c>
      <c r="E63" s="208" t="s">
        <v>217</v>
      </c>
      <c r="F63" s="207" t="s">
        <v>211</v>
      </c>
      <c r="G63" s="125" t="s">
        <v>195</v>
      </c>
      <c r="H63" s="138" t="s">
        <v>190</v>
      </c>
      <c r="I63" s="111"/>
      <c r="J63" s="282">
        <f t="shared" si="10"/>
        <v>1000</v>
      </c>
      <c r="K63" s="211">
        <v>31000</v>
      </c>
      <c r="L63" s="212">
        <v>35201.1</v>
      </c>
      <c r="M63" s="213">
        <v>45521</v>
      </c>
      <c r="N63" s="128">
        <f t="shared" si="11"/>
        <v>700.91999999999825</v>
      </c>
      <c r="O63" s="129">
        <f t="shared" si="12"/>
        <v>0</v>
      </c>
      <c r="P63" s="285" t="str">
        <f t="shared" si="13"/>
        <v>B</v>
      </c>
      <c r="Q63" s="111"/>
      <c r="R63" s="212">
        <v>35694.43</v>
      </c>
      <c r="S63" s="213">
        <v>45560</v>
      </c>
      <c r="T63" s="128">
        <f t="shared" si="14"/>
        <v>207.58999999999651</v>
      </c>
      <c r="U63" s="129">
        <f t="shared" si="15"/>
        <v>0</v>
      </c>
      <c r="V63" s="286" t="str">
        <f t="shared" si="16"/>
        <v>B</v>
      </c>
      <c r="W63" s="130" t="s">
        <v>131</v>
      </c>
      <c r="X63" s="111"/>
      <c r="Y63" s="243" t="str">
        <f t="shared" si="17"/>
        <v>CA163</v>
      </c>
      <c r="Z63" s="281">
        <f t="shared" si="18"/>
        <v>2000</v>
      </c>
      <c r="AA63" s="132">
        <f t="shared" si="19"/>
        <v>32000</v>
      </c>
      <c r="AB63" s="55">
        <f>'HORÓMETRO SEPTIEMBRE 2024'!AG113</f>
        <v>35902.019999999997</v>
      </c>
      <c r="AC63" s="111"/>
    </row>
    <row r="64" spans="2:29" x14ac:dyDescent="0.35">
      <c r="B64" s="125" t="s">
        <v>62</v>
      </c>
      <c r="C64" s="205" t="s">
        <v>6</v>
      </c>
      <c r="D64" s="207" t="s">
        <v>263</v>
      </c>
      <c r="E64" s="207" t="s">
        <v>216</v>
      </c>
      <c r="F64" s="301" t="s">
        <v>575</v>
      </c>
      <c r="G64" s="125" t="s">
        <v>204</v>
      </c>
      <c r="H64" s="130" t="s">
        <v>135</v>
      </c>
      <c r="I64" s="111"/>
      <c r="J64" s="282">
        <f t="shared" si="10"/>
        <v>2000</v>
      </c>
      <c r="K64" s="211">
        <v>36000</v>
      </c>
      <c r="L64" s="212">
        <v>54696.570000000029</v>
      </c>
      <c r="M64" s="213">
        <v>45541</v>
      </c>
      <c r="N64" s="128">
        <f t="shared" si="11"/>
        <v>430.52999999996973</v>
      </c>
      <c r="O64" s="129">
        <f t="shared" si="12"/>
        <v>0</v>
      </c>
      <c r="P64" s="285" t="str">
        <f t="shared" si="13"/>
        <v>A</v>
      </c>
      <c r="Q64" s="111"/>
      <c r="R64" s="212">
        <v>54810.46</v>
      </c>
      <c r="S64" s="213">
        <v>45564</v>
      </c>
      <c r="T64" s="128">
        <f t="shared" si="14"/>
        <v>316.63999999999942</v>
      </c>
      <c r="U64" s="129">
        <f t="shared" si="15"/>
        <v>0</v>
      </c>
      <c r="V64" s="286" t="str">
        <f t="shared" si="16"/>
        <v>B</v>
      </c>
      <c r="W64" s="130" t="s">
        <v>131</v>
      </c>
      <c r="X64" s="111"/>
      <c r="Y64" s="131" t="str">
        <f t="shared" si="17"/>
        <v>CA164</v>
      </c>
      <c r="Z64" s="281">
        <f t="shared" si="18"/>
        <v>1000</v>
      </c>
      <c r="AA64" s="132">
        <f t="shared" si="19"/>
        <v>37000</v>
      </c>
      <c r="AB64" s="55">
        <f>'HORÓMETRO SEPTIEMBRE 2024'!AG56</f>
        <v>55127.1</v>
      </c>
      <c r="AC64" s="111"/>
    </row>
    <row r="65" spans="2:29" x14ac:dyDescent="0.35">
      <c r="B65" s="135" t="s">
        <v>63</v>
      </c>
      <c r="C65" s="205" t="s">
        <v>6</v>
      </c>
      <c r="D65" s="206" t="s">
        <v>215</v>
      </c>
      <c r="E65" s="207" t="s">
        <v>216</v>
      </c>
      <c r="F65" s="210" t="s">
        <v>213</v>
      </c>
      <c r="G65" s="125" t="s">
        <v>205</v>
      </c>
      <c r="H65" s="130" t="s">
        <v>135</v>
      </c>
      <c r="I65" s="111"/>
      <c r="J65" s="282">
        <f t="shared" si="10"/>
        <v>1000</v>
      </c>
      <c r="K65" s="211">
        <v>19000</v>
      </c>
      <c r="L65" s="212">
        <v>21357.400000000012</v>
      </c>
      <c r="M65" s="213">
        <v>45535</v>
      </c>
      <c r="N65" s="128">
        <f t="shared" si="11"/>
        <v>545.01999999998588</v>
      </c>
      <c r="O65" s="129">
        <f t="shared" si="12"/>
        <v>0</v>
      </c>
      <c r="P65" s="285" t="str">
        <f t="shared" si="13"/>
        <v>B</v>
      </c>
      <c r="Q65" s="111"/>
      <c r="R65" s="212">
        <v>21605.19</v>
      </c>
      <c r="S65" s="213">
        <v>45548</v>
      </c>
      <c r="T65" s="128">
        <f t="shared" si="14"/>
        <v>297.22999999999956</v>
      </c>
      <c r="U65" s="129">
        <f t="shared" si="15"/>
        <v>0</v>
      </c>
      <c r="V65" s="286" t="str">
        <f t="shared" si="16"/>
        <v>B</v>
      </c>
      <c r="W65" s="130" t="s">
        <v>131</v>
      </c>
      <c r="X65" s="111"/>
      <c r="Y65" s="136" t="str">
        <f t="shared" si="17"/>
        <v>CA169</v>
      </c>
      <c r="Z65" s="281">
        <f t="shared" si="18"/>
        <v>2000</v>
      </c>
      <c r="AA65" s="132">
        <f t="shared" si="19"/>
        <v>20000</v>
      </c>
      <c r="AB65" s="55">
        <f>'HORÓMETRO SEPTIEMBRE 2024'!AG57</f>
        <v>21902.42</v>
      </c>
      <c r="AC65" s="111"/>
    </row>
    <row r="66" spans="2:29" x14ac:dyDescent="0.35">
      <c r="B66" s="135" t="s">
        <v>64</v>
      </c>
      <c r="C66" s="205" t="s">
        <v>6</v>
      </c>
      <c r="D66" s="206" t="s">
        <v>215</v>
      </c>
      <c r="E66" s="207" t="s">
        <v>216</v>
      </c>
      <c r="F66" s="210" t="s">
        <v>213</v>
      </c>
      <c r="G66" s="125" t="s">
        <v>206</v>
      </c>
      <c r="H66" s="130" t="s">
        <v>135</v>
      </c>
      <c r="I66" s="111"/>
      <c r="J66" s="282">
        <f t="shared" si="10"/>
        <v>1000</v>
      </c>
      <c r="K66" s="211">
        <v>19000</v>
      </c>
      <c r="L66" s="212">
        <v>21542.920277600013</v>
      </c>
      <c r="M66" s="213">
        <v>45509</v>
      </c>
      <c r="N66" s="128">
        <f t="shared" si="11"/>
        <v>1054.1097223999859</v>
      </c>
      <c r="O66" s="129">
        <f t="shared" si="12"/>
        <v>5.4109722399985911E-2</v>
      </c>
      <c r="P66" s="285" t="str">
        <f t="shared" si="13"/>
        <v>B</v>
      </c>
      <c r="Q66" s="111"/>
      <c r="R66" s="212">
        <v>22045.97</v>
      </c>
      <c r="S66" s="213">
        <v>45539</v>
      </c>
      <c r="T66" s="128">
        <f t="shared" si="14"/>
        <v>551.05999999999767</v>
      </c>
      <c r="U66" s="129">
        <f t="shared" si="15"/>
        <v>0.10211999999999534</v>
      </c>
      <c r="V66" s="286" t="str">
        <f t="shared" si="16"/>
        <v>A</v>
      </c>
      <c r="W66" s="130" t="s">
        <v>131</v>
      </c>
      <c r="X66" s="111"/>
      <c r="Y66" s="136" t="str">
        <f t="shared" si="17"/>
        <v>CA170</v>
      </c>
      <c r="Z66" s="281">
        <f t="shared" si="18"/>
        <v>2000</v>
      </c>
      <c r="AA66" s="132">
        <f t="shared" si="19"/>
        <v>20000</v>
      </c>
      <c r="AB66" s="55">
        <f>'HORÓMETRO SEPTIEMBRE 2024'!AG58</f>
        <v>22597.03</v>
      </c>
      <c r="AC66" s="111"/>
    </row>
    <row r="67" spans="2:29" x14ac:dyDescent="0.35">
      <c r="B67" s="135" t="s">
        <v>65</v>
      </c>
      <c r="C67" s="205" t="s">
        <v>6</v>
      </c>
      <c r="D67" s="206" t="s">
        <v>215</v>
      </c>
      <c r="E67" s="208" t="s">
        <v>217</v>
      </c>
      <c r="F67" s="210" t="s">
        <v>213</v>
      </c>
      <c r="G67" s="125" t="s">
        <v>207</v>
      </c>
      <c r="H67" s="130" t="s">
        <v>135</v>
      </c>
      <c r="I67" s="111"/>
      <c r="J67" s="282">
        <f t="shared" si="10"/>
        <v>1000</v>
      </c>
      <c r="K67" s="211">
        <v>27000</v>
      </c>
      <c r="L67" s="212">
        <v>29076.06</v>
      </c>
      <c r="M67" s="213">
        <v>45564</v>
      </c>
      <c r="N67" s="128">
        <f t="shared" si="11"/>
        <v>38.409999999999854</v>
      </c>
      <c r="O67" s="299">
        <f t="shared" si="12"/>
        <v>0</v>
      </c>
      <c r="P67" s="285" t="str">
        <f t="shared" si="13"/>
        <v>B</v>
      </c>
      <c r="Q67" s="111"/>
      <c r="R67" s="212">
        <v>29020.58</v>
      </c>
      <c r="S67" s="213">
        <v>45563</v>
      </c>
      <c r="T67" s="128">
        <f t="shared" si="14"/>
        <v>93.889999999999418</v>
      </c>
      <c r="U67" s="129">
        <f t="shared" si="15"/>
        <v>0</v>
      </c>
      <c r="V67" s="286" t="str">
        <f t="shared" si="16"/>
        <v>B</v>
      </c>
      <c r="W67" s="130" t="s">
        <v>131</v>
      </c>
      <c r="X67" s="111"/>
      <c r="Y67" s="136" t="str">
        <f t="shared" si="17"/>
        <v>CA171</v>
      </c>
      <c r="Z67" s="281">
        <f t="shared" si="18"/>
        <v>2000</v>
      </c>
      <c r="AA67" s="132">
        <f t="shared" si="19"/>
        <v>28000</v>
      </c>
      <c r="AB67" s="55">
        <f>'HORÓMETRO SEPTIEMBRE 2024'!AG59</f>
        <v>29114.47</v>
      </c>
      <c r="AC67" s="111"/>
    </row>
    <row r="68" spans="2:29" x14ac:dyDescent="0.35">
      <c r="B68" s="135" t="s">
        <v>66</v>
      </c>
      <c r="C68" s="205" t="s">
        <v>6</v>
      </c>
      <c r="D68" s="206" t="s">
        <v>215</v>
      </c>
      <c r="E68" s="207" t="s">
        <v>216</v>
      </c>
      <c r="F68" s="210" t="s">
        <v>213</v>
      </c>
      <c r="G68" s="125" t="s">
        <v>208</v>
      </c>
      <c r="H68" s="130" t="s">
        <v>135</v>
      </c>
      <c r="I68" s="111"/>
      <c r="J68" s="282">
        <f t="shared" si="10"/>
        <v>2000</v>
      </c>
      <c r="K68" s="211">
        <v>26000</v>
      </c>
      <c r="L68" s="212">
        <v>29502.41</v>
      </c>
      <c r="M68" s="213">
        <v>45559</v>
      </c>
      <c r="N68" s="128">
        <f t="shared" si="11"/>
        <v>117.90999999999985</v>
      </c>
      <c r="O68" s="299">
        <f t="shared" si="12"/>
        <v>0</v>
      </c>
      <c r="P68" s="285" t="str">
        <f t="shared" si="13"/>
        <v>B</v>
      </c>
      <c r="Q68" s="111"/>
      <c r="R68" s="212">
        <v>29631.52</v>
      </c>
      <c r="S68" s="213">
        <v>45564</v>
      </c>
      <c r="T68" s="128">
        <f t="shared" si="14"/>
        <v>-11.200000000000728</v>
      </c>
      <c r="U68" s="129">
        <f t="shared" si="15"/>
        <v>0</v>
      </c>
      <c r="V68" s="286" t="str">
        <f t="shared" si="16"/>
        <v>B</v>
      </c>
      <c r="W68" s="130" t="s">
        <v>131</v>
      </c>
      <c r="X68" s="111"/>
      <c r="Y68" s="136" t="str">
        <f t="shared" si="17"/>
        <v>CA172</v>
      </c>
      <c r="Z68" s="281">
        <f t="shared" si="18"/>
        <v>1000</v>
      </c>
      <c r="AA68" s="132">
        <f t="shared" si="19"/>
        <v>27000</v>
      </c>
      <c r="AB68" s="55">
        <f>'HORÓMETRO SEPTIEMBRE 2024'!AG60</f>
        <v>29620.32</v>
      </c>
      <c r="AC68" s="111"/>
    </row>
    <row r="69" spans="2:29" x14ac:dyDescent="0.35">
      <c r="B69" s="135" t="s">
        <v>67</v>
      </c>
      <c r="C69" s="205" t="s">
        <v>6</v>
      </c>
      <c r="D69" s="206" t="s">
        <v>215</v>
      </c>
      <c r="E69" s="208" t="s">
        <v>217</v>
      </c>
      <c r="F69" s="210" t="s">
        <v>213</v>
      </c>
      <c r="G69" s="125" t="s">
        <v>209</v>
      </c>
      <c r="H69" s="130" t="s">
        <v>135</v>
      </c>
      <c r="I69" s="111"/>
      <c r="J69" s="282">
        <f t="shared" si="10"/>
        <v>1000</v>
      </c>
      <c r="K69" s="211">
        <v>27000</v>
      </c>
      <c r="L69" s="212">
        <v>30250.31</v>
      </c>
      <c r="M69" s="213">
        <v>45562</v>
      </c>
      <c r="N69" s="128">
        <f t="shared" si="11"/>
        <v>61.619999999998981</v>
      </c>
      <c r="O69" s="299">
        <f t="shared" si="12"/>
        <v>0</v>
      </c>
      <c r="P69" s="285" t="str">
        <f t="shared" si="13"/>
        <v>B</v>
      </c>
      <c r="Q69" s="111"/>
      <c r="R69" s="212">
        <v>30245.39</v>
      </c>
      <c r="S69" s="213">
        <v>45561</v>
      </c>
      <c r="T69" s="128">
        <f t="shared" si="14"/>
        <v>66.540000000000873</v>
      </c>
      <c r="U69" s="129">
        <f t="shared" si="15"/>
        <v>0</v>
      </c>
      <c r="V69" s="286" t="str">
        <f t="shared" si="16"/>
        <v>B</v>
      </c>
      <c r="W69" s="130" t="s">
        <v>131</v>
      </c>
      <c r="X69" s="111"/>
      <c r="Y69" s="136" t="str">
        <f t="shared" si="17"/>
        <v>CA173</v>
      </c>
      <c r="Z69" s="281">
        <f t="shared" si="18"/>
        <v>2000</v>
      </c>
      <c r="AA69" s="132">
        <f t="shared" si="19"/>
        <v>28000</v>
      </c>
      <c r="AB69" s="55">
        <f>'HORÓMETRO SEPTIEMBRE 2024'!AG61</f>
        <v>30311.93</v>
      </c>
      <c r="AC69" s="111"/>
    </row>
    <row r="70" spans="2:29" x14ac:dyDescent="0.35">
      <c r="B70" s="135" t="s">
        <v>68</v>
      </c>
      <c r="C70" s="205" t="s">
        <v>6</v>
      </c>
      <c r="D70" s="206" t="s">
        <v>215</v>
      </c>
      <c r="E70" s="207" t="s">
        <v>216</v>
      </c>
      <c r="F70" s="210" t="s">
        <v>213</v>
      </c>
      <c r="G70" s="125" t="s">
        <v>210</v>
      </c>
      <c r="H70" s="130" t="s">
        <v>135</v>
      </c>
      <c r="I70" s="111"/>
      <c r="J70" s="282">
        <f t="shared" si="10"/>
        <v>2000</v>
      </c>
      <c r="K70" s="211">
        <v>26000</v>
      </c>
      <c r="L70" s="212">
        <v>29365.380000000008</v>
      </c>
      <c r="M70" s="213">
        <v>45516</v>
      </c>
      <c r="N70" s="128">
        <f t="shared" si="11"/>
        <v>849.799999999992</v>
      </c>
      <c r="O70" s="129">
        <f t="shared" si="12"/>
        <v>0</v>
      </c>
      <c r="P70" s="285" t="str">
        <f t="shared" si="13"/>
        <v>A</v>
      </c>
      <c r="Q70" s="111"/>
      <c r="R70" s="212">
        <v>29783.22</v>
      </c>
      <c r="S70" s="213">
        <v>45548</v>
      </c>
      <c r="T70" s="128">
        <f t="shared" si="14"/>
        <v>431.95999999999913</v>
      </c>
      <c r="U70" s="129">
        <f t="shared" si="15"/>
        <v>0</v>
      </c>
      <c r="V70" s="286" t="str">
        <f t="shared" si="16"/>
        <v>B</v>
      </c>
      <c r="W70" s="130" t="s">
        <v>131</v>
      </c>
      <c r="X70" s="111"/>
      <c r="Y70" s="136" t="str">
        <f t="shared" si="17"/>
        <v>CA174</v>
      </c>
      <c r="Z70" s="281">
        <f t="shared" si="18"/>
        <v>1000</v>
      </c>
      <c r="AA70" s="132">
        <f t="shared" si="19"/>
        <v>27000</v>
      </c>
      <c r="AB70" s="55">
        <f>'HORÓMETRO SEPTIEMBRE 2024'!AG62</f>
        <v>30215.18</v>
      </c>
      <c r="AC70" s="111"/>
    </row>
    <row r="71" spans="2:29" x14ac:dyDescent="0.35">
      <c r="B71" s="137" t="s">
        <v>118</v>
      </c>
      <c r="C71" s="205" t="s">
        <v>6</v>
      </c>
      <c r="D71" s="206" t="s">
        <v>215</v>
      </c>
      <c r="E71" s="208" t="s">
        <v>217</v>
      </c>
      <c r="F71" s="207" t="s">
        <v>211</v>
      </c>
      <c r="G71" s="125" t="s">
        <v>268</v>
      </c>
      <c r="H71" s="138" t="s">
        <v>190</v>
      </c>
      <c r="I71" s="111"/>
      <c r="J71" s="282">
        <f t="shared" ref="J71:J102" si="20">CHOOSE(MOD(INT((K71-1000)/1000), 4) + 1, 1000, 2000, 1000, 2000)</f>
        <v>2000</v>
      </c>
      <c r="K71" s="211">
        <v>34000</v>
      </c>
      <c r="L71" s="212">
        <v>27397.64</v>
      </c>
      <c r="M71" s="213">
        <v>45558</v>
      </c>
      <c r="N71" s="128">
        <f t="shared" ref="N71:N102" si="21">IF(L71="","",AB71-L71)</f>
        <v>125.61999999999898</v>
      </c>
      <c r="O71" s="299">
        <f t="shared" ref="O71:O102" si="22">IF(N71 &lt; 1000, 0, (N71 - 1000) / 1000)</f>
        <v>0</v>
      </c>
      <c r="P71" s="285" t="str">
        <f t="shared" ref="P71:P102" si="23">IF(M71="","",IF(MOD(WEEKNUM(M71,12),2)=1,"A","B"))</f>
        <v>A</v>
      </c>
      <c r="Q71" s="111"/>
      <c r="R71" s="212">
        <v>27357.599999999999</v>
      </c>
      <c r="S71" s="213">
        <v>45557</v>
      </c>
      <c r="T71" s="128">
        <f t="shared" ref="T71:T102" si="24">IF(R71="","",AB71-R71)</f>
        <v>165.65999999999985</v>
      </c>
      <c r="U71" s="129">
        <f t="shared" ref="U71:U102" si="25">IF(T71 &lt; 500, 0, (T71 - 500) / 500)</f>
        <v>0</v>
      </c>
      <c r="V71" s="286" t="str">
        <f t="shared" ref="V71:V102" si="26">IF(S71="","",IF(MOD(WEEKNUM(S71,12),2)=1,"A","B"))</f>
        <v>A</v>
      </c>
      <c r="W71" s="130" t="s">
        <v>131</v>
      </c>
      <c r="X71" s="111"/>
      <c r="Y71" s="243" t="str">
        <f t="shared" ref="Y71:Y102" si="27">B71</f>
        <v>CA175</v>
      </c>
      <c r="Z71" s="281">
        <f t="shared" ref="Z71:Z102" si="28">CHOOSE(MOD(INT((AA71-1000)/1000), 4) + 1, 1000, 2000, 1000, 2000)</f>
        <v>1000</v>
      </c>
      <c r="AA71" s="132">
        <f t="shared" si="19"/>
        <v>35000</v>
      </c>
      <c r="AB71" s="55">
        <f>'HORÓMETRO SEPTIEMBRE 2024'!AG114</f>
        <v>27523.26</v>
      </c>
      <c r="AC71" s="111"/>
    </row>
    <row r="72" spans="2:29" x14ac:dyDescent="0.35">
      <c r="B72" s="137" t="s">
        <v>119</v>
      </c>
      <c r="C72" s="205" t="s">
        <v>6</v>
      </c>
      <c r="D72" s="206" t="s">
        <v>215</v>
      </c>
      <c r="E72" s="208" t="s">
        <v>217</v>
      </c>
      <c r="F72" s="207" t="s">
        <v>211</v>
      </c>
      <c r="G72" s="125" t="s">
        <v>197</v>
      </c>
      <c r="H72" s="138" t="s">
        <v>190</v>
      </c>
      <c r="I72" s="111"/>
      <c r="J72" s="282">
        <f t="shared" si="20"/>
        <v>1000</v>
      </c>
      <c r="K72" s="211">
        <v>23000</v>
      </c>
      <c r="L72" s="212">
        <v>26324.98</v>
      </c>
      <c r="M72" s="213">
        <v>45553</v>
      </c>
      <c r="N72" s="128">
        <f t="shared" si="21"/>
        <v>189.40999999999985</v>
      </c>
      <c r="O72" s="299">
        <f t="shared" si="22"/>
        <v>0</v>
      </c>
      <c r="P72" s="285" t="str">
        <f t="shared" si="23"/>
        <v>A</v>
      </c>
      <c r="Q72" s="111"/>
      <c r="R72" s="212">
        <v>26526.87</v>
      </c>
      <c r="S72" s="213">
        <v>45563</v>
      </c>
      <c r="T72" s="128">
        <f t="shared" si="24"/>
        <v>-12.479999999999563</v>
      </c>
      <c r="U72" s="129">
        <f t="shared" si="25"/>
        <v>0</v>
      </c>
      <c r="V72" s="286" t="str">
        <f t="shared" si="26"/>
        <v>B</v>
      </c>
      <c r="W72" s="130" t="s">
        <v>131</v>
      </c>
      <c r="X72" s="111"/>
      <c r="Y72" s="243" t="str">
        <f t="shared" si="27"/>
        <v>CA176</v>
      </c>
      <c r="Z72" s="281">
        <f t="shared" si="28"/>
        <v>2000</v>
      </c>
      <c r="AA72" s="132">
        <f t="shared" si="19"/>
        <v>24000</v>
      </c>
      <c r="AB72" s="55">
        <f>'HORÓMETRO SEPTIEMBRE 2024'!AG115</f>
        <v>26514.39</v>
      </c>
      <c r="AC72" s="111"/>
    </row>
    <row r="73" spans="2:29" x14ac:dyDescent="0.35">
      <c r="B73" s="137" t="s">
        <v>120</v>
      </c>
      <c r="C73" s="205" t="s">
        <v>6</v>
      </c>
      <c r="D73" s="206" t="s">
        <v>215</v>
      </c>
      <c r="E73" s="208" t="s">
        <v>217</v>
      </c>
      <c r="F73" s="207" t="s">
        <v>211</v>
      </c>
      <c r="G73" s="125" t="s">
        <v>198</v>
      </c>
      <c r="H73" s="138" t="s">
        <v>190</v>
      </c>
      <c r="I73" s="111"/>
      <c r="J73" s="282">
        <f t="shared" si="20"/>
        <v>1000</v>
      </c>
      <c r="K73" s="211">
        <v>23000</v>
      </c>
      <c r="L73" s="212">
        <v>25899.920000000031</v>
      </c>
      <c r="M73" s="213">
        <v>45531</v>
      </c>
      <c r="N73" s="128">
        <f t="shared" si="21"/>
        <v>507.52999999996973</v>
      </c>
      <c r="O73" s="129">
        <f t="shared" si="22"/>
        <v>0</v>
      </c>
      <c r="P73" s="285" t="str">
        <f t="shared" si="23"/>
        <v>B</v>
      </c>
      <c r="Q73" s="111"/>
      <c r="R73" s="212">
        <v>25930.39</v>
      </c>
      <c r="S73" s="213">
        <v>45554</v>
      </c>
      <c r="T73" s="128">
        <f t="shared" si="24"/>
        <v>477.06000000000131</v>
      </c>
      <c r="U73" s="129">
        <f t="shared" si="25"/>
        <v>0</v>
      </c>
      <c r="V73" s="286" t="str">
        <f t="shared" si="26"/>
        <v>A</v>
      </c>
      <c r="W73" s="130" t="s">
        <v>131</v>
      </c>
      <c r="X73" s="111"/>
      <c r="Y73" s="243" t="str">
        <f t="shared" si="27"/>
        <v>CA177</v>
      </c>
      <c r="Z73" s="281">
        <f t="shared" si="28"/>
        <v>2000</v>
      </c>
      <c r="AA73" s="132">
        <f t="shared" si="19"/>
        <v>24000</v>
      </c>
      <c r="AB73" s="55">
        <f>'HORÓMETRO SEPTIEMBRE 2024'!AG116</f>
        <v>26407.45</v>
      </c>
      <c r="AC73" s="111"/>
    </row>
    <row r="74" spans="2:29" x14ac:dyDescent="0.35">
      <c r="B74" s="137" t="s">
        <v>121</v>
      </c>
      <c r="C74" s="205" t="s">
        <v>6</v>
      </c>
      <c r="D74" s="206" t="s">
        <v>215</v>
      </c>
      <c r="E74" s="208" t="s">
        <v>217</v>
      </c>
      <c r="F74" s="301" t="s">
        <v>575</v>
      </c>
      <c r="G74" s="125" t="s">
        <v>199</v>
      </c>
      <c r="H74" s="138" t="s">
        <v>190</v>
      </c>
      <c r="I74" s="111"/>
      <c r="J74" s="282">
        <f t="shared" si="20"/>
        <v>2000</v>
      </c>
      <c r="K74" s="211">
        <v>22000</v>
      </c>
      <c r="L74" s="212">
        <v>25221.8</v>
      </c>
      <c r="M74" s="213">
        <v>45506</v>
      </c>
      <c r="N74" s="128">
        <f t="shared" si="21"/>
        <v>1062.2700000000004</v>
      </c>
      <c r="O74" s="129">
        <f t="shared" si="22"/>
        <v>6.2270000000000436E-2</v>
      </c>
      <c r="P74" s="285" t="str">
        <f t="shared" si="23"/>
        <v>B</v>
      </c>
      <c r="Q74" s="111"/>
      <c r="R74" s="212">
        <v>25672.3</v>
      </c>
      <c r="S74" s="213">
        <v>45546</v>
      </c>
      <c r="T74" s="128">
        <f t="shared" si="24"/>
        <v>611.77000000000044</v>
      </c>
      <c r="U74" s="129">
        <f t="shared" si="25"/>
        <v>0.22354000000000088</v>
      </c>
      <c r="V74" s="286" t="str">
        <f t="shared" si="26"/>
        <v>B</v>
      </c>
      <c r="W74" s="130" t="s">
        <v>131</v>
      </c>
      <c r="X74" s="111"/>
      <c r="Y74" s="243" t="str">
        <f t="shared" si="27"/>
        <v>CA178</v>
      </c>
      <c r="Z74" s="281">
        <f t="shared" si="28"/>
        <v>1000</v>
      </c>
      <c r="AA74" s="132">
        <f t="shared" si="19"/>
        <v>23000</v>
      </c>
      <c r="AB74" s="55">
        <f>'HORÓMETRO SEPTIEMBRE 2024'!AG117</f>
        <v>26284.07</v>
      </c>
      <c r="AC74" s="111"/>
    </row>
    <row r="75" spans="2:29" x14ac:dyDescent="0.35">
      <c r="B75" s="139" t="s">
        <v>122</v>
      </c>
      <c r="C75" s="205" t="s">
        <v>6</v>
      </c>
      <c r="D75" s="206" t="s">
        <v>215</v>
      </c>
      <c r="E75" s="208" t="s">
        <v>217</v>
      </c>
      <c r="F75" s="207" t="s">
        <v>211</v>
      </c>
      <c r="G75" s="125" t="s">
        <v>200</v>
      </c>
      <c r="H75" s="140" t="s">
        <v>196</v>
      </c>
      <c r="I75" s="111"/>
      <c r="J75" s="282">
        <f t="shared" ref="J75:J81" si="29">CHOOSE(MOD(INT((K75-500)/500), 20) + 1, 500, 1000, 500, 1000, 2500, 1000, 500, 1000, 2500, 5000, 500, 1000, 500, 1000, 2500, 1000, 500, 1000, 2500, 10000)</f>
        <v>2500</v>
      </c>
      <c r="K75" s="211">
        <v>7500</v>
      </c>
      <c r="L75" s="212">
        <v>8217.1299999999992</v>
      </c>
      <c r="M75" s="213">
        <v>45563</v>
      </c>
      <c r="N75" s="128">
        <f t="shared" si="21"/>
        <v>55.600000000000364</v>
      </c>
      <c r="O75" s="299">
        <f t="shared" ref="O75:O81" si="30">IF(N75 &lt; 500, 0, (N75 - 500) / 500)</f>
        <v>0</v>
      </c>
      <c r="P75" s="285" t="str">
        <f t="shared" si="23"/>
        <v>B</v>
      </c>
      <c r="Q75" s="111"/>
      <c r="R75" s="212">
        <v>8193.7900000000009</v>
      </c>
      <c r="S75" s="213">
        <v>45561</v>
      </c>
      <c r="T75" s="128">
        <f t="shared" si="24"/>
        <v>78.93999999999869</v>
      </c>
      <c r="U75" s="129">
        <f t="shared" si="25"/>
        <v>0</v>
      </c>
      <c r="V75" s="286" t="str">
        <f t="shared" si="26"/>
        <v>B</v>
      </c>
      <c r="W75" s="130" t="s">
        <v>133</v>
      </c>
      <c r="X75" s="111"/>
      <c r="Y75" s="242" t="str">
        <f t="shared" si="27"/>
        <v>CA184</v>
      </c>
      <c r="Z75" s="281">
        <f t="shared" ref="Z75:Z81" si="31">CHOOSE(MOD(INT((AA75-500)/500), 20) + 1, 500, 1000, 500, 1000, 2500, 1000, 500, 1000, 2500, 5000, 500, 1000, 500, 1000, 2500, 1000, 500, 1000, 2500, 10000)</f>
        <v>1000</v>
      </c>
      <c r="AA75" s="132">
        <f t="shared" ref="AA75:AA81" si="32">K75+500</f>
        <v>8000</v>
      </c>
      <c r="AB75" s="55">
        <f>'HORÓMETRO SEPTIEMBRE 2024'!AG118</f>
        <v>8272.73</v>
      </c>
      <c r="AC75" s="111"/>
    </row>
    <row r="76" spans="2:29" x14ac:dyDescent="0.35">
      <c r="B76" s="139" t="s">
        <v>123</v>
      </c>
      <c r="C76" s="205" t="s">
        <v>6</v>
      </c>
      <c r="D76" s="206" t="s">
        <v>215</v>
      </c>
      <c r="E76" s="208" t="s">
        <v>217</v>
      </c>
      <c r="F76" s="207" t="s">
        <v>211</v>
      </c>
      <c r="G76" s="125" t="s">
        <v>201</v>
      </c>
      <c r="H76" s="140" t="s">
        <v>196</v>
      </c>
      <c r="I76" s="111"/>
      <c r="J76" s="282">
        <f t="shared" si="29"/>
        <v>2500</v>
      </c>
      <c r="K76" s="211">
        <v>7500</v>
      </c>
      <c r="L76" s="212">
        <v>8226.2000000000007</v>
      </c>
      <c r="M76" s="213">
        <v>45546</v>
      </c>
      <c r="N76" s="128">
        <f t="shared" si="21"/>
        <v>380.01999999999862</v>
      </c>
      <c r="O76" s="129">
        <f t="shared" si="30"/>
        <v>0</v>
      </c>
      <c r="P76" s="285" t="str">
        <f t="shared" si="23"/>
        <v>B</v>
      </c>
      <c r="Q76" s="111"/>
      <c r="R76" s="212">
        <v>8562.77</v>
      </c>
      <c r="S76" s="213">
        <v>45564</v>
      </c>
      <c r="T76" s="128">
        <f t="shared" si="24"/>
        <v>43.449999999998909</v>
      </c>
      <c r="U76" s="129">
        <f t="shared" si="25"/>
        <v>0</v>
      </c>
      <c r="V76" s="286" t="str">
        <f t="shared" si="26"/>
        <v>B</v>
      </c>
      <c r="W76" s="130" t="s">
        <v>133</v>
      </c>
      <c r="X76" s="111"/>
      <c r="Y76" s="242" t="str">
        <f t="shared" si="27"/>
        <v>CA185</v>
      </c>
      <c r="Z76" s="281">
        <f t="shared" si="31"/>
        <v>1000</v>
      </c>
      <c r="AA76" s="132">
        <f t="shared" si="32"/>
        <v>8000</v>
      </c>
      <c r="AB76" s="55">
        <f>'HORÓMETRO SEPTIEMBRE 2024'!AG119</f>
        <v>8606.2199999999993</v>
      </c>
      <c r="AC76" s="111"/>
    </row>
    <row r="77" spans="2:29" x14ac:dyDescent="0.35">
      <c r="B77" s="139" t="s">
        <v>124</v>
      </c>
      <c r="C77" s="205" t="s">
        <v>6</v>
      </c>
      <c r="D77" s="206" t="s">
        <v>215</v>
      </c>
      <c r="E77" s="208" t="s">
        <v>217</v>
      </c>
      <c r="F77" s="207" t="s">
        <v>211</v>
      </c>
      <c r="G77" s="125" t="s">
        <v>202</v>
      </c>
      <c r="H77" s="140" t="s">
        <v>196</v>
      </c>
      <c r="I77" s="111"/>
      <c r="J77" s="282">
        <f t="shared" si="29"/>
        <v>500</v>
      </c>
      <c r="K77" s="211">
        <v>6500</v>
      </c>
      <c r="L77" s="212">
        <v>7969.46</v>
      </c>
      <c r="M77" s="213">
        <v>45563</v>
      </c>
      <c r="N77" s="128">
        <f t="shared" si="21"/>
        <v>34.420000000000073</v>
      </c>
      <c r="O77" s="299">
        <f t="shared" si="30"/>
        <v>0</v>
      </c>
      <c r="P77" s="285" t="str">
        <f t="shared" si="23"/>
        <v>B</v>
      </c>
      <c r="Q77" s="111"/>
      <c r="R77" s="212">
        <v>7952.62</v>
      </c>
      <c r="S77" s="213">
        <v>45562</v>
      </c>
      <c r="T77" s="128">
        <f t="shared" si="24"/>
        <v>51.260000000000218</v>
      </c>
      <c r="U77" s="129">
        <f t="shared" si="25"/>
        <v>0</v>
      </c>
      <c r="V77" s="286" t="str">
        <f t="shared" si="26"/>
        <v>B</v>
      </c>
      <c r="W77" s="130" t="s">
        <v>133</v>
      </c>
      <c r="X77" s="111"/>
      <c r="Y77" s="242" t="str">
        <f t="shared" si="27"/>
        <v>CA186</v>
      </c>
      <c r="Z77" s="281">
        <f t="shared" si="31"/>
        <v>1000</v>
      </c>
      <c r="AA77" s="132">
        <f t="shared" si="32"/>
        <v>7000</v>
      </c>
      <c r="AB77" s="55">
        <f>'HORÓMETRO SEPTIEMBRE 2024'!AG120</f>
        <v>8003.88</v>
      </c>
      <c r="AC77" s="111"/>
    </row>
    <row r="78" spans="2:29" x14ac:dyDescent="0.35">
      <c r="B78" s="139" t="s">
        <v>125</v>
      </c>
      <c r="C78" s="205" t="s">
        <v>6</v>
      </c>
      <c r="D78" s="206" t="s">
        <v>215</v>
      </c>
      <c r="E78" s="208" t="s">
        <v>217</v>
      </c>
      <c r="F78" s="207" t="s">
        <v>211</v>
      </c>
      <c r="G78" s="125" t="s">
        <v>203</v>
      </c>
      <c r="H78" s="140" t="s">
        <v>196</v>
      </c>
      <c r="I78" s="111"/>
      <c r="J78" s="282">
        <f t="shared" si="29"/>
        <v>500</v>
      </c>
      <c r="K78" s="211">
        <v>5500</v>
      </c>
      <c r="L78" s="212">
        <v>6325.7</v>
      </c>
      <c r="M78" s="213">
        <v>45558</v>
      </c>
      <c r="N78" s="128">
        <f t="shared" si="21"/>
        <v>122.80000000000018</v>
      </c>
      <c r="O78" s="299">
        <f t="shared" si="30"/>
        <v>0</v>
      </c>
      <c r="P78" s="285" t="str">
        <f t="shared" si="23"/>
        <v>A</v>
      </c>
      <c r="Q78" s="111"/>
      <c r="R78" s="212">
        <v>5918.33</v>
      </c>
      <c r="S78" s="213">
        <v>45536</v>
      </c>
      <c r="T78" s="128">
        <f t="shared" si="24"/>
        <v>530.17000000000007</v>
      </c>
      <c r="U78" s="129">
        <f t="shared" si="25"/>
        <v>6.0340000000000144E-2</v>
      </c>
      <c r="V78" s="286" t="str">
        <f t="shared" si="26"/>
        <v>B</v>
      </c>
      <c r="W78" s="130" t="s">
        <v>133</v>
      </c>
      <c r="X78" s="111"/>
      <c r="Y78" s="242" t="str">
        <f t="shared" si="27"/>
        <v>CA187</v>
      </c>
      <c r="Z78" s="281">
        <f t="shared" si="31"/>
        <v>1000</v>
      </c>
      <c r="AA78" s="132">
        <f t="shared" si="32"/>
        <v>6000</v>
      </c>
      <c r="AB78" s="55">
        <f>'HORÓMETRO SEPTIEMBRE 2024'!AG121</f>
        <v>6448.5</v>
      </c>
      <c r="AC78" s="111"/>
    </row>
    <row r="79" spans="2:29" x14ac:dyDescent="0.35">
      <c r="B79" s="139" t="s">
        <v>126</v>
      </c>
      <c r="C79" s="205" t="s">
        <v>6</v>
      </c>
      <c r="D79" s="206" t="s">
        <v>215</v>
      </c>
      <c r="E79" s="208" t="s">
        <v>217</v>
      </c>
      <c r="F79" s="207" t="s">
        <v>211</v>
      </c>
      <c r="G79" s="125" t="s">
        <v>264</v>
      </c>
      <c r="H79" s="140" t="s">
        <v>196</v>
      </c>
      <c r="I79" s="111"/>
      <c r="J79" s="282">
        <f t="shared" si="29"/>
        <v>1000</v>
      </c>
      <c r="K79" s="211">
        <v>6000</v>
      </c>
      <c r="L79" s="212">
        <v>7045.5499999999984</v>
      </c>
      <c r="M79" s="213">
        <v>45539</v>
      </c>
      <c r="N79" s="128">
        <f t="shared" si="21"/>
        <v>474.91000000000167</v>
      </c>
      <c r="O79" s="129">
        <f t="shared" si="30"/>
        <v>0</v>
      </c>
      <c r="P79" s="285" t="str">
        <f t="shared" si="23"/>
        <v>A</v>
      </c>
      <c r="Q79" s="111"/>
      <c r="R79" s="212">
        <v>7455.43</v>
      </c>
      <c r="S79" s="213">
        <v>45563</v>
      </c>
      <c r="T79" s="128">
        <f t="shared" si="24"/>
        <v>65.029999999999745</v>
      </c>
      <c r="U79" s="129">
        <f t="shared" si="25"/>
        <v>0</v>
      </c>
      <c r="V79" s="286" t="str">
        <f t="shared" si="26"/>
        <v>B</v>
      </c>
      <c r="W79" s="130" t="s">
        <v>133</v>
      </c>
      <c r="X79" s="111"/>
      <c r="Y79" s="242" t="str">
        <f t="shared" si="27"/>
        <v>CA188</v>
      </c>
      <c r="Z79" s="281">
        <f t="shared" si="31"/>
        <v>500</v>
      </c>
      <c r="AA79" s="132">
        <f t="shared" si="32"/>
        <v>6500</v>
      </c>
      <c r="AB79" s="55">
        <f>'HORÓMETRO SEPTIEMBRE 2024'!AG122</f>
        <v>7520.46</v>
      </c>
      <c r="AC79" s="111"/>
    </row>
    <row r="80" spans="2:29" x14ac:dyDescent="0.35">
      <c r="B80" s="139" t="s">
        <v>127</v>
      </c>
      <c r="C80" s="205" t="s">
        <v>6</v>
      </c>
      <c r="D80" s="206" t="s">
        <v>215</v>
      </c>
      <c r="E80" s="208" t="s">
        <v>217</v>
      </c>
      <c r="F80" s="207" t="s">
        <v>211</v>
      </c>
      <c r="G80" s="125" t="s">
        <v>265</v>
      </c>
      <c r="H80" s="140" t="s">
        <v>196</v>
      </c>
      <c r="I80" s="111"/>
      <c r="J80" s="282">
        <f t="shared" si="29"/>
        <v>500</v>
      </c>
      <c r="K80" s="211">
        <v>6500</v>
      </c>
      <c r="L80" s="212">
        <v>7733.76</v>
      </c>
      <c r="M80" s="213">
        <v>45564</v>
      </c>
      <c r="N80" s="128">
        <f t="shared" si="21"/>
        <v>35.889999999999418</v>
      </c>
      <c r="O80" s="299">
        <f t="shared" si="30"/>
        <v>0</v>
      </c>
      <c r="P80" s="285" t="str">
        <f t="shared" si="23"/>
        <v>B</v>
      </c>
      <c r="Q80" s="111"/>
      <c r="R80" s="212">
        <v>7721.8</v>
      </c>
      <c r="S80" s="213">
        <v>45563</v>
      </c>
      <c r="T80" s="128">
        <f t="shared" si="24"/>
        <v>47.849999999999454</v>
      </c>
      <c r="U80" s="129">
        <f t="shared" si="25"/>
        <v>0</v>
      </c>
      <c r="V80" s="286" t="str">
        <f t="shared" si="26"/>
        <v>B</v>
      </c>
      <c r="W80" s="130" t="s">
        <v>133</v>
      </c>
      <c r="X80" s="111"/>
      <c r="Y80" s="242" t="str">
        <f t="shared" si="27"/>
        <v>CA189</v>
      </c>
      <c r="Z80" s="281">
        <f t="shared" si="31"/>
        <v>1000</v>
      </c>
      <c r="AA80" s="132">
        <f t="shared" si="32"/>
        <v>7000</v>
      </c>
      <c r="AB80" s="55">
        <f>'HORÓMETRO SEPTIEMBRE 2024'!AG123</f>
        <v>7769.65</v>
      </c>
      <c r="AC80" s="111"/>
    </row>
    <row r="81" spans="2:29" x14ac:dyDescent="0.35">
      <c r="B81" s="139" t="s">
        <v>128</v>
      </c>
      <c r="C81" s="205" t="s">
        <v>6</v>
      </c>
      <c r="D81" s="206" t="s">
        <v>215</v>
      </c>
      <c r="E81" s="208" t="s">
        <v>217</v>
      </c>
      <c r="F81" s="207" t="s">
        <v>211</v>
      </c>
      <c r="G81" s="125" t="s">
        <v>266</v>
      </c>
      <c r="H81" s="140" t="s">
        <v>196</v>
      </c>
      <c r="I81" s="111"/>
      <c r="J81" s="294">
        <f t="shared" si="29"/>
        <v>500</v>
      </c>
      <c r="K81" s="295">
        <v>6500</v>
      </c>
      <c r="L81" s="296">
        <v>7512.46</v>
      </c>
      <c r="M81" s="297">
        <v>45565</v>
      </c>
      <c r="N81" s="298">
        <f t="shared" si="21"/>
        <v>21.3100000000004</v>
      </c>
      <c r="O81" s="299">
        <f t="shared" si="30"/>
        <v>0</v>
      </c>
      <c r="P81" s="300" t="str">
        <f t="shared" si="23"/>
        <v>B</v>
      </c>
      <c r="Q81" s="111"/>
      <c r="R81" s="212">
        <v>7512.46</v>
      </c>
      <c r="S81" s="213">
        <v>45564</v>
      </c>
      <c r="T81" s="128">
        <f t="shared" si="24"/>
        <v>21.3100000000004</v>
      </c>
      <c r="U81" s="129">
        <f t="shared" si="25"/>
        <v>0</v>
      </c>
      <c r="V81" s="286" t="str">
        <f t="shared" si="26"/>
        <v>B</v>
      </c>
      <c r="W81" s="130" t="s">
        <v>133</v>
      </c>
      <c r="X81" s="111"/>
      <c r="Y81" s="242" t="str">
        <f t="shared" si="27"/>
        <v>CA190</v>
      </c>
      <c r="Z81" s="281">
        <f t="shared" si="31"/>
        <v>1000</v>
      </c>
      <c r="AA81" s="132">
        <f t="shared" si="32"/>
        <v>7000</v>
      </c>
      <c r="AB81" s="55">
        <f>'HORÓMETRO SEPTIEMBRE 2024'!AG124</f>
        <v>7533.77</v>
      </c>
      <c r="AC81" s="111"/>
    </row>
    <row r="82" spans="2:29" x14ac:dyDescent="0.35">
      <c r="B82" s="125" t="s">
        <v>69</v>
      </c>
      <c r="C82" s="205" t="s">
        <v>6</v>
      </c>
      <c r="D82" s="207" t="s">
        <v>263</v>
      </c>
      <c r="E82" s="207" t="s">
        <v>216</v>
      </c>
      <c r="F82" s="207" t="s">
        <v>211</v>
      </c>
      <c r="G82" s="125" t="s">
        <v>219</v>
      </c>
      <c r="H82" s="130" t="s">
        <v>218</v>
      </c>
      <c r="I82" s="111"/>
      <c r="J82" s="282">
        <f t="shared" ref="J82:J125" si="33">CHOOSE(MOD(INT((K82-1000)/1000), 4) + 1, 1000, 2000, 1000, 2000)</f>
        <v>2000</v>
      </c>
      <c r="K82" s="211">
        <v>80000</v>
      </c>
      <c r="L82" s="212">
        <v>77031.619999999981</v>
      </c>
      <c r="M82" s="213">
        <v>45529</v>
      </c>
      <c r="N82" s="128">
        <f t="shared" si="21"/>
        <v>1.4551915228366852E-11</v>
      </c>
      <c r="O82" s="129">
        <f t="shared" ref="O82:O125" si="34">IF(N82 &lt; 1000, 0, (N82 - 1000) / 1000)</f>
        <v>0</v>
      </c>
      <c r="P82" s="285" t="str">
        <f t="shared" si="23"/>
        <v>A</v>
      </c>
      <c r="Q82" s="111"/>
      <c r="R82" s="212">
        <v>77055.62</v>
      </c>
      <c r="S82" s="213">
        <v>45529</v>
      </c>
      <c r="T82" s="128">
        <f t="shared" si="24"/>
        <v>-24</v>
      </c>
      <c r="U82" s="129">
        <f t="shared" si="25"/>
        <v>0</v>
      </c>
      <c r="V82" s="286" t="str">
        <f t="shared" si="26"/>
        <v>A</v>
      </c>
      <c r="W82" s="130" t="s">
        <v>131</v>
      </c>
      <c r="X82" s="111"/>
      <c r="Y82" s="131" t="str">
        <f t="shared" si="27"/>
        <v>CA46</v>
      </c>
      <c r="Z82" s="281">
        <f t="shared" ref="Z82:Z125" si="35">CHOOSE(MOD(INT((AA82-1000)/1000), 4) + 1, 1000, 2000, 1000, 2000)</f>
        <v>1000</v>
      </c>
      <c r="AA82" s="132">
        <f t="shared" ref="AA82:AA125" si="36">K82+1000</f>
        <v>81000</v>
      </c>
      <c r="AB82" s="55">
        <f>'HORÓMETRO SEPTIEMBRE 2024'!AG63</f>
        <v>77031.62</v>
      </c>
      <c r="AC82" s="111"/>
    </row>
    <row r="83" spans="2:29" x14ac:dyDescent="0.35">
      <c r="B83" s="125" t="s">
        <v>70</v>
      </c>
      <c r="C83" s="205" t="s">
        <v>6</v>
      </c>
      <c r="D83" s="207" t="s">
        <v>263</v>
      </c>
      <c r="E83" s="208" t="s">
        <v>217</v>
      </c>
      <c r="F83" s="207" t="s">
        <v>211</v>
      </c>
      <c r="G83" s="125" t="s">
        <v>220</v>
      </c>
      <c r="H83" s="130" t="s">
        <v>218</v>
      </c>
      <c r="I83" s="111"/>
      <c r="J83" s="282">
        <f t="shared" si="33"/>
        <v>2000</v>
      </c>
      <c r="K83" s="211">
        <v>86000</v>
      </c>
      <c r="L83" s="212">
        <v>86430.1</v>
      </c>
      <c r="M83" s="213">
        <v>45522</v>
      </c>
      <c r="N83" s="128">
        <f t="shared" si="21"/>
        <v>16.970000000001164</v>
      </c>
      <c r="O83" s="129">
        <f t="shared" si="34"/>
        <v>0</v>
      </c>
      <c r="P83" s="285" t="str">
        <f t="shared" si="23"/>
        <v>B</v>
      </c>
      <c r="Q83" s="111"/>
      <c r="R83" s="212">
        <v>86430.14</v>
      </c>
      <c r="S83" s="213">
        <v>45553</v>
      </c>
      <c r="T83" s="128">
        <f t="shared" si="24"/>
        <v>16.930000000007567</v>
      </c>
      <c r="U83" s="129">
        <f t="shared" si="25"/>
        <v>0</v>
      </c>
      <c r="V83" s="286" t="str">
        <f t="shared" si="26"/>
        <v>A</v>
      </c>
      <c r="W83" s="130" t="s">
        <v>131</v>
      </c>
      <c r="X83" s="111"/>
      <c r="Y83" s="131" t="str">
        <f t="shared" si="27"/>
        <v>CA47</v>
      </c>
      <c r="Z83" s="281">
        <f t="shared" si="35"/>
        <v>1000</v>
      </c>
      <c r="AA83" s="132">
        <f t="shared" si="36"/>
        <v>87000</v>
      </c>
      <c r="AB83" s="55">
        <f>'HORÓMETRO SEPTIEMBRE 2024'!AG64</f>
        <v>86447.07</v>
      </c>
      <c r="AC83" s="111"/>
    </row>
    <row r="84" spans="2:29" x14ac:dyDescent="0.35">
      <c r="B84" s="125" t="s">
        <v>71</v>
      </c>
      <c r="C84" s="205" t="s">
        <v>6</v>
      </c>
      <c r="D84" s="207" t="s">
        <v>215</v>
      </c>
      <c r="E84" s="207" t="s">
        <v>216</v>
      </c>
      <c r="F84" s="207" t="s">
        <v>211</v>
      </c>
      <c r="G84" s="125" t="s">
        <v>221</v>
      </c>
      <c r="H84" s="130" t="s">
        <v>135</v>
      </c>
      <c r="I84" s="111"/>
      <c r="J84" s="282">
        <f t="shared" si="33"/>
        <v>1000</v>
      </c>
      <c r="K84" s="211">
        <v>81000</v>
      </c>
      <c r="L84" s="212">
        <v>84866.750000000029</v>
      </c>
      <c r="M84" s="213">
        <v>45545</v>
      </c>
      <c r="N84" s="128">
        <f t="shared" si="21"/>
        <v>261.87999999997555</v>
      </c>
      <c r="O84" s="129">
        <f t="shared" si="34"/>
        <v>0</v>
      </c>
      <c r="P84" s="285" t="str">
        <f t="shared" si="23"/>
        <v>B</v>
      </c>
      <c r="Q84" s="111"/>
      <c r="R84" s="212">
        <v>84902.96</v>
      </c>
      <c r="S84" s="213">
        <v>45549</v>
      </c>
      <c r="T84" s="128">
        <f t="shared" si="24"/>
        <v>225.66999999999825</v>
      </c>
      <c r="U84" s="129">
        <f t="shared" si="25"/>
        <v>0</v>
      </c>
      <c r="V84" s="286" t="str">
        <f t="shared" si="26"/>
        <v>B</v>
      </c>
      <c r="W84" s="130" t="s">
        <v>131</v>
      </c>
      <c r="X84" s="111"/>
      <c r="Y84" s="131" t="str">
        <f t="shared" si="27"/>
        <v>CA55</v>
      </c>
      <c r="Z84" s="281">
        <f t="shared" si="35"/>
        <v>2000</v>
      </c>
      <c r="AA84" s="132">
        <f t="shared" si="36"/>
        <v>82000</v>
      </c>
      <c r="AB84" s="55">
        <f>'HORÓMETRO SEPTIEMBRE 2024'!AG65</f>
        <v>85128.63</v>
      </c>
      <c r="AC84" s="111"/>
    </row>
    <row r="85" spans="2:29" x14ac:dyDescent="0.35">
      <c r="B85" s="125" t="s">
        <v>72</v>
      </c>
      <c r="C85" s="205" t="s">
        <v>6</v>
      </c>
      <c r="D85" s="207" t="s">
        <v>263</v>
      </c>
      <c r="E85" s="207" t="s">
        <v>216</v>
      </c>
      <c r="F85" s="207" t="s">
        <v>211</v>
      </c>
      <c r="G85" s="125" t="s">
        <v>222</v>
      </c>
      <c r="H85" s="130" t="s">
        <v>135</v>
      </c>
      <c r="I85" s="111"/>
      <c r="J85" s="282">
        <f t="shared" si="33"/>
        <v>2000</v>
      </c>
      <c r="K85" s="211">
        <v>70000</v>
      </c>
      <c r="L85" s="212">
        <v>82154.020000000179</v>
      </c>
      <c r="M85" s="213">
        <v>45472</v>
      </c>
      <c r="N85" s="128">
        <f t="shared" si="21"/>
        <v>1004.0099999998201</v>
      </c>
      <c r="O85" s="129">
        <f t="shared" si="34"/>
        <v>4.0099999998201383E-3</v>
      </c>
      <c r="P85" s="285" t="str">
        <f t="shared" si="23"/>
        <v>A</v>
      </c>
      <c r="Q85" s="111"/>
      <c r="R85" s="212">
        <v>83054.850000000006</v>
      </c>
      <c r="S85" s="213">
        <v>45559</v>
      </c>
      <c r="T85" s="128">
        <f t="shared" si="24"/>
        <v>103.17999999999302</v>
      </c>
      <c r="U85" s="129">
        <f t="shared" si="25"/>
        <v>0</v>
      </c>
      <c r="V85" s="286" t="str">
        <f t="shared" si="26"/>
        <v>B</v>
      </c>
      <c r="W85" s="130" t="s">
        <v>131</v>
      </c>
      <c r="X85" s="111"/>
      <c r="Y85" s="131" t="str">
        <f t="shared" si="27"/>
        <v>CA56</v>
      </c>
      <c r="Z85" s="281">
        <f t="shared" si="35"/>
        <v>1000</v>
      </c>
      <c r="AA85" s="132">
        <f t="shared" si="36"/>
        <v>71000</v>
      </c>
      <c r="AB85" s="55">
        <f>'HORÓMETRO SEPTIEMBRE 2024'!AG66</f>
        <v>83158.03</v>
      </c>
      <c r="AC85" s="111"/>
    </row>
    <row r="86" spans="2:29" x14ac:dyDescent="0.35">
      <c r="B86" s="125" t="s">
        <v>73</v>
      </c>
      <c r="C86" s="205" t="s">
        <v>6</v>
      </c>
      <c r="D86" s="206" t="s">
        <v>215</v>
      </c>
      <c r="E86" s="207" t="s">
        <v>216</v>
      </c>
      <c r="F86" s="207" t="s">
        <v>211</v>
      </c>
      <c r="G86" s="125" t="s">
        <v>223</v>
      </c>
      <c r="H86" s="130" t="s">
        <v>135</v>
      </c>
      <c r="I86" s="111"/>
      <c r="J86" s="282">
        <f t="shared" si="33"/>
        <v>1000</v>
      </c>
      <c r="K86" s="211">
        <v>79000</v>
      </c>
      <c r="L86" s="212">
        <v>84531.309999999925</v>
      </c>
      <c r="M86" s="213">
        <v>45468</v>
      </c>
      <c r="N86" s="128">
        <f t="shared" si="21"/>
        <v>1022.740000000078</v>
      </c>
      <c r="O86" s="129">
        <f t="shared" si="34"/>
        <v>2.2740000000078E-2</v>
      </c>
      <c r="P86" s="285" t="str">
        <f t="shared" si="23"/>
        <v>A</v>
      </c>
      <c r="Q86" s="111"/>
      <c r="R86" s="212">
        <v>85452.64</v>
      </c>
      <c r="S86" s="213">
        <v>45560</v>
      </c>
      <c r="T86" s="128">
        <f t="shared" si="24"/>
        <v>101.41000000000349</v>
      </c>
      <c r="U86" s="129">
        <f t="shared" si="25"/>
        <v>0</v>
      </c>
      <c r="V86" s="286" t="str">
        <f t="shared" si="26"/>
        <v>B</v>
      </c>
      <c r="W86" s="130" t="s">
        <v>131</v>
      </c>
      <c r="X86" s="111"/>
      <c r="Y86" s="131" t="str">
        <f t="shared" si="27"/>
        <v>CA57</v>
      </c>
      <c r="Z86" s="281">
        <f t="shared" si="35"/>
        <v>2000</v>
      </c>
      <c r="AA86" s="132">
        <f t="shared" si="36"/>
        <v>80000</v>
      </c>
      <c r="AB86" s="55">
        <f>'HORÓMETRO SEPTIEMBRE 2024'!AG67</f>
        <v>85554.05</v>
      </c>
      <c r="AC86" s="111"/>
    </row>
    <row r="87" spans="2:29" x14ac:dyDescent="0.35">
      <c r="B87" s="125" t="s">
        <v>74</v>
      </c>
      <c r="C87" s="205" t="s">
        <v>6</v>
      </c>
      <c r="D87" s="207" t="s">
        <v>263</v>
      </c>
      <c r="E87" s="208" t="s">
        <v>217</v>
      </c>
      <c r="F87" s="207" t="s">
        <v>211</v>
      </c>
      <c r="G87" s="125" t="s">
        <v>224</v>
      </c>
      <c r="H87" s="130" t="s">
        <v>135</v>
      </c>
      <c r="I87" s="111"/>
      <c r="J87" s="282">
        <f t="shared" si="33"/>
        <v>2000</v>
      </c>
      <c r="K87" s="211">
        <v>80000</v>
      </c>
      <c r="L87" s="212">
        <v>82508.049999999814</v>
      </c>
      <c r="M87" s="213">
        <v>45474</v>
      </c>
      <c r="N87" s="128">
        <f t="shared" si="21"/>
        <v>1045.6300000001793</v>
      </c>
      <c r="O87" s="129">
        <f t="shared" si="34"/>
        <v>4.5630000000179277E-2</v>
      </c>
      <c r="P87" s="285" t="str">
        <f t="shared" si="23"/>
        <v>A</v>
      </c>
      <c r="Q87" s="111"/>
      <c r="R87" s="212">
        <v>83538.05</v>
      </c>
      <c r="S87" s="213">
        <v>45564</v>
      </c>
      <c r="T87" s="128">
        <f t="shared" si="24"/>
        <v>15.629999999990105</v>
      </c>
      <c r="U87" s="129">
        <f t="shared" si="25"/>
        <v>0</v>
      </c>
      <c r="V87" s="286" t="str">
        <f t="shared" si="26"/>
        <v>B</v>
      </c>
      <c r="W87" s="130" t="s">
        <v>131</v>
      </c>
      <c r="X87" s="111"/>
      <c r="Y87" s="131" t="str">
        <f t="shared" si="27"/>
        <v>CA58</v>
      </c>
      <c r="Z87" s="281">
        <f t="shared" si="35"/>
        <v>1000</v>
      </c>
      <c r="AA87" s="132">
        <f t="shared" si="36"/>
        <v>81000</v>
      </c>
      <c r="AB87" s="55">
        <f>'HORÓMETRO SEPTIEMBRE 2024'!AG68</f>
        <v>83553.679999999993</v>
      </c>
      <c r="AC87" s="111"/>
    </row>
    <row r="88" spans="2:29" x14ac:dyDescent="0.35">
      <c r="B88" s="125" t="s">
        <v>75</v>
      </c>
      <c r="C88" s="205" t="s">
        <v>6</v>
      </c>
      <c r="D88" s="206" t="s">
        <v>215</v>
      </c>
      <c r="E88" s="207" t="s">
        <v>216</v>
      </c>
      <c r="F88" s="207" t="s">
        <v>211</v>
      </c>
      <c r="G88" s="125" t="s">
        <v>225</v>
      </c>
      <c r="H88" s="130" t="s">
        <v>135</v>
      </c>
      <c r="I88" s="111"/>
      <c r="J88" s="282">
        <f t="shared" si="33"/>
        <v>2000</v>
      </c>
      <c r="K88" s="211">
        <v>84000</v>
      </c>
      <c r="L88" s="212">
        <v>86900.46</v>
      </c>
      <c r="M88" s="213">
        <v>45558</v>
      </c>
      <c r="N88" s="128">
        <f t="shared" si="21"/>
        <v>91.159999999988941</v>
      </c>
      <c r="O88" s="299">
        <f t="shared" si="34"/>
        <v>0</v>
      </c>
      <c r="P88" s="285" t="str">
        <f t="shared" si="23"/>
        <v>A</v>
      </c>
      <c r="Q88" s="111"/>
      <c r="R88" s="212">
        <v>86900.46</v>
      </c>
      <c r="S88" s="213">
        <v>45556</v>
      </c>
      <c r="T88" s="128">
        <f t="shared" si="24"/>
        <v>91.159999999988941</v>
      </c>
      <c r="U88" s="129">
        <f t="shared" si="25"/>
        <v>0</v>
      </c>
      <c r="V88" s="286" t="str">
        <f t="shared" si="26"/>
        <v>A</v>
      </c>
      <c r="W88" s="130" t="s">
        <v>131</v>
      </c>
      <c r="X88" s="111"/>
      <c r="Y88" s="131" t="str">
        <f t="shared" si="27"/>
        <v>CA59</v>
      </c>
      <c r="Z88" s="281">
        <f t="shared" si="35"/>
        <v>1000</v>
      </c>
      <c r="AA88" s="132">
        <f t="shared" si="36"/>
        <v>85000</v>
      </c>
      <c r="AB88" s="55">
        <f>'HORÓMETRO SEPTIEMBRE 2024'!AG69</f>
        <v>86991.62</v>
      </c>
      <c r="AC88" s="111"/>
    </row>
    <row r="89" spans="2:29" x14ac:dyDescent="0.35">
      <c r="B89" s="125" t="s">
        <v>76</v>
      </c>
      <c r="C89" s="205" t="s">
        <v>6</v>
      </c>
      <c r="D89" s="206" t="s">
        <v>215</v>
      </c>
      <c r="E89" s="207" t="s">
        <v>216</v>
      </c>
      <c r="F89" s="207" t="s">
        <v>211</v>
      </c>
      <c r="G89" s="125" t="s">
        <v>226</v>
      </c>
      <c r="H89" s="130" t="s">
        <v>135</v>
      </c>
      <c r="I89" s="111"/>
      <c r="J89" s="282">
        <f t="shared" si="33"/>
        <v>2000</v>
      </c>
      <c r="K89" s="211">
        <v>80000</v>
      </c>
      <c r="L89" s="212">
        <v>85735.34</v>
      </c>
      <c r="M89" s="213">
        <v>45562</v>
      </c>
      <c r="N89" s="128">
        <f t="shared" si="21"/>
        <v>35.19999999999709</v>
      </c>
      <c r="O89" s="299">
        <f t="shared" si="34"/>
        <v>0</v>
      </c>
      <c r="P89" s="285" t="str">
        <f t="shared" si="23"/>
        <v>B</v>
      </c>
      <c r="Q89" s="111"/>
      <c r="R89" s="212">
        <v>85735.34</v>
      </c>
      <c r="S89" s="213">
        <v>45561</v>
      </c>
      <c r="T89" s="128">
        <f t="shared" si="24"/>
        <v>35.19999999999709</v>
      </c>
      <c r="U89" s="129">
        <f t="shared" si="25"/>
        <v>0</v>
      </c>
      <c r="V89" s="286" t="str">
        <f t="shared" si="26"/>
        <v>B</v>
      </c>
      <c r="W89" s="130" t="s">
        <v>131</v>
      </c>
      <c r="X89" s="111"/>
      <c r="Y89" s="131" t="str">
        <f t="shared" si="27"/>
        <v>CA60</v>
      </c>
      <c r="Z89" s="281">
        <f t="shared" si="35"/>
        <v>1000</v>
      </c>
      <c r="AA89" s="132">
        <f t="shared" si="36"/>
        <v>81000</v>
      </c>
      <c r="AB89" s="55">
        <f>'HORÓMETRO SEPTIEMBRE 2024'!AG70</f>
        <v>85770.54</v>
      </c>
      <c r="AC89" s="111"/>
    </row>
    <row r="90" spans="2:29" x14ac:dyDescent="0.35">
      <c r="B90" s="133" t="s">
        <v>77</v>
      </c>
      <c r="C90" s="209" t="s">
        <v>129</v>
      </c>
      <c r="D90" s="206" t="s">
        <v>215</v>
      </c>
      <c r="E90" s="207" t="s">
        <v>216</v>
      </c>
      <c r="F90" s="207" t="s">
        <v>211</v>
      </c>
      <c r="G90" s="125" t="s">
        <v>227</v>
      </c>
      <c r="H90" s="130" t="s">
        <v>135</v>
      </c>
      <c r="I90" s="111"/>
      <c r="J90" s="282">
        <f t="shared" si="33"/>
        <v>2000</v>
      </c>
      <c r="K90" s="211">
        <v>72000</v>
      </c>
      <c r="L90" s="212">
        <v>74757.320000000065</v>
      </c>
      <c r="M90" s="213">
        <v>45530</v>
      </c>
      <c r="N90" s="128">
        <f t="shared" si="21"/>
        <v>407.51999999993131</v>
      </c>
      <c r="O90" s="129">
        <f t="shared" si="34"/>
        <v>0</v>
      </c>
      <c r="P90" s="285" t="str">
        <f t="shared" si="23"/>
        <v>A</v>
      </c>
      <c r="Q90" s="111"/>
      <c r="R90" s="212">
        <v>75014.960000000006</v>
      </c>
      <c r="S90" s="213">
        <v>45552</v>
      </c>
      <c r="T90" s="128">
        <f t="shared" si="24"/>
        <v>149.8799999999901</v>
      </c>
      <c r="U90" s="129">
        <f t="shared" si="25"/>
        <v>0</v>
      </c>
      <c r="V90" s="286" t="str">
        <f t="shared" si="26"/>
        <v>A</v>
      </c>
      <c r="W90" s="130" t="s">
        <v>131</v>
      </c>
      <c r="X90" s="111"/>
      <c r="Y90" s="134" t="str">
        <f t="shared" si="27"/>
        <v>CA61</v>
      </c>
      <c r="Z90" s="281">
        <f t="shared" si="35"/>
        <v>1000</v>
      </c>
      <c r="AA90" s="132">
        <f t="shared" si="36"/>
        <v>73000</v>
      </c>
      <c r="AB90" s="55">
        <f>'HORÓMETRO SEPTIEMBRE 2024'!AG71</f>
        <v>75164.84</v>
      </c>
      <c r="AC90" s="111"/>
    </row>
    <row r="91" spans="2:29" x14ac:dyDescent="0.35">
      <c r="B91" s="133" t="s">
        <v>78</v>
      </c>
      <c r="C91" s="209" t="s">
        <v>129</v>
      </c>
      <c r="D91" s="207" t="s">
        <v>263</v>
      </c>
      <c r="E91" s="208" t="s">
        <v>217</v>
      </c>
      <c r="F91" s="207" t="s">
        <v>211</v>
      </c>
      <c r="G91" s="125" t="s">
        <v>228</v>
      </c>
      <c r="H91" s="130" t="s">
        <v>135</v>
      </c>
      <c r="I91" s="111"/>
      <c r="J91" s="282">
        <f t="shared" si="33"/>
        <v>1000</v>
      </c>
      <c r="K91" s="211">
        <v>75000</v>
      </c>
      <c r="L91" s="212">
        <v>78177.7</v>
      </c>
      <c r="M91" s="213">
        <v>45543</v>
      </c>
      <c r="N91" s="128">
        <f t="shared" si="21"/>
        <v>396</v>
      </c>
      <c r="O91" s="129">
        <f t="shared" si="34"/>
        <v>0</v>
      </c>
      <c r="P91" s="285" t="str">
        <f t="shared" si="23"/>
        <v>A</v>
      </c>
      <c r="Q91" s="111"/>
      <c r="R91" s="212">
        <v>78541.33</v>
      </c>
      <c r="S91" s="213">
        <v>45564</v>
      </c>
      <c r="T91" s="128">
        <f t="shared" si="24"/>
        <v>32.369999999995343</v>
      </c>
      <c r="U91" s="129">
        <f t="shared" si="25"/>
        <v>0</v>
      </c>
      <c r="V91" s="286" t="str">
        <f t="shared" si="26"/>
        <v>B</v>
      </c>
      <c r="W91" s="130" t="s">
        <v>131</v>
      </c>
      <c r="X91" s="111"/>
      <c r="Y91" s="134" t="str">
        <f t="shared" si="27"/>
        <v>CA62</v>
      </c>
      <c r="Z91" s="281">
        <f t="shared" si="35"/>
        <v>2000</v>
      </c>
      <c r="AA91" s="132">
        <f t="shared" si="36"/>
        <v>76000</v>
      </c>
      <c r="AB91" s="55">
        <f>'HORÓMETRO SEPTIEMBRE 2024'!AG72</f>
        <v>78573.7</v>
      </c>
      <c r="AC91" s="111"/>
    </row>
    <row r="92" spans="2:29" x14ac:dyDescent="0.35">
      <c r="B92" s="133" t="s">
        <v>79</v>
      </c>
      <c r="C92" s="209" t="s">
        <v>129</v>
      </c>
      <c r="D92" s="206" t="s">
        <v>215</v>
      </c>
      <c r="E92" s="207" t="s">
        <v>216</v>
      </c>
      <c r="F92" s="207" t="s">
        <v>211</v>
      </c>
      <c r="G92" s="125" t="s">
        <v>229</v>
      </c>
      <c r="H92" s="130" t="s">
        <v>135</v>
      </c>
      <c r="I92" s="111"/>
      <c r="J92" s="282">
        <f t="shared" si="33"/>
        <v>2000</v>
      </c>
      <c r="K92" s="211">
        <v>78000</v>
      </c>
      <c r="L92" s="212">
        <v>80454.600000000006</v>
      </c>
      <c r="M92" s="213">
        <v>45536</v>
      </c>
      <c r="N92" s="128">
        <f t="shared" si="21"/>
        <v>201.27999999999884</v>
      </c>
      <c r="O92" s="129">
        <f t="shared" si="34"/>
        <v>0</v>
      </c>
      <c r="P92" s="285" t="str">
        <f t="shared" si="23"/>
        <v>B</v>
      </c>
      <c r="Q92" s="111"/>
      <c r="R92" s="212">
        <v>80644.66</v>
      </c>
      <c r="S92" s="213">
        <v>45552</v>
      </c>
      <c r="T92" s="128">
        <f t="shared" si="24"/>
        <v>11.220000000001164</v>
      </c>
      <c r="U92" s="129">
        <f t="shared" si="25"/>
        <v>0</v>
      </c>
      <c r="V92" s="286" t="str">
        <f t="shared" si="26"/>
        <v>A</v>
      </c>
      <c r="W92" s="130" t="s">
        <v>131</v>
      </c>
      <c r="X92" s="111"/>
      <c r="Y92" s="134" t="str">
        <f t="shared" si="27"/>
        <v>CA63</v>
      </c>
      <c r="Z92" s="281">
        <f t="shared" si="35"/>
        <v>1000</v>
      </c>
      <c r="AA92" s="132">
        <f t="shared" si="36"/>
        <v>79000</v>
      </c>
      <c r="AB92" s="55">
        <f>'HORÓMETRO SEPTIEMBRE 2024'!AG73</f>
        <v>80655.88</v>
      </c>
      <c r="AC92" s="111"/>
    </row>
    <row r="93" spans="2:29" x14ac:dyDescent="0.35">
      <c r="B93" s="125" t="s">
        <v>80</v>
      </c>
      <c r="C93" s="205" t="s">
        <v>6</v>
      </c>
      <c r="D93" s="206" t="s">
        <v>215</v>
      </c>
      <c r="E93" s="207" t="s">
        <v>216</v>
      </c>
      <c r="F93" s="207" t="s">
        <v>211</v>
      </c>
      <c r="G93" s="125" t="s">
        <v>230</v>
      </c>
      <c r="H93" s="130" t="s">
        <v>135</v>
      </c>
      <c r="I93" s="111"/>
      <c r="J93" s="282">
        <f t="shared" si="33"/>
        <v>1000</v>
      </c>
      <c r="K93" s="211">
        <v>75000</v>
      </c>
      <c r="L93" s="212">
        <v>85538.179999999978</v>
      </c>
      <c r="M93" s="213">
        <v>45526</v>
      </c>
      <c r="N93" s="128">
        <f t="shared" si="21"/>
        <v>657.07000000002154</v>
      </c>
      <c r="O93" s="129">
        <f t="shared" si="34"/>
        <v>0</v>
      </c>
      <c r="P93" s="285" t="str">
        <f t="shared" si="23"/>
        <v>A</v>
      </c>
      <c r="Q93" s="111"/>
      <c r="R93" s="212">
        <v>86155.7</v>
      </c>
      <c r="S93" s="213">
        <v>45564</v>
      </c>
      <c r="T93" s="128">
        <f t="shared" si="24"/>
        <v>39.55000000000291</v>
      </c>
      <c r="U93" s="129">
        <f t="shared" si="25"/>
        <v>0</v>
      </c>
      <c r="V93" s="286" t="str">
        <f t="shared" si="26"/>
        <v>B</v>
      </c>
      <c r="W93" s="130" t="s">
        <v>131</v>
      </c>
      <c r="X93" s="111"/>
      <c r="Y93" s="131" t="str">
        <f t="shared" si="27"/>
        <v>CA64</v>
      </c>
      <c r="Z93" s="281">
        <f t="shared" si="35"/>
        <v>2000</v>
      </c>
      <c r="AA93" s="132">
        <f t="shared" si="36"/>
        <v>76000</v>
      </c>
      <c r="AB93" s="55">
        <f>'HORÓMETRO SEPTIEMBRE 2024'!AG74</f>
        <v>86195.25</v>
      </c>
      <c r="AC93" s="111"/>
    </row>
    <row r="94" spans="2:29" x14ac:dyDescent="0.35">
      <c r="B94" s="125" t="s">
        <v>81</v>
      </c>
      <c r="C94" s="205" t="s">
        <v>6</v>
      </c>
      <c r="D94" s="206" t="s">
        <v>215</v>
      </c>
      <c r="E94" s="208" t="s">
        <v>217</v>
      </c>
      <c r="F94" s="207" t="s">
        <v>211</v>
      </c>
      <c r="G94" s="125" t="s">
        <v>231</v>
      </c>
      <c r="H94" s="130" t="s">
        <v>135</v>
      </c>
      <c r="I94" s="111"/>
      <c r="J94" s="282">
        <f t="shared" si="33"/>
        <v>1000</v>
      </c>
      <c r="K94" s="211">
        <v>81000</v>
      </c>
      <c r="L94" s="212">
        <v>84400.37999999983</v>
      </c>
      <c r="M94" s="213">
        <v>45518</v>
      </c>
      <c r="N94" s="128">
        <f t="shared" si="21"/>
        <v>801.13000000016473</v>
      </c>
      <c r="O94" s="129">
        <f t="shared" si="34"/>
        <v>0</v>
      </c>
      <c r="P94" s="285" t="str">
        <f t="shared" si="23"/>
        <v>B</v>
      </c>
      <c r="Q94" s="111"/>
      <c r="R94" s="212">
        <v>84870.720000000001</v>
      </c>
      <c r="S94" s="213">
        <v>45546</v>
      </c>
      <c r="T94" s="128">
        <f t="shared" si="24"/>
        <v>330.7899999999936</v>
      </c>
      <c r="U94" s="129">
        <f t="shared" si="25"/>
        <v>0</v>
      </c>
      <c r="V94" s="286" t="str">
        <f t="shared" si="26"/>
        <v>B</v>
      </c>
      <c r="W94" s="130" t="s">
        <v>131</v>
      </c>
      <c r="X94" s="111"/>
      <c r="Y94" s="131" t="str">
        <f t="shared" si="27"/>
        <v>CA67</v>
      </c>
      <c r="Z94" s="281">
        <f t="shared" si="35"/>
        <v>2000</v>
      </c>
      <c r="AA94" s="132">
        <f t="shared" si="36"/>
        <v>82000</v>
      </c>
      <c r="AB94" s="55">
        <f>'HORÓMETRO SEPTIEMBRE 2024'!AG75</f>
        <v>85201.51</v>
      </c>
      <c r="AC94" s="111"/>
    </row>
    <row r="95" spans="2:29" x14ac:dyDescent="0.35">
      <c r="B95" s="125" t="s">
        <v>82</v>
      </c>
      <c r="C95" s="205" t="s">
        <v>6</v>
      </c>
      <c r="D95" s="207" t="s">
        <v>263</v>
      </c>
      <c r="E95" s="207" t="s">
        <v>216</v>
      </c>
      <c r="F95" s="207" t="s">
        <v>211</v>
      </c>
      <c r="G95" s="125" t="s">
        <v>232</v>
      </c>
      <c r="H95" s="130" t="s">
        <v>135</v>
      </c>
      <c r="I95" s="111"/>
      <c r="J95" s="294">
        <f t="shared" si="33"/>
        <v>2000</v>
      </c>
      <c r="K95" s="295">
        <v>76000</v>
      </c>
      <c r="L95" s="296">
        <v>85227.33</v>
      </c>
      <c r="M95" s="297">
        <v>45566</v>
      </c>
      <c r="N95" s="298">
        <f t="shared" si="21"/>
        <v>0</v>
      </c>
      <c r="O95" s="129">
        <f t="shared" si="34"/>
        <v>0</v>
      </c>
      <c r="P95" s="300" t="str">
        <f t="shared" si="23"/>
        <v>A</v>
      </c>
      <c r="Q95" s="111"/>
      <c r="R95" s="212">
        <v>85221.56</v>
      </c>
      <c r="S95" s="213">
        <v>45565</v>
      </c>
      <c r="T95" s="128">
        <f t="shared" si="24"/>
        <v>5.7700000000040745</v>
      </c>
      <c r="U95" s="129">
        <f t="shared" si="25"/>
        <v>0</v>
      </c>
      <c r="V95" s="286" t="str">
        <f t="shared" si="26"/>
        <v>B</v>
      </c>
      <c r="W95" s="130" t="s">
        <v>131</v>
      </c>
      <c r="X95" s="111"/>
      <c r="Y95" s="131" t="str">
        <f t="shared" si="27"/>
        <v>CA68</v>
      </c>
      <c r="Z95" s="281">
        <f t="shared" si="35"/>
        <v>1000</v>
      </c>
      <c r="AA95" s="132">
        <f t="shared" si="36"/>
        <v>77000</v>
      </c>
      <c r="AB95" s="55">
        <f>'HORÓMETRO SEPTIEMBRE 2024'!AG76</f>
        <v>85227.33</v>
      </c>
      <c r="AC95" s="111"/>
    </row>
    <row r="96" spans="2:29" x14ac:dyDescent="0.35">
      <c r="B96" s="125" t="s">
        <v>83</v>
      </c>
      <c r="C96" s="205" t="s">
        <v>6</v>
      </c>
      <c r="D96" s="206" t="s">
        <v>215</v>
      </c>
      <c r="E96" s="207" t="s">
        <v>216</v>
      </c>
      <c r="F96" s="207" t="s">
        <v>211</v>
      </c>
      <c r="G96" s="125" t="s">
        <v>233</v>
      </c>
      <c r="H96" s="130" t="s">
        <v>135</v>
      </c>
      <c r="I96" s="111"/>
      <c r="J96" s="282">
        <f t="shared" si="33"/>
        <v>2000</v>
      </c>
      <c r="K96" s="211">
        <v>80000</v>
      </c>
      <c r="L96" s="212">
        <v>83804.249999999956</v>
      </c>
      <c r="M96" s="213">
        <v>45530</v>
      </c>
      <c r="N96" s="128">
        <f t="shared" si="21"/>
        <v>613.86000000004424</v>
      </c>
      <c r="O96" s="129">
        <f t="shared" si="34"/>
        <v>0</v>
      </c>
      <c r="P96" s="285" t="str">
        <f t="shared" si="23"/>
        <v>A</v>
      </c>
      <c r="Q96" s="111"/>
      <c r="R96" s="212">
        <v>84350.59</v>
      </c>
      <c r="S96" s="213">
        <v>45562</v>
      </c>
      <c r="T96" s="128">
        <f t="shared" si="24"/>
        <v>67.520000000004075</v>
      </c>
      <c r="U96" s="129">
        <f t="shared" si="25"/>
        <v>0</v>
      </c>
      <c r="V96" s="286" t="str">
        <f t="shared" si="26"/>
        <v>B</v>
      </c>
      <c r="W96" s="130" t="s">
        <v>131</v>
      </c>
      <c r="X96" s="111"/>
      <c r="Y96" s="131" t="str">
        <f t="shared" si="27"/>
        <v>CA69</v>
      </c>
      <c r="Z96" s="281">
        <f t="shared" si="35"/>
        <v>1000</v>
      </c>
      <c r="AA96" s="132">
        <f t="shared" si="36"/>
        <v>81000</v>
      </c>
      <c r="AB96" s="55">
        <f>'HORÓMETRO SEPTIEMBRE 2024'!AG77</f>
        <v>84418.11</v>
      </c>
      <c r="AC96" s="111"/>
    </row>
    <row r="97" spans="2:29" x14ac:dyDescent="0.35">
      <c r="B97" s="125" t="s">
        <v>84</v>
      </c>
      <c r="C97" s="205" t="s">
        <v>6</v>
      </c>
      <c r="D97" s="206" t="s">
        <v>215</v>
      </c>
      <c r="E97" s="207" t="s">
        <v>216</v>
      </c>
      <c r="F97" s="207" t="s">
        <v>211</v>
      </c>
      <c r="G97" s="125" t="s">
        <v>234</v>
      </c>
      <c r="H97" s="130" t="s">
        <v>135</v>
      </c>
      <c r="I97" s="111"/>
      <c r="J97" s="282">
        <f t="shared" si="33"/>
        <v>1000</v>
      </c>
      <c r="K97" s="211">
        <v>83000</v>
      </c>
      <c r="L97" s="212">
        <v>86792.9</v>
      </c>
      <c r="M97" s="213">
        <v>45549</v>
      </c>
      <c r="N97" s="128">
        <f t="shared" si="21"/>
        <v>163.81000000001222</v>
      </c>
      <c r="O97" s="129">
        <f t="shared" si="34"/>
        <v>0</v>
      </c>
      <c r="P97" s="285" t="str">
        <f t="shared" si="23"/>
        <v>B</v>
      </c>
      <c r="Q97" s="111"/>
      <c r="R97" s="212">
        <v>86925.53</v>
      </c>
      <c r="S97" s="213">
        <v>45564</v>
      </c>
      <c r="T97" s="128">
        <f t="shared" si="24"/>
        <v>31.180000000007567</v>
      </c>
      <c r="U97" s="129">
        <f t="shared" si="25"/>
        <v>0</v>
      </c>
      <c r="V97" s="286" t="str">
        <f t="shared" si="26"/>
        <v>B</v>
      </c>
      <c r="W97" s="130" t="s">
        <v>131</v>
      </c>
      <c r="X97" s="111"/>
      <c r="Y97" s="131" t="str">
        <f t="shared" si="27"/>
        <v>CA70</v>
      </c>
      <c r="Z97" s="281">
        <f t="shared" si="35"/>
        <v>2000</v>
      </c>
      <c r="AA97" s="132">
        <f t="shared" si="36"/>
        <v>84000</v>
      </c>
      <c r="AB97" s="55">
        <f>'HORÓMETRO SEPTIEMBRE 2024'!AG78</f>
        <v>86956.71</v>
      </c>
      <c r="AC97" s="111"/>
    </row>
    <row r="98" spans="2:29" x14ac:dyDescent="0.35">
      <c r="B98" s="125" t="s">
        <v>85</v>
      </c>
      <c r="C98" s="205" t="s">
        <v>6</v>
      </c>
      <c r="D98" s="206" t="s">
        <v>215</v>
      </c>
      <c r="E98" s="208" t="s">
        <v>217</v>
      </c>
      <c r="F98" s="207" t="s">
        <v>211</v>
      </c>
      <c r="G98" s="125" t="s">
        <v>235</v>
      </c>
      <c r="H98" s="130" t="s">
        <v>135</v>
      </c>
      <c r="I98" s="111"/>
      <c r="J98" s="282">
        <f t="shared" si="33"/>
        <v>1000</v>
      </c>
      <c r="K98" s="211">
        <v>83000</v>
      </c>
      <c r="L98" s="212">
        <v>86970.1</v>
      </c>
      <c r="M98" s="213">
        <v>45519</v>
      </c>
      <c r="N98" s="128">
        <f t="shared" si="21"/>
        <v>847.23999999999069</v>
      </c>
      <c r="O98" s="129">
        <f t="shared" si="34"/>
        <v>0</v>
      </c>
      <c r="P98" s="285" t="str">
        <f t="shared" si="23"/>
        <v>B</v>
      </c>
      <c r="Q98" s="111"/>
      <c r="R98" s="212">
        <v>87784.82</v>
      </c>
      <c r="S98" s="213">
        <v>45564</v>
      </c>
      <c r="T98" s="128">
        <f t="shared" si="24"/>
        <v>32.519999999989523</v>
      </c>
      <c r="U98" s="129">
        <f t="shared" si="25"/>
        <v>0</v>
      </c>
      <c r="V98" s="286" t="str">
        <f t="shared" si="26"/>
        <v>B</v>
      </c>
      <c r="W98" s="130" t="s">
        <v>131</v>
      </c>
      <c r="X98" s="111"/>
      <c r="Y98" s="131" t="str">
        <f t="shared" si="27"/>
        <v>CA71</v>
      </c>
      <c r="Z98" s="281">
        <f t="shared" si="35"/>
        <v>2000</v>
      </c>
      <c r="AA98" s="132">
        <f t="shared" si="36"/>
        <v>84000</v>
      </c>
      <c r="AB98" s="55">
        <f>'HORÓMETRO SEPTIEMBRE 2024'!AG79</f>
        <v>87817.34</v>
      </c>
      <c r="AC98" s="111"/>
    </row>
    <row r="99" spans="2:29" x14ac:dyDescent="0.35">
      <c r="B99" s="125" t="s">
        <v>86</v>
      </c>
      <c r="C99" s="205" t="s">
        <v>6</v>
      </c>
      <c r="D99" s="206" t="s">
        <v>215</v>
      </c>
      <c r="E99" s="207" t="s">
        <v>216</v>
      </c>
      <c r="F99" s="207" t="s">
        <v>211</v>
      </c>
      <c r="G99" s="125" t="s">
        <v>236</v>
      </c>
      <c r="H99" s="130" t="s">
        <v>135</v>
      </c>
      <c r="I99" s="111"/>
      <c r="J99" s="282">
        <f t="shared" si="33"/>
        <v>2000</v>
      </c>
      <c r="K99" s="211">
        <v>80000</v>
      </c>
      <c r="L99" s="212">
        <v>85103.3</v>
      </c>
      <c r="M99" s="213">
        <v>45520</v>
      </c>
      <c r="N99" s="128">
        <f t="shared" si="21"/>
        <v>112.52999999999884</v>
      </c>
      <c r="O99" s="129">
        <f t="shared" si="34"/>
        <v>0</v>
      </c>
      <c r="P99" s="285" t="str">
        <f t="shared" si="23"/>
        <v>B</v>
      </c>
      <c r="Q99" s="111"/>
      <c r="R99" s="212">
        <v>85160.81</v>
      </c>
      <c r="S99" s="213">
        <v>45532</v>
      </c>
      <c r="T99" s="128">
        <f t="shared" si="24"/>
        <v>55.020000000004075</v>
      </c>
      <c r="U99" s="129">
        <f t="shared" si="25"/>
        <v>0</v>
      </c>
      <c r="V99" s="286" t="str">
        <f t="shared" si="26"/>
        <v>B</v>
      </c>
      <c r="W99" s="130" t="s">
        <v>131</v>
      </c>
      <c r="X99" s="111"/>
      <c r="Y99" s="131" t="str">
        <f t="shared" si="27"/>
        <v>CA72</v>
      </c>
      <c r="Z99" s="281">
        <f t="shared" si="35"/>
        <v>1000</v>
      </c>
      <c r="AA99" s="132">
        <f t="shared" si="36"/>
        <v>81000</v>
      </c>
      <c r="AB99" s="55">
        <f>'HORÓMETRO SEPTIEMBRE 2024'!AG80</f>
        <v>85215.83</v>
      </c>
      <c r="AC99" s="111"/>
    </row>
    <row r="100" spans="2:29" x14ac:dyDescent="0.35">
      <c r="B100" s="125" t="s">
        <v>87</v>
      </c>
      <c r="C100" s="205" t="s">
        <v>6</v>
      </c>
      <c r="D100" s="206" t="s">
        <v>215</v>
      </c>
      <c r="E100" s="207" t="s">
        <v>216</v>
      </c>
      <c r="F100" s="207" t="s">
        <v>211</v>
      </c>
      <c r="G100" s="125" t="s">
        <v>237</v>
      </c>
      <c r="H100" s="130" t="s">
        <v>135</v>
      </c>
      <c r="I100" s="111"/>
      <c r="J100" s="282">
        <f t="shared" si="33"/>
        <v>2000</v>
      </c>
      <c r="K100" s="211">
        <v>80000</v>
      </c>
      <c r="L100" s="212">
        <v>84937.22000000019</v>
      </c>
      <c r="M100" s="213">
        <v>45532</v>
      </c>
      <c r="N100" s="128">
        <f t="shared" si="21"/>
        <v>599.08999999980733</v>
      </c>
      <c r="O100" s="129">
        <f t="shared" si="34"/>
        <v>0</v>
      </c>
      <c r="P100" s="285" t="str">
        <f t="shared" si="23"/>
        <v>B</v>
      </c>
      <c r="Q100" s="111"/>
      <c r="R100" s="212">
        <v>85424.26</v>
      </c>
      <c r="S100" s="213">
        <v>45560</v>
      </c>
      <c r="T100" s="128">
        <f t="shared" si="24"/>
        <v>112.05000000000291</v>
      </c>
      <c r="U100" s="129">
        <f t="shared" si="25"/>
        <v>0</v>
      </c>
      <c r="V100" s="286" t="str">
        <f t="shared" si="26"/>
        <v>B</v>
      </c>
      <c r="W100" s="130" t="s">
        <v>131</v>
      </c>
      <c r="X100" s="111"/>
      <c r="Y100" s="131" t="str">
        <f t="shared" si="27"/>
        <v>CA73</v>
      </c>
      <c r="Z100" s="281">
        <f t="shared" si="35"/>
        <v>1000</v>
      </c>
      <c r="AA100" s="132">
        <f t="shared" si="36"/>
        <v>81000</v>
      </c>
      <c r="AB100" s="55">
        <f>'HORÓMETRO SEPTIEMBRE 2024'!AG81</f>
        <v>85536.31</v>
      </c>
      <c r="AC100" s="111"/>
    </row>
    <row r="101" spans="2:29" x14ac:dyDescent="0.35">
      <c r="B101" s="125" t="s">
        <v>88</v>
      </c>
      <c r="C101" s="205" t="s">
        <v>6</v>
      </c>
      <c r="D101" s="206" t="s">
        <v>215</v>
      </c>
      <c r="E101" s="207" t="s">
        <v>216</v>
      </c>
      <c r="F101" s="207" t="s">
        <v>211</v>
      </c>
      <c r="G101" s="125" t="s">
        <v>238</v>
      </c>
      <c r="H101" s="130" t="s">
        <v>135</v>
      </c>
      <c r="I101" s="111"/>
      <c r="J101" s="282">
        <f t="shared" si="33"/>
        <v>1000</v>
      </c>
      <c r="K101" s="211">
        <v>81000</v>
      </c>
      <c r="L101" s="212">
        <v>85372.099999999919</v>
      </c>
      <c r="M101" s="213">
        <v>45528</v>
      </c>
      <c r="N101" s="128">
        <f t="shared" si="21"/>
        <v>683.58000000007451</v>
      </c>
      <c r="O101" s="129">
        <f t="shared" si="34"/>
        <v>0</v>
      </c>
      <c r="P101" s="285" t="str">
        <f t="shared" si="23"/>
        <v>A</v>
      </c>
      <c r="Q101" s="111"/>
      <c r="R101" s="212">
        <v>85953.17</v>
      </c>
      <c r="S101" s="213">
        <v>45560</v>
      </c>
      <c r="T101" s="128">
        <f t="shared" si="24"/>
        <v>102.50999999999476</v>
      </c>
      <c r="U101" s="129">
        <f t="shared" si="25"/>
        <v>0</v>
      </c>
      <c r="V101" s="286" t="str">
        <f t="shared" si="26"/>
        <v>B</v>
      </c>
      <c r="W101" s="130" t="s">
        <v>131</v>
      </c>
      <c r="X101" s="111"/>
      <c r="Y101" s="131" t="str">
        <f t="shared" si="27"/>
        <v>CA74</v>
      </c>
      <c r="Z101" s="281">
        <f t="shared" si="35"/>
        <v>2000</v>
      </c>
      <c r="AA101" s="132">
        <f t="shared" si="36"/>
        <v>82000</v>
      </c>
      <c r="AB101" s="55">
        <f>'HORÓMETRO SEPTIEMBRE 2024'!AG82</f>
        <v>86055.679999999993</v>
      </c>
      <c r="AC101" s="111"/>
    </row>
    <row r="102" spans="2:29" x14ac:dyDescent="0.35">
      <c r="B102" s="125" t="s">
        <v>89</v>
      </c>
      <c r="C102" s="205" t="s">
        <v>6</v>
      </c>
      <c r="D102" s="206" t="s">
        <v>215</v>
      </c>
      <c r="E102" s="207" t="s">
        <v>216</v>
      </c>
      <c r="F102" s="207" t="s">
        <v>211</v>
      </c>
      <c r="G102" s="125" t="s">
        <v>239</v>
      </c>
      <c r="H102" s="130" t="s">
        <v>135</v>
      </c>
      <c r="I102" s="111"/>
      <c r="J102" s="282">
        <f t="shared" si="33"/>
        <v>2000</v>
      </c>
      <c r="K102" s="211">
        <v>80000</v>
      </c>
      <c r="L102" s="212">
        <v>85636.800000000003</v>
      </c>
      <c r="M102" s="213">
        <v>45552</v>
      </c>
      <c r="N102" s="128">
        <f t="shared" si="21"/>
        <v>204.7899999999936</v>
      </c>
      <c r="O102" s="129">
        <f t="shared" si="34"/>
        <v>0</v>
      </c>
      <c r="P102" s="285" t="str">
        <f t="shared" si="23"/>
        <v>A</v>
      </c>
      <c r="Q102" s="111"/>
      <c r="R102" s="212">
        <v>85741.06</v>
      </c>
      <c r="S102" s="213">
        <v>45559</v>
      </c>
      <c r="T102" s="128">
        <f t="shared" si="24"/>
        <v>100.52999999999884</v>
      </c>
      <c r="U102" s="129">
        <f t="shared" si="25"/>
        <v>0</v>
      </c>
      <c r="V102" s="286" t="str">
        <f t="shared" si="26"/>
        <v>B</v>
      </c>
      <c r="W102" s="130" t="s">
        <v>131</v>
      </c>
      <c r="X102" s="111"/>
      <c r="Y102" s="131" t="str">
        <f t="shared" si="27"/>
        <v>CA75</v>
      </c>
      <c r="Z102" s="281">
        <f t="shared" si="35"/>
        <v>1000</v>
      </c>
      <c r="AA102" s="132">
        <f t="shared" si="36"/>
        <v>81000</v>
      </c>
      <c r="AB102" s="55">
        <f>'HORÓMETRO SEPTIEMBRE 2024'!AG83</f>
        <v>85841.59</v>
      </c>
      <c r="AC102" s="111"/>
    </row>
    <row r="103" spans="2:29" x14ac:dyDescent="0.35">
      <c r="B103" s="125" t="s">
        <v>90</v>
      </c>
      <c r="C103" s="205" t="s">
        <v>6</v>
      </c>
      <c r="D103" s="206" t="s">
        <v>215</v>
      </c>
      <c r="E103" s="207" t="s">
        <v>216</v>
      </c>
      <c r="F103" s="207" t="s">
        <v>211</v>
      </c>
      <c r="G103" s="125" t="s">
        <v>240</v>
      </c>
      <c r="H103" s="130" t="s">
        <v>135</v>
      </c>
      <c r="I103" s="111"/>
      <c r="J103" s="282">
        <f t="shared" si="33"/>
        <v>2000</v>
      </c>
      <c r="K103" s="211">
        <v>82000</v>
      </c>
      <c r="L103" s="212">
        <v>85986.8</v>
      </c>
      <c r="M103" s="213">
        <v>45522</v>
      </c>
      <c r="N103" s="128">
        <f t="shared" ref="N103:N125" si="37">IF(L103="","",AB103-L103)</f>
        <v>721.17999999999302</v>
      </c>
      <c r="O103" s="129">
        <f t="shared" si="34"/>
        <v>0</v>
      </c>
      <c r="P103" s="285" t="str">
        <f t="shared" ref="P103:P125" si="38">IF(M103="","",IF(MOD(WEEKNUM(M103,12),2)=1,"A","B"))</f>
        <v>B</v>
      </c>
      <c r="Q103" s="111"/>
      <c r="R103" s="212">
        <v>86666.43</v>
      </c>
      <c r="S103" s="213">
        <v>45563</v>
      </c>
      <c r="T103" s="128">
        <f t="shared" ref="T103:T125" si="39">IF(R103="","",AB103-R103)</f>
        <v>41.55000000000291</v>
      </c>
      <c r="U103" s="129">
        <f t="shared" ref="U103:U134" si="40">IF(T103 &lt; 500, 0, (T103 - 500) / 500)</f>
        <v>0</v>
      </c>
      <c r="V103" s="286" t="str">
        <f t="shared" ref="V103:V125" si="41">IF(S103="","",IF(MOD(WEEKNUM(S103,12),2)=1,"A","B"))</f>
        <v>B</v>
      </c>
      <c r="W103" s="130" t="s">
        <v>131</v>
      </c>
      <c r="X103" s="111"/>
      <c r="Y103" s="131" t="str">
        <f t="shared" ref="Y103:Y125" si="42">B103</f>
        <v>CA76</v>
      </c>
      <c r="Z103" s="281">
        <f t="shared" si="35"/>
        <v>1000</v>
      </c>
      <c r="AA103" s="132">
        <f t="shared" si="36"/>
        <v>83000</v>
      </c>
      <c r="AB103" s="55">
        <f>'HORÓMETRO SEPTIEMBRE 2024'!AG84</f>
        <v>86707.98</v>
      </c>
      <c r="AC103" s="111"/>
    </row>
    <row r="104" spans="2:29" x14ac:dyDescent="0.35">
      <c r="B104" s="125" t="s">
        <v>91</v>
      </c>
      <c r="C104" s="205" t="s">
        <v>6</v>
      </c>
      <c r="D104" s="206" t="s">
        <v>215</v>
      </c>
      <c r="E104" s="208" t="s">
        <v>217</v>
      </c>
      <c r="F104" s="207" t="s">
        <v>211</v>
      </c>
      <c r="G104" s="125" t="s">
        <v>241</v>
      </c>
      <c r="H104" s="130" t="s">
        <v>135</v>
      </c>
      <c r="I104" s="111"/>
      <c r="J104" s="282">
        <f t="shared" si="33"/>
        <v>1000</v>
      </c>
      <c r="K104" s="211">
        <v>81000</v>
      </c>
      <c r="L104" s="212">
        <v>86636.9</v>
      </c>
      <c r="M104" s="213">
        <v>45544</v>
      </c>
      <c r="N104" s="128">
        <f t="shared" si="37"/>
        <v>334.13000000000466</v>
      </c>
      <c r="O104" s="129">
        <f t="shared" si="34"/>
        <v>0</v>
      </c>
      <c r="P104" s="285" t="str">
        <f t="shared" si="38"/>
        <v>A</v>
      </c>
      <c r="Q104" s="111"/>
      <c r="R104" s="212">
        <v>86747.19</v>
      </c>
      <c r="S104" s="213">
        <v>45550</v>
      </c>
      <c r="T104" s="128">
        <f t="shared" si="39"/>
        <v>223.83999999999651</v>
      </c>
      <c r="U104" s="129">
        <f t="shared" si="40"/>
        <v>0</v>
      </c>
      <c r="V104" s="286" t="str">
        <f t="shared" si="41"/>
        <v>B</v>
      </c>
      <c r="W104" s="130" t="s">
        <v>131</v>
      </c>
      <c r="X104" s="111"/>
      <c r="Y104" s="131" t="str">
        <f t="shared" si="42"/>
        <v>CA77</v>
      </c>
      <c r="Z104" s="281">
        <f t="shared" si="35"/>
        <v>2000</v>
      </c>
      <c r="AA104" s="132">
        <f t="shared" si="36"/>
        <v>82000</v>
      </c>
      <c r="AB104" s="55">
        <f>'HORÓMETRO SEPTIEMBRE 2024'!AG85</f>
        <v>86971.03</v>
      </c>
      <c r="AC104" s="111"/>
    </row>
    <row r="105" spans="2:29" x14ac:dyDescent="0.35">
      <c r="B105" s="125" t="s">
        <v>92</v>
      </c>
      <c r="C105" s="205" t="s">
        <v>6</v>
      </c>
      <c r="D105" s="206" t="s">
        <v>215</v>
      </c>
      <c r="E105" s="208" t="s">
        <v>217</v>
      </c>
      <c r="F105" s="207" t="s">
        <v>211</v>
      </c>
      <c r="G105" s="125" t="s">
        <v>242</v>
      </c>
      <c r="H105" s="130" t="s">
        <v>135</v>
      </c>
      <c r="I105" s="111"/>
      <c r="J105" s="282">
        <f t="shared" si="33"/>
        <v>1000</v>
      </c>
      <c r="K105" s="211">
        <v>83000</v>
      </c>
      <c r="L105" s="212">
        <v>87090.27</v>
      </c>
      <c r="M105" s="213">
        <v>45554</v>
      </c>
      <c r="N105" s="128">
        <f t="shared" si="37"/>
        <v>140.61000000000058</v>
      </c>
      <c r="O105" s="299">
        <f t="shared" si="34"/>
        <v>0</v>
      </c>
      <c r="P105" s="285" t="str">
        <f t="shared" si="38"/>
        <v>A</v>
      </c>
      <c r="Q105" s="111"/>
      <c r="R105" s="212">
        <v>87081.69</v>
      </c>
      <c r="S105" s="213">
        <v>45553</v>
      </c>
      <c r="T105" s="128">
        <f t="shared" si="39"/>
        <v>149.19000000000233</v>
      </c>
      <c r="U105" s="129">
        <f t="shared" si="40"/>
        <v>0</v>
      </c>
      <c r="V105" s="286" t="str">
        <f t="shared" si="41"/>
        <v>A</v>
      </c>
      <c r="W105" s="130" t="s">
        <v>131</v>
      </c>
      <c r="X105" s="111"/>
      <c r="Y105" s="131" t="str">
        <f t="shared" si="42"/>
        <v>CA78</v>
      </c>
      <c r="Z105" s="281">
        <f t="shared" si="35"/>
        <v>2000</v>
      </c>
      <c r="AA105" s="132">
        <f t="shared" si="36"/>
        <v>84000</v>
      </c>
      <c r="AB105" s="55">
        <f>'HORÓMETRO SEPTIEMBRE 2024'!AG86</f>
        <v>87230.88</v>
      </c>
      <c r="AC105" s="111"/>
    </row>
    <row r="106" spans="2:29" x14ac:dyDescent="0.35">
      <c r="B106" s="125" t="s">
        <v>93</v>
      </c>
      <c r="C106" s="205" t="s">
        <v>6</v>
      </c>
      <c r="D106" s="207" t="s">
        <v>263</v>
      </c>
      <c r="E106" s="207" t="s">
        <v>216</v>
      </c>
      <c r="F106" s="207" t="s">
        <v>211</v>
      </c>
      <c r="G106" s="125" t="s">
        <v>243</v>
      </c>
      <c r="H106" s="130" t="s">
        <v>135</v>
      </c>
      <c r="I106" s="111"/>
      <c r="J106" s="294">
        <f t="shared" si="33"/>
        <v>2000</v>
      </c>
      <c r="K106" s="295">
        <v>78000</v>
      </c>
      <c r="L106" s="296">
        <v>80854.820000000007</v>
      </c>
      <c r="M106" s="297">
        <v>45568</v>
      </c>
      <c r="N106" s="298">
        <f t="shared" si="37"/>
        <v>0</v>
      </c>
      <c r="O106" s="129">
        <f t="shared" si="34"/>
        <v>0</v>
      </c>
      <c r="P106" s="300" t="str">
        <f t="shared" si="38"/>
        <v>A</v>
      </c>
      <c r="Q106" s="111"/>
      <c r="R106" s="212">
        <v>80854.820000000007</v>
      </c>
      <c r="S106" s="213">
        <v>45568</v>
      </c>
      <c r="T106" s="128">
        <f t="shared" si="39"/>
        <v>0</v>
      </c>
      <c r="U106" s="129">
        <f t="shared" si="40"/>
        <v>0</v>
      </c>
      <c r="V106" s="286" t="str">
        <f t="shared" si="41"/>
        <v>A</v>
      </c>
      <c r="W106" s="130" t="s">
        <v>131</v>
      </c>
      <c r="X106" s="111"/>
      <c r="Y106" s="131" t="str">
        <f t="shared" si="42"/>
        <v>CA79</v>
      </c>
      <c r="Z106" s="281">
        <f t="shared" si="35"/>
        <v>1000</v>
      </c>
      <c r="AA106" s="132">
        <f t="shared" si="36"/>
        <v>79000</v>
      </c>
      <c r="AB106" s="55">
        <f>'HORÓMETRO SEPTIEMBRE 2024'!AG87</f>
        <v>80854.820000000007</v>
      </c>
      <c r="AC106" s="111"/>
    </row>
    <row r="107" spans="2:29" x14ac:dyDescent="0.35">
      <c r="B107" s="125" t="s">
        <v>94</v>
      </c>
      <c r="C107" s="205" t="s">
        <v>6</v>
      </c>
      <c r="D107" s="207" t="s">
        <v>215</v>
      </c>
      <c r="E107" s="208" t="s">
        <v>217</v>
      </c>
      <c r="F107" s="207" t="s">
        <v>211</v>
      </c>
      <c r="G107" s="125" t="s">
        <v>244</v>
      </c>
      <c r="H107" s="130" t="s">
        <v>135</v>
      </c>
      <c r="I107" s="111"/>
      <c r="J107" s="282">
        <f t="shared" si="33"/>
        <v>2000</v>
      </c>
      <c r="K107" s="211">
        <v>84000</v>
      </c>
      <c r="L107" s="212">
        <v>88730.66</v>
      </c>
      <c r="M107" s="213">
        <v>45563</v>
      </c>
      <c r="N107" s="128">
        <f t="shared" si="37"/>
        <v>26.179999999993015</v>
      </c>
      <c r="O107" s="299">
        <f t="shared" si="34"/>
        <v>0</v>
      </c>
      <c r="P107" s="285" t="str">
        <f t="shared" si="38"/>
        <v>B</v>
      </c>
      <c r="Q107" s="111"/>
      <c r="R107" s="212">
        <v>88714.57</v>
      </c>
      <c r="S107" s="213">
        <v>45562</v>
      </c>
      <c r="T107" s="128">
        <f t="shared" si="39"/>
        <v>42.269999999989523</v>
      </c>
      <c r="U107" s="129">
        <f t="shared" si="40"/>
        <v>0</v>
      </c>
      <c r="V107" s="286" t="str">
        <f t="shared" si="41"/>
        <v>B</v>
      </c>
      <c r="W107" s="130" t="s">
        <v>131</v>
      </c>
      <c r="X107" s="111"/>
      <c r="Y107" s="131" t="str">
        <f t="shared" si="42"/>
        <v>CA80</v>
      </c>
      <c r="Z107" s="281">
        <f t="shared" si="35"/>
        <v>1000</v>
      </c>
      <c r="AA107" s="132">
        <f t="shared" si="36"/>
        <v>85000</v>
      </c>
      <c r="AB107" s="55">
        <f>'HORÓMETRO SEPTIEMBRE 2024'!AG88</f>
        <v>88756.84</v>
      </c>
      <c r="AC107" s="111"/>
    </row>
    <row r="108" spans="2:29" x14ac:dyDescent="0.35">
      <c r="B108" s="125" t="s">
        <v>95</v>
      </c>
      <c r="C108" s="205" t="s">
        <v>6</v>
      </c>
      <c r="D108" s="206" t="s">
        <v>215</v>
      </c>
      <c r="E108" s="207" t="s">
        <v>216</v>
      </c>
      <c r="F108" s="207" t="s">
        <v>211</v>
      </c>
      <c r="G108" s="125" t="s">
        <v>245</v>
      </c>
      <c r="H108" s="130" t="s">
        <v>135</v>
      </c>
      <c r="I108" s="111"/>
      <c r="J108" s="282">
        <f t="shared" si="33"/>
        <v>2000</v>
      </c>
      <c r="K108" s="211">
        <v>80000</v>
      </c>
      <c r="L108" s="212">
        <v>84123.989999999729</v>
      </c>
      <c r="M108" s="213">
        <v>45523</v>
      </c>
      <c r="N108" s="128">
        <f t="shared" si="37"/>
        <v>517.46000000026834</v>
      </c>
      <c r="O108" s="129">
        <f t="shared" si="34"/>
        <v>0</v>
      </c>
      <c r="P108" s="285" t="str">
        <f t="shared" si="38"/>
        <v>B</v>
      </c>
      <c r="Q108" s="111"/>
      <c r="R108" s="212">
        <v>84574.85</v>
      </c>
      <c r="S108" s="213">
        <v>45562</v>
      </c>
      <c r="T108" s="128">
        <f t="shared" si="39"/>
        <v>66.599999999991269</v>
      </c>
      <c r="U108" s="129">
        <f t="shared" si="40"/>
        <v>0</v>
      </c>
      <c r="V108" s="286" t="str">
        <f t="shared" si="41"/>
        <v>B</v>
      </c>
      <c r="W108" s="130" t="s">
        <v>131</v>
      </c>
      <c r="X108" s="111"/>
      <c r="Y108" s="131" t="str">
        <f t="shared" si="42"/>
        <v>CA81</v>
      </c>
      <c r="Z108" s="281">
        <f t="shared" si="35"/>
        <v>1000</v>
      </c>
      <c r="AA108" s="132">
        <f t="shared" si="36"/>
        <v>81000</v>
      </c>
      <c r="AB108" s="55">
        <f>'HORÓMETRO SEPTIEMBRE 2024'!AG89</f>
        <v>84641.45</v>
      </c>
      <c r="AC108" s="111"/>
    </row>
    <row r="109" spans="2:29" x14ac:dyDescent="0.35">
      <c r="B109" s="125" t="s">
        <v>96</v>
      </c>
      <c r="C109" s="205" t="s">
        <v>6</v>
      </c>
      <c r="D109" s="207" t="s">
        <v>263</v>
      </c>
      <c r="E109" s="207" t="s">
        <v>216</v>
      </c>
      <c r="F109" s="207" t="s">
        <v>211</v>
      </c>
      <c r="G109" s="125" t="s">
        <v>246</v>
      </c>
      <c r="H109" s="130" t="s">
        <v>135</v>
      </c>
      <c r="I109" s="111"/>
      <c r="J109" s="282">
        <f t="shared" si="33"/>
        <v>1000</v>
      </c>
      <c r="K109" s="211">
        <v>7800</v>
      </c>
      <c r="L109" s="212">
        <v>85452.3</v>
      </c>
      <c r="M109" s="213">
        <v>45522</v>
      </c>
      <c r="N109" s="128">
        <f t="shared" si="37"/>
        <v>812.72999999999593</v>
      </c>
      <c r="O109" s="129">
        <f t="shared" si="34"/>
        <v>0</v>
      </c>
      <c r="P109" s="285" t="str">
        <f t="shared" si="38"/>
        <v>B</v>
      </c>
      <c r="Q109" s="111"/>
      <c r="R109" s="212">
        <v>86131.25</v>
      </c>
      <c r="S109" s="213">
        <v>45559</v>
      </c>
      <c r="T109" s="128">
        <f t="shared" si="39"/>
        <v>133.77999999999884</v>
      </c>
      <c r="U109" s="129">
        <f t="shared" si="40"/>
        <v>0</v>
      </c>
      <c r="V109" s="286" t="str">
        <f t="shared" si="41"/>
        <v>B</v>
      </c>
      <c r="W109" s="130" t="s">
        <v>131</v>
      </c>
      <c r="X109" s="111"/>
      <c r="Y109" s="131" t="str">
        <f t="shared" si="42"/>
        <v>CA82</v>
      </c>
      <c r="Z109" s="281">
        <f t="shared" si="35"/>
        <v>2000</v>
      </c>
      <c r="AA109" s="132">
        <f t="shared" si="36"/>
        <v>8800</v>
      </c>
      <c r="AB109" s="55">
        <f>'HORÓMETRO SEPTIEMBRE 2024'!AG90</f>
        <v>86265.03</v>
      </c>
      <c r="AC109" s="111"/>
    </row>
    <row r="110" spans="2:29" x14ac:dyDescent="0.35">
      <c r="B110" s="125" t="s">
        <v>97</v>
      </c>
      <c r="C110" s="205" t="s">
        <v>6</v>
      </c>
      <c r="D110" s="207" t="s">
        <v>263</v>
      </c>
      <c r="E110" s="207" t="s">
        <v>216</v>
      </c>
      <c r="F110" s="207" t="s">
        <v>211</v>
      </c>
      <c r="G110" s="125" t="s">
        <v>247</v>
      </c>
      <c r="H110" s="130" t="s">
        <v>135</v>
      </c>
      <c r="I110" s="111"/>
      <c r="J110" s="294">
        <f t="shared" si="33"/>
        <v>1000</v>
      </c>
      <c r="K110" s="295">
        <v>83000</v>
      </c>
      <c r="L110" s="296">
        <v>87113.83</v>
      </c>
      <c r="M110" s="297">
        <v>45568</v>
      </c>
      <c r="N110" s="298">
        <f t="shared" si="37"/>
        <v>0</v>
      </c>
      <c r="O110" s="129">
        <f t="shared" si="34"/>
        <v>0</v>
      </c>
      <c r="P110" s="300" t="str">
        <f t="shared" si="38"/>
        <v>A</v>
      </c>
      <c r="Q110" s="111"/>
      <c r="R110" s="212">
        <v>87113.83</v>
      </c>
      <c r="S110" s="213">
        <v>45568</v>
      </c>
      <c r="T110" s="128">
        <f t="shared" si="39"/>
        <v>0</v>
      </c>
      <c r="U110" s="129">
        <f t="shared" si="40"/>
        <v>0</v>
      </c>
      <c r="V110" s="286" t="str">
        <f t="shared" si="41"/>
        <v>A</v>
      </c>
      <c r="W110" s="130" t="s">
        <v>131</v>
      </c>
      <c r="X110" s="111"/>
      <c r="Y110" s="125" t="str">
        <f t="shared" si="42"/>
        <v>CA83</v>
      </c>
      <c r="Z110" s="281">
        <f t="shared" si="35"/>
        <v>2000</v>
      </c>
      <c r="AA110" s="132">
        <f t="shared" si="36"/>
        <v>84000</v>
      </c>
      <c r="AB110" s="55">
        <f>'HORÓMETRO SEPTIEMBRE 2024'!AG91</f>
        <v>87113.83</v>
      </c>
      <c r="AC110" s="111"/>
    </row>
    <row r="111" spans="2:29" x14ac:dyDescent="0.35">
      <c r="B111" s="125" t="s">
        <v>98</v>
      </c>
      <c r="C111" s="205" t="s">
        <v>6</v>
      </c>
      <c r="D111" s="206" t="s">
        <v>215</v>
      </c>
      <c r="E111" s="207" t="s">
        <v>216</v>
      </c>
      <c r="F111" s="207" t="s">
        <v>211</v>
      </c>
      <c r="G111" s="125" t="s">
        <v>248</v>
      </c>
      <c r="H111" s="130" t="s">
        <v>135</v>
      </c>
      <c r="I111" s="111"/>
      <c r="J111" s="282">
        <f t="shared" si="33"/>
        <v>1000</v>
      </c>
      <c r="K111" s="211">
        <v>83000</v>
      </c>
      <c r="L111" s="212">
        <v>86127.28</v>
      </c>
      <c r="M111" s="213">
        <v>45561</v>
      </c>
      <c r="N111" s="128">
        <f t="shared" si="37"/>
        <v>6.6600000000034925</v>
      </c>
      <c r="O111" s="129">
        <f t="shared" si="34"/>
        <v>0</v>
      </c>
      <c r="P111" s="285" t="str">
        <f t="shared" si="38"/>
        <v>B</v>
      </c>
      <c r="Q111" s="111"/>
      <c r="R111" s="212">
        <v>86127.28</v>
      </c>
      <c r="S111" s="213">
        <v>45560</v>
      </c>
      <c r="T111" s="128">
        <f t="shared" si="39"/>
        <v>6.6600000000034925</v>
      </c>
      <c r="U111" s="129">
        <f t="shared" si="40"/>
        <v>0</v>
      </c>
      <c r="V111" s="286" t="str">
        <f t="shared" si="41"/>
        <v>B</v>
      </c>
      <c r="W111" s="130" t="s">
        <v>131</v>
      </c>
      <c r="X111" s="111"/>
      <c r="Y111" s="125" t="str">
        <f t="shared" si="42"/>
        <v>CA84</v>
      </c>
      <c r="Z111" s="281">
        <f t="shared" si="35"/>
        <v>2000</v>
      </c>
      <c r="AA111" s="132">
        <f t="shared" si="36"/>
        <v>84000</v>
      </c>
      <c r="AB111" s="55">
        <f>'HORÓMETRO SEPTIEMBRE 2024'!AG92</f>
        <v>86133.94</v>
      </c>
      <c r="AC111" s="111"/>
    </row>
    <row r="112" spans="2:29" x14ac:dyDescent="0.35">
      <c r="B112" s="133" t="s">
        <v>99</v>
      </c>
      <c r="C112" s="209" t="s">
        <v>129</v>
      </c>
      <c r="D112" s="206" t="s">
        <v>215</v>
      </c>
      <c r="E112" s="208" t="s">
        <v>217</v>
      </c>
      <c r="F112" s="207" t="s">
        <v>211</v>
      </c>
      <c r="G112" s="125" t="s">
        <v>249</v>
      </c>
      <c r="H112" s="130" t="s">
        <v>135</v>
      </c>
      <c r="I112" s="111"/>
      <c r="J112" s="282">
        <f t="shared" si="33"/>
        <v>2000</v>
      </c>
      <c r="K112" s="211">
        <v>80000</v>
      </c>
      <c r="L112" s="212">
        <v>82725.27</v>
      </c>
      <c r="M112" s="213">
        <v>45556</v>
      </c>
      <c r="N112" s="128">
        <f t="shared" si="37"/>
        <v>120.09999999999127</v>
      </c>
      <c r="O112" s="299">
        <f t="shared" si="34"/>
        <v>0</v>
      </c>
      <c r="P112" s="285" t="str">
        <f t="shared" si="38"/>
        <v>A</v>
      </c>
      <c r="Q112" s="111"/>
      <c r="R112" s="212">
        <v>82712.149999999994</v>
      </c>
      <c r="S112" s="213">
        <v>45555</v>
      </c>
      <c r="T112" s="128">
        <f t="shared" si="39"/>
        <v>133.22000000000116</v>
      </c>
      <c r="U112" s="129">
        <f t="shared" si="40"/>
        <v>0</v>
      </c>
      <c r="V112" s="286" t="str">
        <f t="shared" si="41"/>
        <v>A</v>
      </c>
      <c r="W112" s="130" t="s">
        <v>131</v>
      </c>
      <c r="X112" s="111"/>
      <c r="Y112" s="133" t="str">
        <f t="shared" si="42"/>
        <v>CA85</v>
      </c>
      <c r="Z112" s="281">
        <f t="shared" si="35"/>
        <v>1000</v>
      </c>
      <c r="AA112" s="132">
        <f t="shared" si="36"/>
        <v>81000</v>
      </c>
      <c r="AB112" s="55">
        <f>'HORÓMETRO SEPTIEMBRE 2024'!AG93</f>
        <v>82845.37</v>
      </c>
      <c r="AC112" s="111"/>
    </row>
    <row r="113" spans="2:29" x14ac:dyDescent="0.35">
      <c r="B113" s="125" t="s">
        <v>100</v>
      </c>
      <c r="C113" s="205" t="s">
        <v>6</v>
      </c>
      <c r="D113" s="206" t="s">
        <v>215</v>
      </c>
      <c r="E113" s="207" t="s">
        <v>216</v>
      </c>
      <c r="F113" s="207" t="s">
        <v>211</v>
      </c>
      <c r="G113" s="125" t="s">
        <v>250</v>
      </c>
      <c r="H113" s="130" t="s">
        <v>135</v>
      </c>
      <c r="I113" s="111"/>
      <c r="J113" s="282">
        <f t="shared" si="33"/>
        <v>2000</v>
      </c>
      <c r="K113" s="211">
        <v>78000</v>
      </c>
      <c r="L113" s="212">
        <v>80281.91</v>
      </c>
      <c r="M113" s="213">
        <v>45289</v>
      </c>
      <c r="N113" s="128">
        <f t="shared" si="37"/>
        <v>995.70000000001164</v>
      </c>
      <c r="O113" s="129">
        <f t="shared" si="34"/>
        <v>0</v>
      </c>
      <c r="P113" s="285" t="str">
        <f t="shared" si="38"/>
        <v>A</v>
      </c>
      <c r="Q113" s="111"/>
      <c r="R113" s="212">
        <v>80281.91</v>
      </c>
      <c r="S113" s="213">
        <v>45289</v>
      </c>
      <c r="T113" s="128">
        <f t="shared" si="39"/>
        <v>995.70000000001164</v>
      </c>
      <c r="U113" s="129">
        <f t="shared" si="40"/>
        <v>0.99140000000002326</v>
      </c>
      <c r="V113" s="286" t="str">
        <f t="shared" si="41"/>
        <v>A</v>
      </c>
      <c r="W113" s="130" t="s">
        <v>131</v>
      </c>
      <c r="X113" s="111"/>
      <c r="Y113" s="125" t="str">
        <f t="shared" si="42"/>
        <v>CA86</v>
      </c>
      <c r="Z113" s="281">
        <f t="shared" si="35"/>
        <v>1000</v>
      </c>
      <c r="AA113" s="132">
        <f t="shared" si="36"/>
        <v>79000</v>
      </c>
      <c r="AB113" s="55">
        <f>'HORÓMETRO SEPTIEMBRE 2024'!AG94</f>
        <v>81277.610000000015</v>
      </c>
      <c r="AC113" s="111"/>
    </row>
    <row r="114" spans="2:29" x14ac:dyDescent="0.35">
      <c r="B114" s="125" t="s">
        <v>101</v>
      </c>
      <c r="C114" s="205" t="s">
        <v>6</v>
      </c>
      <c r="D114" s="206" t="s">
        <v>215</v>
      </c>
      <c r="E114" s="207" t="s">
        <v>216</v>
      </c>
      <c r="F114" s="207" t="s">
        <v>211</v>
      </c>
      <c r="G114" s="125" t="s">
        <v>251</v>
      </c>
      <c r="H114" s="130" t="s">
        <v>135</v>
      </c>
      <c r="I114" s="111"/>
      <c r="J114" s="282">
        <f t="shared" si="33"/>
        <v>1000</v>
      </c>
      <c r="K114" s="211">
        <v>81000</v>
      </c>
      <c r="L114" s="212">
        <v>83819.330000000016</v>
      </c>
      <c r="M114" s="213">
        <v>45542</v>
      </c>
      <c r="N114" s="128">
        <f t="shared" si="37"/>
        <v>373.51999999998952</v>
      </c>
      <c r="O114" s="129">
        <f t="shared" si="34"/>
        <v>0</v>
      </c>
      <c r="P114" s="285" t="str">
        <f t="shared" si="38"/>
        <v>A</v>
      </c>
      <c r="Q114" s="111"/>
      <c r="R114" s="212">
        <v>84156.65</v>
      </c>
      <c r="S114" s="213">
        <v>45564</v>
      </c>
      <c r="T114" s="128">
        <f t="shared" si="39"/>
        <v>36.200000000011642</v>
      </c>
      <c r="U114" s="129">
        <f t="shared" si="40"/>
        <v>0</v>
      </c>
      <c r="V114" s="286" t="str">
        <f t="shared" si="41"/>
        <v>B</v>
      </c>
      <c r="W114" s="130" t="s">
        <v>131</v>
      </c>
      <c r="X114" s="111"/>
      <c r="Y114" s="125" t="str">
        <f t="shared" si="42"/>
        <v>CA87</v>
      </c>
      <c r="Z114" s="281">
        <f t="shared" si="35"/>
        <v>2000</v>
      </c>
      <c r="AA114" s="132">
        <f t="shared" si="36"/>
        <v>82000</v>
      </c>
      <c r="AB114" s="55">
        <f>'HORÓMETRO SEPTIEMBRE 2024'!AG95</f>
        <v>84192.85</v>
      </c>
      <c r="AC114" s="111"/>
    </row>
    <row r="115" spans="2:29" x14ac:dyDescent="0.35">
      <c r="B115" s="125" t="s">
        <v>102</v>
      </c>
      <c r="C115" s="205" t="s">
        <v>6</v>
      </c>
      <c r="D115" s="206" t="s">
        <v>215</v>
      </c>
      <c r="E115" s="207" t="s">
        <v>216</v>
      </c>
      <c r="F115" s="207" t="s">
        <v>211</v>
      </c>
      <c r="G115" s="125" t="s">
        <v>252</v>
      </c>
      <c r="H115" s="130" t="s">
        <v>135</v>
      </c>
      <c r="I115" s="111"/>
      <c r="J115" s="282">
        <f t="shared" si="33"/>
        <v>2000</v>
      </c>
      <c r="K115" s="211">
        <v>82000</v>
      </c>
      <c r="L115" s="212">
        <v>84965.5</v>
      </c>
      <c r="M115" s="213">
        <v>45548</v>
      </c>
      <c r="N115" s="128">
        <f t="shared" si="37"/>
        <v>337.13999999999942</v>
      </c>
      <c r="O115" s="129">
        <f t="shared" si="34"/>
        <v>0</v>
      </c>
      <c r="P115" s="285" t="str">
        <f t="shared" si="38"/>
        <v>B</v>
      </c>
      <c r="Q115" s="111"/>
      <c r="R115" s="212">
        <v>85217.57</v>
      </c>
      <c r="S115" s="213">
        <v>45562</v>
      </c>
      <c r="T115" s="128">
        <f t="shared" si="39"/>
        <v>85.069999999992433</v>
      </c>
      <c r="U115" s="129">
        <f t="shared" si="40"/>
        <v>0</v>
      </c>
      <c r="V115" s="286" t="str">
        <f t="shared" si="41"/>
        <v>B</v>
      </c>
      <c r="W115" s="130" t="s">
        <v>131</v>
      </c>
      <c r="X115" s="111"/>
      <c r="Y115" s="125" t="str">
        <f t="shared" si="42"/>
        <v>CA88</v>
      </c>
      <c r="Z115" s="281">
        <f t="shared" si="35"/>
        <v>1000</v>
      </c>
      <c r="AA115" s="132">
        <f t="shared" si="36"/>
        <v>83000</v>
      </c>
      <c r="AB115" s="55">
        <f>'HORÓMETRO SEPTIEMBRE 2024'!AG96</f>
        <v>85302.64</v>
      </c>
      <c r="AC115" s="111"/>
    </row>
    <row r="116" spans="2:29" x14ac:dyDescent="0.35">
      <c r="B116" s="125" t="s">
        <v>103</v>
      </c>
      <c r="C116" s="205" t="s">
        <v>6</v>
      </c>
      <c r="D116" s="206" t="s">
        <v>215</v>
      </c>
      <c r="E116" s="207" t="s">
        <v>216</v>
      </c>
      <c r="F116" s="207" t="s">
        <v>211</v>
      </c>
      <c r="G116" s="125" t="s">
        <v>253</v>
      </c>
      <c r="H116" s="130" t="s">
        <v>135</v>
      </c>
      <c r="I116" s="111"/>
      <c r="J116" s="282">
        <f t="shared" si="33"/>
        <v>1000</v>
      </c>
      <c r="K116" s="211">
        <v>81000</v>
      </c>
      <c r="L116" s="212">
        <v>85876.109999999768</v>
      </c>
      <c r="M116" s="213">
        <v>45525</v>
      </c>
      <c r="N116" s="128">
        <f t="shared" si="37"/>
        <v>627.02000000023691</v>
      </c>
      <c r="O116" s="129">
        <f t="shared" si="34"/>
        <v>0</v>
      </c>
      <c r="P116" s="285" t="str">
        <f t="shared" si="38"/>
        <v>A</v>
      </c>
      <c r="Q116" s="111"/>
      <c r="R116" s="212">
        <v>86378.77</v>
      </c>
      <c r="S116" s="213">
        <v>45560</v>
      </c>
      <c r="T116" s="128">
        <f t="shared" si="39"/>
        <v>124.36000000000058</v>
      </c>
      <c r="U116" s="129">
        <f t="shared" si="40"/>
        <v>0</v>
      </c>
      <c r="V116" s="286" t="str">
        <f t="shared" si="41"/>
        <v>B</v>
      </c>
      <c r="W116" s="130" t="s">
        <v>131</v>
      </c>
      <c r="X116" s="111"/>
      <c r="Y116" s="125" t="str">
        <f t="shared" si="42"/>
        <v>CA89</v>
      </c>
      <c r="Z116" s="281">
        <f t="shared" si="35"/>
        <v>2000</v>
      </c>
      <c r="AA116" s="132">
        <f t="shared" si="36"/>
        <v>82000</v>
      </c>
      <c r="AB116" s="55">
        <f>'HORÓMETRO SEPTIEMBRE 2024'!AG97</f>
        <v>86503.13</v>
      </c>
      <c r="AC116" s="111"/>
    </row>
    <row r="117" spans="2:29" x14ac:dyDescent="0.35">
      <c r="B117" s="125" t="s">
        <v>104</v>
      </c>
      <c r="C117" s="205" t="s">
        <v>6</v>
      </c>
      <c r="D117" s="206" t="s">
        <v>215</v>
      </c>
      <c r="E117" s="208" t="s">
        <v>217</v>
      </c>
      <c r="F117" s="207" t="s">
        <v>211</v>
      </c>
      <c r="G117" s="125" t="s">
        <v>254</v>
      </c>
      <c r="H117" s="130" t="s">
        <v>135</v>
      </c>
      <c r="I117" s="111"/>
      <c r="J117" s="282">
        <f t="shared" si="33"/>
        <v>1000</v>
      </c>
      <c r="K117" s="211">
        <v>83000</v>
      </c>
      <c r="L117" s="212">
        <v>84454.390000000305</v>
      </c>
      <c r="M117" s="213">
        <v>45545</v>
      </c>
      <c r="N117" s="128">
        <f t="shared" si="37"/>
        <v>426.18999999969674</v>
      </c>
      <c r="O117" s="129">
        <f t="shared" si="34"/>
        <v>0</v>
      </c>
      <c r="P117" s="285" t="str">
        <f t="shared" si="38"/>
        <v>B</v>
      </c>
      <c r="Q117" s="111"/>
      <c r="R117" s="212">
        <v>84793.63</v>
      </c>
      <c r="S117" s="213">
        <v>45562</v>
      </c>
      <c r="T117" s="128">
        <f t="shared" si="39"/>
        <v>86.94999999999709</v>
      </c>
      <c r="U117" s="129">
        <f t="shared" si="40"/>
        <v>0</v>
      </c>
      <c r="V117" s="286" t="str">
        <f t="shared" si="41"/>
        <v>B</v>
      </c>
      <c r="W117" s="130" t="s">
        <v>131</v>
      </c>
      <c r="X117" s="111"/>
      <c r="Y117" s="125" t="str">
        <f t="shared" si="42"/>
        <v>CA91</v>
      </c>
      <c r="Z117" s="281">
        <f t="shared" si="35"/>
        <v>2000</v>
      </c>
      <c r="AA117" s="132">
        <f t="shared" si="36"/>
        <v>84000</v>
      </c>
      <c r="AB117" s="55">
        <f>'HORÓMETRO SEPTIEMBRE 2024'!AG98</f>
        <v>84880.58</v>
      </c>
      <c r="AC117" s="111"/>
    </row>
    <row r="118" spans="2:29" x14ac:dyDescent="0.35">
      <c r="B118" s="125" t="s">
        <v>105</v>
      </c>
      <c r="C118" s="205" t="s">
        <v>6</v>
      </c>
      <c r="D118" s="206" t="s">
        <v>215</v>
      </c>
      <c r="E118" s="208" t="s">
        <v>217</v>
      </c>
      <c r="F118" s="207" t="s">
        <v>211</v>
      </c>
      <c r="G118" s="125" t="s">
        <v>255</v>
      </c>
      <c r="H118" s="130" t="s">
        <v>135</v>
      </c>
      <c r="I118" s="111"/>
      <c r="J118" s="282">
        <f t="shared" si="33"/>
        <v>1000</v>
      </c>
      <c r="K118" s="211">
        <v>81000</v>
      </c>
      <c r="L118" s="212">
        <v>82132.930000000008</v>
      </c>
      <c r="M118" s="213">
        <v>45499</v>
      </c>
      <c r="N118" s="128">
        <f t="shared" si="37"/>
        <v>1076.7399999999907</v>
      </c>
      <c r="O118" s="129">
        <f t="shared" si="34"/>
        <v>7.6739999999990691E-2</v>
      </c>
      <c r="P118" s="285" t="str">
        <f t="shared" si="38"/>
        <v>A</v>
      </c>
      <c r="Q118" s="111"/>
      <c r="R118" s="212">
        <v>82871.179999999993</v>
      </c>
      <c r="S118" s="213">
        <v>45547</v>
      </c>
      <c r="T118" s="128">
        <f t="shared" si="39"/>
        <v>338.49000000000524</v>
      </c>
      <c r="U118" s="129">
        <f t="shared" si="40"/>
        <v>0</v>
      </c>
      <c r="V118" s="286" t="str">
        <f t="shared" si="41"/>
        <v>B</v>
      </c>
      <c r="W118" s="130" t="s">
        <v>131</v>
      </c>
      <c r="X118" s="111"/>
      <c r="Y118" s="125" t="str">
        <f t="shared" si="42"/>
        <v>CA92</v>
      </c>
      <c r="Z118" s="281">
        <f t="shared" si="35"/>
        <v>2000</v>
      </c>
      <c r="AA118" s="132">
        <f t="shared" si="36"/>
        <v>82000</v>
      </c>
      <c r="AB118" s="55">
        <f>'HORÓMETRO SEPTIEMBRE 2024'!AG99</f>
        <v>83209.67</v>
      </c>
      <c r="AC118" s="111"/>
    </row>
    <row r="119" spans="2:29" x14ac:dyDescent="0.35">
      <c r="B119" s="133" t="s">
        <v>106</v>
      </c>
      <c r="C119" s="209" t="s">
        <v>129</v>
      </c>
      <c r="D119" s="206" t="s">
        <v>215</v>
      </c>
      <c r="E119" s="208" t="s">
        <v>217</v>
      </c>
      <c r="F119" s="207" t="s">
        <v>211</v>
      </c>
      <c r="G119" s="125" t="s">
        <v>256</v>
      </c>
      <c r="H119" s="130" t="s">
        <v>135</v>
      </c>
      <c r="I119" s="111"/>
      <c r="J119" s="282">
        <f t="shared" si="33"/>
        <v>1000</v>
      </c>
      <c r="K119" s="211">
        <v>77000</v>
      </c>
      <c r="L119" s="212">
        <v>80626.660000000033</v>
      </c>
      <c r="M119" s="213">
        <v>45527</v>
      </c>
      <c r="N119" s="128">
        <f t="shared" si="37"/>
        <v>593.89999999996508</v>
      </c>
      <c r="O119" s="129">
        <f t="shared" si="34"/>
        <v>0</v>
      </c>
      <c r="P119" s="285" t="str">
        <f t="shared" si="38"/>
        <v>A</v>
      </c>
      <c r="Q119" s="111"/>
      <c r="R119" s="212">
        <v>80625.710000000006</v>
      </c>
      <c r="S119" s="213">
        <v>45529</v>
      </c>
      <c r="T119" s="128">
        <f t="shared" si="39"/>
        <v>594.84999999999127</v>
      </c>
      <c r="U119" s="129">
        <f t="shared" si="40"/>
        <v>0.18969999999998255</v>
      </c>
      <c r="V119" s="286" t="str">
        <f t="shared" si="41"/>
        <v>A</v>
      </c>
      <c r="W119" s="130" t="s">
        <v>131</v>
      </c>
      <c r="X119" s="111"/>
      <c r="Y119" s="133" t="str">
        <f t="shared" si="42"/>
        <v>CA93</v>
      </c>
      <c r="Z119" s="281">
        <f t="shared" si="35"/>
        <v>2000</v>
      </c>
      <c r="AA119" s="132">
        <f t="shared" si="36"/>
        <v>78000</v>
      </c>
      <c r="AB119" s="55">
        <f>'HORÓMETRO SEPTIEMBRE 2024'!AG100</f>
        <v>81220.56</v>
      </c>
      <c r="AC119" s="111"/>
    </row>
    <row r="120" spans="2:29" x14ac:dyDescent="0.35">
      <c r="B120" s="125" t="s">
        <v>107</v>
      </c>
      <c r="C120" s="205" t="s">
        <v>6</v>
      </c>
      <c r="D120" s="206" t="s">
        <v>215</v>
      </c>
      <c r="E120" s="207" t="s">
        <v>216</v>
      </c>
      <c r="F120" s="207" t="s">
        <v>211</v>
      </c>
      <c r="G120" s="125" t="s">
        <v>257</v>
      </c>
      <c r="H120" s="130" t="s">
        <v>135</v>
      </c>
      <c r="I120" s="111"/>
      <c r="J120" s="282">
        <f t="shared" si="33"/>
        <v>2000</v>
      </c>
      <c r="K120" s="211">
        <v>78000</v>
      </c>
      <c r="L120" s="212">
        <v>84034.37</v>
      </c>
      <c r="M120" s="213">
        <v>45531</v>
      </c>
      <c r="N120" s="128">
        <f t="shared" si="37"/>
        <v>535.55999999999767</v>
      </c>
      <c r="O120" s="129">
        <f t="shared" si="34"/>
        <v>0</v>
      </c>
      <c r="P120" s="285" t="str">
        <f t="shared" si="38"/>
        <v>B</v>
      </c>
      <c r="Q120" s="111"/>
      <c r="R120" s="212">
        <v>84486.31</v>
      </c>
      <c r="S120" s="213">
        <v>45561</v>
      </c>
      <c r="T120" s="128">
        <f t="shared" si="39"/>
        <v>83.619999999995343</v>
      </c>
      <c r="U120" s="129">
        <f t="shared" si="40"/>
        <v>0</v>
      </c>
      <c r="V120" s="286" t="str">
        <f t="shared" si="41"/>
        <v>B</v>
      </c>
      <c r="W120" s="130" t="s">
        <v>131</v>
      </c>
      <c r="X120" s="111"/>
      <c r="Y120" s="125" t="str">
        <f t="shared" si="42"/>
        <v>CA94</v>
      </c>
      <c r="Z120" s="281">
        <f t="shared" si="35"/>
        <v>1000</v>
      </c>
      <c r="AA120" s="132">
        <f t="shared" si="36"/>
        <v>79000</v>
      </c>
      <c r="AB120" s="55">
        <f>'HORÓMETRO SEPTIEMBRE 2024'!AG101</f>
        <v>84569.93</v>
      </c>
      <c r="AC120" s="111"/>
    </row>
    <row r="121" spans="2:29" x14ac:dyDescent="0.35">
      <c r="B121" s="125" t="s">
        <v>108</v>
      </c>
      <c r="C121" s="205" t="s">
        <v>6</v>
      </c>
      <c r="D121" s="207" t="s">
        <v>263</v>
      </c>
      <c r="E121" s="207" t="s">
        <v>216</v>
      </c>
      <c r="F121" s="207" t="s">
        <v>211</v>
      </c>
      <c r="G121" s="125" t="s">
        <v>258</v>
      </c>
      <c r="H121" s="130" t="s">
        <v>135</v>
      </c>
      <c r="I121" s="111"/>
      <c r="J121" s="282">
        <f t="shared" si="33"/>
        <v>2000</v>
      </c>
      <c r="K121" s="211">
        <v>82000</v>
      </c>
      <c r="L121" s="212">
        <v>84186.67</v>
      </c>
      <c r="M121" s="213">
        <v>45512</v>
      </c>
      <c r="N121" s="128">
        <f t="shared" si="37"/>
        <v>1083.1399999999994</v>
      </c>
      <c r="O121" s="129">
        <f t="shared" si="34"/>
        <v>8.3139999999999423E-2</v>
      </c>
      <c r="P121" s="285" t="str">
        <f t="shared" si="38"/>
        <v>A</v>
      </c>
      <c r="Q121" s="111"/>
      <c r="R121" s="212">
        <v>84876.57</v>
      </c>
      <c r="S121" s="213">
        <v>45547</v>
      </c>
      <c r="T121" s="128">
        <f t="shared" si="39"/>
        <v>393.23999999999069</v>
      </c>
      <c r="U121" s="129">
        <f t="shared" si="40"/>
        <v>0</v>
      </c>
      <c r="V121" s="286" t="str">
        <f t="shared" si="41"/>
        <v>B</v>
      </c>
      <c r="W121" s="130" t="s">
        <v>131</v>
      </c>
      <c r="X121" s="111"/>
      <c r="Y121" s="125" t="str">
        <f t="shared" si="42"/>
        <v>CA95</v>
      </c>
      <c r="Z121" s="281">
        <f t="shared" si="35"/>
        <v>1000</v>
      </c>
      <c r="AA121" s="132">
        <f t="shared" si="36"/>
        <v>83000</v>
      </c>
      <c r="AB121" s="55">
        <f>'HORÓMETRO SEPTIEMBRE 2024'!AG102</f>
        <v>85269.81</v>
      </c>
      <c r="AC121" s="111"/>
    </row>
    <row r="122" spans="2:29" x14ac:dyDescent="0.35">
      <c r="B122" s="125" t="s">
        <v>109</v>
      </c>
      <c r="C122" s="205" t="s">
        <v>6</v>
      </c>
      <c r="D122" s="206" t="s">
        <v>215</v>
      </c>
      <c r="E122" s="207" t="s">
        <v>216</v>
      </c>
      <c r="F122" s="207" t="s">
        <v>211</v>
      </c>
      <c r="G122" s="125" t="s">
        <v>259</v>
      </c>
      <c r="H122" s="130" t="s">
        <v>135</v>
      </c>
      <c r="I122" s="111"/>
      <c r="J122" s="294">
        <f t="shared" si="33"/>
        <v>1000</v>
      </c>
      <c r="K122" s="295">
        <v>81000</v>
      </c>
      <c r="L122" s="296">
        <v>84206.74</v>
      </c>
      <c r="M122" s="297">
        <v>45565</v>
      </c>
      <c r="N122" s="298">
        <f t="shared" si="37"/>
        <v>0</v>
      </c>
      <c r="O122" s="299">
        <f t="shared" si="34"/>
        <v>0</v>
      </c>
      <c r="P122" s="300" t="str">
        <f t="shared" si="38"/>
        <v>B</v>
      </c>
      <c r="Q122" s="111"/>
      <c r="R122" s="212">
        <v>84206.74</v>
      </c>
      <c r="S122" s="213">
        <v>45564</v>
      </c>
      <c r="T122" s="128">
        <f t="shared" si="39"/>
        <v>0</v>
      </c>
      <c r="U122" s="129">
        <f t="shared" si="40"/>
        <v>0</v>
      </c>
      <c r="V122" s="286" t="str">
        <f t="shared" si="41"/>
        <v>B</v>
      </c>
      <c r="W122" s="130" t="s">
        <v>131</v>
      </c>
      <c r="X122" s="111"/>
      <c r="Y122" s="125" t="str">
        <f t="shared" si="42"/>
        <v>CA96</v>
      </c>
      <c r="Z122" s="281">
        <f t="shared" si="35"/>
        <v>2000</v>
      </c>
      <c r="AA122" s="132">
        <f t="shared" si="36"/>
        <v>82000</v>
      </c>
      <c r="AB122" s="55">
        <f>'HORÓMETRO SEPTIEMBRE 2024'!AG103</f>
        <v>84206.74</v>
      </c>
      <c r="AC122" s="111"/>
    </row>
    <row r="123" spans="2:29" x14ac:dyDescent="0.35">
      <c r="B123" s="125" t="s">
        <v>110</v>
      </c>
      <c r="C123" s="205" t="s">
        <v>6</v>
      </c>
      <c r="D123" s="206" t="s">
        <v>215</v>
      </c>
      <c r="E123" s="207" t="s">
        <v>216</v>
      </c>
      <c r="F123" s="207" t="s">
        <v>211</v>
      </c>
      <c r="G123" s="125" t="s">
        <v>260</v>
      </c>
      <c r="H123" s="130" t="s">
        <v>135</v>
      </c>
      <c r="I123" s="111"/>
      <c r="J123" s="282">
        <f t="shared" si="33"/>
        <v>2000</v>
      </c>
      <c r="K123" s="211">
        <v>82000</v>
      </c>
      <c r="L123" s="212">
        <v>84552.370000000097</v>
      </c>
      <c r="M123" s="213">
        <v>45514</v>
      </c>
      <c r="N123" s="128">
        <f t="shared" si="37"/>
        <v>902.38999999989755</v>
      </c>
      <c r="O123" s="129">
        <f t="shared" si="34"/>
        <v>0</v>
      </c>
      <c r="P123" s="285" t="str">
        <f t="shared" si="38"/>
        <v>A</v>
      </c>
      <c r="Q123" s="111"/>
      <c r="R123" s="212">
        <v>85411.44</v>
      </c>
      <c r="S123" s="213">
        <v>45563</v>
      </c>
      <c r="T123" s="128">
        <f t="shared" si="39"/>
        <v>43.319999999992433</v>
      </c>
      <c r="U123" s="129">
        <f t="shared" si="40"/>
        <v>0</v>
      </c>
      <c r="V123" s="286" t="str">
        <f t="shared" si="41"/>
        <v>B</v>
      </c>
      <c r="W123" s="130" t="s">
        <v>131</v>
      </c>
      <c r="X123" s="111"/>
      <c r="Y123" s="125" t="str">
        <f t="shared" si="42"/>
        <v>CA97</v>
      </c>
      <c r="Z123" s="281">
        <f t="shared" si="35"/>
        <v>1000</v>
      </c>
      <c r="AA123" s="132">
        <f t="shared" si="36"/>
        <v>83000</v>
      </c>
      <c r="AB123" s="55">
        <f>'HORÓMETRO SEPTIEMBRE 2024'!AG104</f>
        <v>85454.76</v>
      </c>
      <c r="AC123" s="111"/>
    </row>
    <row r="124" spans="2:29" x14ac:dyDescent="0.35">
      <c r="B124" s="133" t="s">
        <v>111</v>
      </c>
      <c r="C124" s="209" t="s">
        <v>129</v>
      </c>
      <c r="D124" s="207" t="s">
        <v>263</v>
      </c>
      <c r="E124" s="207" t="s">
        <v>216</v>
      </c>
      <c r="F124" s="207" t="s">
        <v>211</v>
      </c>
      <c r="G124" s="125" t="s">
        <v>261</v>
      </c>
      <c r="H124" s="130" t="s">
        <v>135</v>
      </c>
      <c r="I124" s="111"/>
      <c r="J124" s="282">
        <f t="shared" si="33"/>
        <v>2000</v>
      </c>
      <c r="K124" s="211">
        <v>74000</v>
      </c>
      <c r="L124" s="212">
        <v>76233.5</v>
      </c>
      <c r="M124" s="213">
        <v>45520</v>
      </c>
      <c r="N124" s="128">
        <f t="shared" si="37"/>
        <v>764.47999999999593</v>
      </c>
      <c r="O124" s="129">
        <f t="shared" si="34"/>
        <v>0</v>
      </c>
      <c r="P124" s="285" t="str">
        <f t="shared" si="38"/>
        <v>B</v>
      </c>
      <c r="Q124" s="111"/>
      <c r="R124" s="212">
        <v>76724.5</v>
      </c>
      <c r="S124" s="213">
        <v>45549</v>
      </c>
      <c r="T124" s="128">
        <f t="shared" si="39"/>
        <v>273.47999999999593</v>
      </c>
      <c r="U124" s="129">
        <f t="shared" si="40"/>
        <v>0</v>
      </c>
      <c r="V124" s="286" t="str">
        <f t="shared" si="41"/>
        <v>B</v>
      </c>
      <c r="W124" s="130" t="s">
        <v>131</v>
      </c>
      <c r="X124" s="111"/>
      <c r="Y124" s="133" t="str">
        <f t="shared" si="42"/>
        <v>CA98</v>
      </c>
      <c r="Z124" s="281">
        <f t="shared" si="35"/>
        <v>1000</v>
      </c>
      <c r="AA124" s="132">
        <f t="shared" si="36"/>
        <v>75000</v>
      </c>
      <c r="AB124" s="55">
        <f>'HORÓMETRO SEPTIEMBRE 2024'!AG105</f>
        <v>76997.98</v>
      </c>
      <c r="AC124" s="111"/>
    </row>
    <row r="125" spans="2:29" x14ac:dyDescent="0.35">
      <c r="B125" s="125" t="s">
        <v>112</v>
      </c>
      <c r="C125" s="205" t="s">
        <v>6</v>
      </c>
      <c r="D125" s="206" t="s">
        <v>215</v>
      </c>
      <c r="E125" s="207" t="s">
        <v>216</v>
      </c>
      <c r="F125" s="207" t="s">
        <v>211</v>
      </c>
      <c r="G125" s="125" t="s">
        <v>262</v>
      </c>
      <c r="H125" s="130" t="s">
        <v>135</v>
      </c>
      <c r="I125" s="141"/>
      <c r="J125" s="282">
        <f t="shared" si="33"/>
        <v>1000</v>
      </c>
      <c r="K125" s="211">
        <v>79000</v>
      </c>
      <c r="L125" s="212">
        <v>84394.6</v>
      </c>
      <c r="M125" s="213">
        <v>45520</v>
      </c>
      <c r="N125" s="128">
        <f t="shared" si="37"/>
        <v>738.47999999999593</v>
      </c>
      <c r="O125" s="129">
        <f t="shared" si="34"/>
        <v>0</v>
      </c>
      <c r="P125" s="285" t="str">
        <f t="shared" si="38"/>
        <v>B</v>
      </c>
      <c r="Q125" s="141"/>
      <c r="R125" s="212">
        <v>84867.7</v>
      </c>
      <c r="S125" s="213">
        <v>45552</v>
      </c>
      <c r="T125" s="128">
        <f t="shared" si="39"/>
        <v>265.38000000000466</v>
      </c>
      <c r="U125" s="129">
        <f t="shared" si="40"/>
        <v>0</v>
      </c>
      <c r="V125" s="286" t="str">
        <f t="shared" si="41"/>
        <v>A</v>
      </c>
      <c r="W125" s="130" t="s">
        <v>131</v>
      </c>
      <c r="X125" s="141"/>
      <c r="Y125" s="125" t="str">
        <f t="shared" si="42"/>
        <v>CA99</v>
      </c>
      <c r="Z125" s="281">
        <f t="shared" si="35"/>
        <v>2000</v>
      </c>
      <c r="AA125" s="132">
        <f t="shared" si="36"/>
        <v>80000</v>
      </c>
      <c r="AB125" s="55">
        <f>'HORÓMETRO SEPTIEMBRE 2024'!AG106</f>
        <v>85133.08</v>
      </c>
      <c r="AC125" s="141"/>
    </row>
    <row r="127" spans="2:29" x14ac:dyDescent="0.35">
      <c r="J127" s="142">
        <f>CHOOSE(MOD(INT((K7-1000)/1000), 2) + 1, 1000, 2000)</f>
        <v>2000</v>
      </c>
    </row>
  </sheetData>
  <sheetProtection algorithmName="SHA-512" hashValue="Ia2799i+Ns7gVfefzntAzWioAMb/0EsBjxyAW+V8xuiqKEGW/UgulZVuzZGRhOWsKuj4J4zyWdZnorkwS2i5og==" saltValue="Wuaptpaf8Hcod9Zmv69JMg==" spinCount="100000" sheet="1" objects="1" scenarios="1" formatCells="0" autoFilter="0" pivotTables="0"/>
  <autoFilter ref="B6:AB125" xr:uid="{BAFF537B-D79C-4A00-BA99-41922DBB3DAC}"/>
  <sortState xmlns:xlrd2="http://schemas.microsoft.com/office/spreadsheetml/2017/richdata2" ref="B7:AC125">
    <sortCondition ref="B7:B125"/>
  </sortState>
  <mergeCells count="6">
    <mergeCell ref="Z2:AB2"/>
    <mergeCell ref="M2:T2"/>
    <mergeCell ref="C5:H5"/>
    <mergeCell ref="J5:P5"/>
    <mergeCell ref="R5:W5"/>
    <mergeCell ref="Y5:AB5"/>
  </mergeCells>
  <phoneticPr fontId="6" type="noConversion"/>
  <conditionalFormatting sqref="N7:N125">
    <cfRule type="expression" dxfId="55" priority="4">
      <formula>AND($B7="CA190", $N7&gt;499)</formula>
    </cfRule>
    <cfRule type="expression" dxfId="54" priority="5">
      <formula>AND($B7="CA189", $N7&gt;499)</formula>
    </cfRule>
    <cfRule type="expression" dxfId="53" priority="6">
      <formula>AND($B7="CA188", $N7&gt;499)</formula>
    </cfRule>
    <cfRule type="expression" dxfId="52" priority="7">
      <formula>AND($B7="CA187", $N7&gt;499)</formula>
    </cfRule>
    <cfRule type="expression" dxfId="51" priority="8">
      <formula>AND($B7="CA186", $N7&gt;499)</formula>
    </cfRule>
    <cfRule type="expression" dxfId="50" priority="9">
      <formula>AND($B7="CA184", $N7&gt;499)</formula>
    </cfRule>
    <cfRule type="expression" dxfId="49" priority="10">
      <formula>AND($B7="CA185", $N7&gt;499)</formula>
    </cfRule>
    <cfRule type="cellIs" dxfId="48" priority="22" operator="greaterThan">
      <formula>999</formula>
    </cfRule>
  </conditionalFormatting>
  <conditionalFormatting sqref="T7:T125">
    <cfRule type="cellIs" dxfId="47" priority="21" operator="greaterThan">
      <formula>499</formula>
    </cfRule>
  </conditionalFormatting>
  <conditionalFormatting sqref="O7:O125">
    <cfRule type="cellIs" dxfId="46" priority="17" operator="greaterThanOrEqual">
      <formula>0.05</formula>
    </cfRule>
    <cfRule type="cellIs" dxfId="45" priority="18" operator="between">
      <formula>0.001</formula>
      <formula>4.9</formula>
    </cfRule>
    <cfRule type="cellIs" dxfId="44" priority="19" operator="equal">
      <formula>0</formula>
    </cfRule>
  </conditionalFormatting>
  <conditionalFormatting sqref="U7:U125">
    <cfRule type="cellIs" dxfId="43" priority="14" operator="greaterThanOrEqual">
      <formula>0.05</formula>
    </cfRule>
    <cfRule type="cellIs" dxfId="42" priority="15" operator="between">
      <formula>0.001</formula>
      <formula>0.049</formula>
    </cfRule>
    <cfRule type="cellIs" dxfId="41" priority="16" operator="equal">
      <formula>0</formula>
    </cfRule>
  </conditionalFormatting>
  <conditionalFormatting sqref="E7:E125">
    <cfRule type="cellIs" dxfId="40" priority="3" operator="equal">
      <formula>"DT"</formula>
    </cfRule>
  </conditionalFormatting>
  <conditionalFormatting sqref="D7:D125">
    <cfRule type="cellIs" dxfId="39" priority="2" operator="equal">
      <formula>"VR-300"</formula>
    </cfRule>
  </conditionalFormatting>
  <conditionalFormatting sqref="F7:F125">
    <cfRule type="cellIs" dxfId="38" priority="1" operator="equal">
      <formula>"AUTÓNOMO"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35EB3-E6EC-437A-B2F3-0E8A9133E8B0}">
  <sheetPr codeName="Hoja3">
    <tabColor rgb="FF93DBFF"/>
  </sheetPr>
  <dimension ref="B1:XFC126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5" sqref="A5"/>
      <selection pane="bottomRight" activeCell="J7" sqref="J7"/>
    </sheetView>
  </sheetViews>
  <sheetFormatPr baseColWidth="10" defaultRowHeight="14.5" x14ac:dyDescent="0.35"/>
  <cols>
    <col min="1" max="1" width="1.81640625" customWidth="1"/>
    <col min="3" max="3" width="11.54296875" hidden="1" customWidth="1"/>
    <col min="4" max="6" width="11.6328125" hidden="1" customWidth="1"/>
    <col min="7" max="7" width="17.1796875" hidden="1" customWidth="1"/>
    <col min="8" max="8" width="11.6328125" hidden="1" customWidth="1"/>
    <col min="9" max="9" width="0.54296875" customWidth="1"/>
    <col min="12" max="12" width="11.90625" customWidth="1"/>
    <col min="17" max="17" width="0.54296875" customWidth="1"/>
    <col min="19" max="19" width="13" customWidth="1"/>
    <col min="20" max="20" width="12.1796875" customWidth="1"/>
    <col min="22" max="22" width="0.54296875" customWidth="1"/>
    <col min="24" max="25" width="12.81640625" style="100" customWidth="1"/>
    <col min="26" max="26" width="12.81640625" customWidth="1"/>
    <col min="27" max="27" width="0.54296875" customWidth="1"/>
  </cols>
  <sheetData>
    <row r="1" spans="2:30 16379:16383" ht="4.25" customHeight="1" thickBot="1" x14ac:dyDescent="0.4">
      <c r="X1" s="92"/>
      <c r="Y1" s="92"/>
      <c r="Z1" s="92"/>
    </row>
    <row r="2" spans="2:30 16379:16383" ht="25.25" customHeight="1" thickTop="1" thickBot="1" x14ac:dyDescent="0.4">
      <c r="J2" s="305" t="s">
        <v>9</v>
      </c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X2" s="318" t="str">
        <f>'930E-980E'!Z2</f>
        <v>HORÓMETRO OCTUBRE 2024</v>
      </c>
      <c r="Y2" s="319"/>
      <c r="Z2" s="320"/>
      <c r="XEY2" s="94" t="s">
        <v>566</v>
      </c>
      <c r="XEZ2" s="95"/>
      <c r="XFA2" s="95"/>
      <c r="XFB2" s="95"/>
      <c r="XFC2" s="96"/>
    </row>
    <row r="3" spans="2:30 16379:16383" ht="12" customHeight="1" thickTop="1" x14ac:dyDescent="0.35">
      <c r="J3" s="98"/>
      <c r="K3" s="98"/>
      <c r="L3" s="98"/>
      <c r="M3" s="98"/>
      <c r="N3" s="39"/>
      <c r="X3"/>
      <c r="Y3"/>
      <c r="XEY3" s="102" t="s">
        <v>567</v>
      </c>
      <c r="XEZ3" s="103"/>
      <c r="XFA3" s="103"/>
      <c r="XFB3" s="103"/>
      <c r="XFC3" s="104"/>
    </row>
    <row r="4" spans="2:30 16379:16383" x14ac:dyDescent="0.35">
      <c r="V4" s="105"/>
      <c r="W4" s="249" t="str">
        <f>"Desviación MP Caex:  " &amp; ROUND(AVERAGE(O7:O15)*100, 1) &amp; "%"</f>
        <v>Desviación MP Caex:  27,2%</v>
      </c>
      <c r="X4" s="247"/>
      <c r="Y4" s="250" t="s">
        <v>8</v>
      </c>
      <c r="Z4" s="107">
        <f ca="1">TODAY()-1</f>
        <v>45568</v>
      </c>
      <c r="AA4" s="105"/>
      <c r="XEY4" s="108" t="s">
        <v>568</v>
      </c>
      <c r="XFC4" s="109"/>
    </row>
    <row r="5" spans="2:30 16379:16383" ht="15" thickBot="1" x14ac:dyDescent="0.4">
      <c r="B5" s="143" t="s">
        <v>0</v>
      </c>
      <c r="C5" s="314" t="s">
        <v>574</v>
      </c>
      <c r="D5" s="315"/>
      <c r="E5" s="315"/>
      <c r="F5" s="315"/>
      <c r="G5" s="315"/>
      <c r="H5" s="315"/>
      <c r="I5" s="105"/>
      <c r="J5" s="312" t="s">
        <v>561</v>
      </c>
      <c r="K5" s="311"/>
      <c r="L5" s="312"/>
      <c r="M5" s="312"/>
      <c r="N5" s="312"/>
      <c r="O5" s="312"/>
      <c r="P5" s="312"/>
      <c r="Q5" s="312"/>
      <c r="R5" s="312"/>
      <c r="S5" s="312"/>
      <c r="T5" s="312"/>
      <c r="U5" s="312"/>
      <c r="V5" s="111"/>
      <c r="W5" s="312" t="s">
        <v>4</v>
      </c>
      <c r="X5" s="312"/>
      <c r="Y5" s="313"/>
      <c r="Z5" s="313"/>
      <c r="AA5" s="111"/>
      <c r="XEY5" s="112" t="s">
        <v>569</v>
      </c>
      <c r="XEZ5" s="113"/>
      <c r="XFA5" s="113"/>
      <c r="XFB5" s="113" t="s">
        <v>570</v>
      </c>
      <c r="XFC5" s="114"/>
    </row>
    <row r="6" spans="2:30 16379:16383" s="1" customFormat="1" ht="43.5" x14ac:dyDescent="0.35">
      <c r="B6" s="144" t="s">
        <v>1</v>
      </c>
      <c r="C6" s="239" t="s">
        <v>7</v>
      </c>
      <c r="D6" s="240" t="s">
        <v>214</v>
      </c>
      <c r="E6" s="316" t="s">
        <v>212</v>
      </c>
      <c r="F6" s="317"/>
      <c r="G6" s="240" t="s">
        <v>136</v>
      </c>
      <c r="H6" s="241" t="s">
        <v>134</v>
      </c>
      <c r="I6" s="111"/>
      <c r="J6" s="145" t="s">
        <v>551</v>
      </c>
      <c r="K6" s="145" t="s">
        <v>576</v>
      </c>
      <c r="L6" s="146" t="s">
        <v>5</v>
      </c>
      <c r="M6" s="146" t="s">
        <v>2</v>
      </c>
      <c r="N6" s="146" t="s">
        <v>572</v>
      </c>
      <c r="O6" s="147" t="s">
        <v>309</v>
      </c>
      <c r="P6" s="147" t="s">
        <v>267</v>
      </c>
      <c r="Q6" s="148"/>
      <c r="R6" s="63" t="s">
        <v>552</v>
      </c>
      <c r="S6" s="147" t="s">
        <v>562</v>
      </c>
      <c r="T6" s="147" t="s">
        <v>553</v>
      </c>
      <c r="U6" s="147" t="s">
        <v>267</v>
      </c>
      <c r="V6" s="105"/>
      <c r="W6" s="149" t="s">
        <v>1</v>
      </c>
      <c r="X6" s="150" t="s">
        <v>554</v>
      </c>
      <c r="Y6" s="150" t="s">
        <v>555</v>
      </c>
      <c r="Z6" s="151" t="s">
        <v>4</v>
      </c>
      <c r="AA6" s="111"/>
    </row>
    <row r="7" spans="2:30 16379:16383" x14ac:dyDescent="0.35">
      <c r="B7" s="152" t="s">
        <v>297</v>
      </c>
      <c r="C7" s="133" t="s">
        <v>130</v>
      </c>
      <c r="D7" s="125" t="s">
        <v>263</v>
      </c>
      <c r="E7" s="152" t="s">
        <v>312</v>
      </c>
      <c r="F7" s="125" t="s">
        <v>211</v>
      </c>
      <c r="G7" s="153" t="s">
        <v>315</v>
      </c>
      <c r="H7" s="130" t="s">
        <v>313</v>
      </c>
      <c r="I7" s="111"/>
      <c r="J7" s="282">
        <f t="shared" ref="J7:J15" si="0">IF(K7="","",CHOOSE(MOD(INT((K7-250)/250),20)+1,250,500,250,1000,250,500,250,2000,250,500,250,1000,250,500,250,2000,250,500,250,5000))</f>
        <v>250</v>
      </c>
      <c r="K7" s="211">
        <v>112750</v>
      </c>
      <c r="L7" s="212">
        <v>112524</v>
      </c>
      <c r="M7" s="214">
        <v>45523</v>
      </c>
      <c r="N7" s="154">
        <f t="shared" ref="N7:N15" si="1">Z7-L7</f>
        <v>566.22000000000116</v>
      </c>
      <c r="O7" s="155">
        <f t="shared" ref="O7:O15" si="2">IF(N7 &lt; 250, 0, (N7 - 250) / 250)</f>
        <v>1.2648800000000047</v>
      </c>
      <c r="P7" s="285" t="str">
        <f t="shared" ref="P7:P15" si="3">IF(M7="","",IF(MOD(WEEKNUM(M7,12),2)=1,"A","B"))</f>
        <v>B</v>
      </c>
      <c r="Q7" s="156"/>
      <c r="R7" s="218">
        <v>45523</v>
      </c>
      <c r="S7" s="235">
        <v>112500</v>
      </c>
      <c r="T7" s="157">
        <f t="shared" ref="T7:T15" si="4">Z7-S7</f>
        <v>590.22000000000116</v>
      </c>
      <c r="U7" s="285" t="str">
        <f t="shared" ref="U7:U15" si="5">IF(R7="","",IF(MOD(WEEKNUM(M7,12),2)=1,"A","B"))</f>
        <v>B</v>
      </c>
      <c r="V7" s="111"/>
      <c r="W7" s="158" t="str">
        <f t="shared" ref="W7:W15" si="6">B7</f>
        <v>TW02</v>
      </c>
      <c r="X7" s="283">
        <f t="shared" ref="X7:X15" si="7">IF(Y7="","",CHOOSE(MOD(INT((Y7-250)/250), 20) + 1,250,500,250,1000,250,500,250,2000,250,500,250,1000,250,500,250,2000,250,500,250,5000))</f>
        <v>1000</v>
      </c>
      <c r="Y7" s="159">
        <f t="shared" ref="Y7:Y15" si="8">IF(K7="","",K7+250)</f>
        <v>113000</v>
      </c>
      <c r="Z7" s="232">
        <f>'HORÓMETRO SEPTIEMBRE 2024'!AG128</f>
        <v>113090.22</v>
      </c>
      <c r="AA7" s="160"/>
      <c r="AD7" s="56"/>
    </row>
    <row r="8" spans="2:30 16379:16383" x14ac:dyDescent="0.35">
      <c r="B8" s="161" t="s">
        <v>307</v>
      </c>
      <c r="C8" s="133" t="s">
        <v>130</v>
      </c>
      <c r="D8" s="125" t="s">
        <v>263</v>
      </c>
      <c r="E8" s="162" t="s">
        <v>310</v>
      </c>
      <c r="F8" s="125" t="s">
        <v>211</v>
      </c>
      <c r="G8" s="153" t="s">
        <v>320</v>
      </c>
      <c r="H8" s="130" t="s">
        <v>313</v>
      </c>
      <c r="I8" s="111"/>
      <c r="J8" s="282">
        <f t="shared" si="0"/>
        <v>250</v>
      </c>
      <c r="K8" s="211">
        <v>101750</v>
      </c>
      <c r="L8" s="212">
        <v>101964</v>
      </c>
      <c r="M8" s="214">
        <v>44763</v>
      </c>
      <c r="N8" s="154">
        <f t="shared" si="1"/>
        <v>311.73000000001048</v>
      </c>
      <c r="O8" s="155">
        <f t="shared" si="2"/>
        <v>0.24692000000004191</v>
      </c>
      <c r="P8" s="285" t="str">
        <f t="shared" si="3"/>
        <v>B</v>
      </c>
      <c r="Q8" s="156"/>
      <c r="R8" s="218">
        <v>44763</v>
      </c>
      <c r="S8" s="235">
        <v>101964</v>
      </c>
      <c r="T8" s="157">
        <f t="shared" si="4"/>
        <v>311.73000000001048</v>
      </c>
      <c r="U8" s="285" t="str">
        <f t="shared" si="5"/>
        <v>B</v>
      </c>
      <c r="V8" s="111"/>
      <c r="W8" s="163" t="str">
        <f t="shared" si="6"/>
        <v>CR17</v>
      </c>
      <c r="X8" s="283">
        <f t="shared" si="7"/>
        <v>2000</v>
      </c>
      <c r="Y8" s="159">
        <f t="shared" si="8"/>
        <v>102000</v>
      </c>
      <c r="Z8" s="232">
        <f>'HORÓMETRO SEPTIEMBRE 2024'!AG135</f>
        <v>102275.73000000001</v>
      </c>
      <c r="AA8" s="111"/>
      <c r="AD8" s="56"/>
    </row>
    <row r="9" spans="2:30 16379:16383" x14ac:dyDescent="0.35">
      <c r="B9" s="161" t="s">
        <v>271</v>
      </c>
      <c r="C9" s="133" t="s">
        <v>130</v>
      </c>
      <c r="D9" s="125" t="s">
        <v>263</v>
      </c>
      <c r="E9" s="162" t="s">
        <v>310</v>
      </c>
      <c r="F9" s="125" t="s">
        <v>211</v>
      </c>
      <c r="G9" s="153" t="s">
        <v>314</v>
      </c>
      <c r="H9" s="130" t="s">
        <v>313</v>
      </c>
      <c r="I9" s="111"/>
      <c r="J9" s="282">
        <f t="shared" si="0"/>
        <v>2000</v>
      </c>
      <c r="K9" s="211">
        <v>104000</v>
      </c>
      <c r="L9" s="212">
        <v>104751</v>
      </c>
      <c r="M9" s="214">
        <v>45522</v>
      </c>
      <c r="N9" s="154">
        <f t="shared" si="1"/>
        <v>484.64999999999418</v>
      </c>
      <c r="O9" s="155">
        <f t="shared" si="2"/>
        <v>0.93859999999997668</v>
      </c>
      <c r="P9" s="285" t="str">
        <f t="shared" si="3"/>
        <v>B</v>
      </c>
      <c r="Q9" s="156"/>
      <c r="R9" s="218">
        <v>45522</v>
      </c>
      <c r="S9" s="235">
        <v>104479</v>
      </c>
      <c r="T9" s="157">
        <f t="shared" si="4"/>
        <v>756.64999999999418</v>
      </c>
      <c r="U9" s="285" t="str">
        <f t="shared" si="5"/>
        <v>B</v>
      </c>
      <c r="V9" s="111"/>
      <c r="W9" s="163" t="str">
        <f t="shared" si="6"/>
        <v>CR11</v>
      </c>
      <c r="X9" s="283">
        <f t="shared" si="7"/>
        <v>250</v>
      </c>
      <c r="Y9" s="159">
        <f t="shared" si="8"/>
        <v>104250</v>
      </c>
      <c r="Z9" s="232">
        <f>'HORÓMETRO SEPTIEMBRE 2024'!AG129</f>
        <v>105235.65</v>
      </c>
      <c r="AA9" s="111"/>
      <c r="AD9" s="56"/>
    </row>
    <row r="10" spans="2:30 16379:16383" x14ac:dyDescent="0.35">
      <c r="B10" s="152" t="s">
        <v>304</v>
      </c>
      <c r="C10" s="133" t="s">
        <v>130</v>
      </c>
      <c r="D10" s="125" t="s">
        <v>263</v>
      </c>
      <c r="E10" s="152" t="s">
        <v>312</v>
      </c>
      <c r="F10" s="125" t="s">
        <v>211</v>
      </c>
      <c r="G10" s="153" t="s">
        <v>316</v>
      </c>
      <c r="H10" s="130" t="s">
        <v>313</v>
      </c>
      <c r="I10" s="111"/>
      <c r="J10" s="282">
        <f t="shared" si="0"/>
        <v>500</v>
      </c>
      <c r="K10" s="211">
        <v>87500</v>
      </c>
      <c r="L10" s="212">
        <v>87482</v>
      </c>
      <c r="M10" s="214">
        <v>45330</v>
      </c>
      <c r="N10" s="154">
        <f t="shared" si="1"/>
        <v>222.19000000000233</v>
      </c>
      <c r="O10" s="155">
        <f t="shared" si="2"/>
        <v>0</v>
      </c>
      <c r="P10" s="285" t="str">
        <f t="shared" si="3"/>
        <v>A</v>
      </c>
      <c r="Q10" s="156"/>
      <c r="R10" s="218">
        <v>45330</v>
      </c>
      <c r="S10" s="235">
        <v>87482</v>
      </c>
      <c r="T10" s="157">
        <f t="shared" si="4"/>
        <v>222.19000000000233</v>
      </c>
      <c r="U10" s="285" t="str">
        <f t="shared" si="5"/>
        <v>A</v>
      </c>
      <c r="V10" s="111"/>
      <c r="W10" s="158" t="str">
        <f t="shared" si="6"/>
        <v>TW01</v>
      </c>
      <c r="X10" s="283">
        <f t="shared" si="7"/>
        <v>250</v>
      </c>
      <c r="Y10" s="159">
        <f t="shared" si="8"/>
        <v>87750</v>
      </c>
      <c r="Z10" s="232">
        <f>'HORÓMETRO SEPTIEMBRE 2024'!AG127</f>
        <v>87704.19</v>
      </c>
      <c r="AA10" s="160"/>
      <c r="AD10" s="56"/>
    </row>
    <row r="11" spans="2:30 16379:16383" x14ac:dyDescent="0.35">
      <c r="B11" s="161" t="s">
        <v>285</v>
      </c>
      <c r="C11" s="133" t="s">
        <v>130</v>
      </c>
      <c r="D11" s="125" t="s">
        <v>263</v>
      </c>
      <c r="E11" s="162" t="s">
        <v>310</v>
      </c>
      <c r="F11" s="125" t="s">
        <v>211</v>
      </c>
      <c r="G11" s="153" t="s">
        <v>321</v>
      </c>
      <c r="H11" s="130" t="s">
        <v>313</v>
      </c>
      <c r="I11" s="111"/>
      <c r="J11" s="282">
        <f t="shared" si="0"/>
        <v>500</v>
      </c>
      <c r="K11" s="211">
        <v>101500</v>
      </c>
      <c r="L11" s="212">
        <v>101306</v>
      </c>
      <c r="M11" s="214">
        <v>44788</v>
      </c>
      <c r="N11" s="154">
        <f t="shared" si="1"/>
        <v>170.39999999999418</v>
      </c>
      <c r="O11" s="155">
        <f t="shared" si="2"/>
        <v>0</v>
      </c>
      <c r="P11" s="285" t="str">
        <f t="shared" si="3"/>
        <v>A</v>
      </c>
      <c r="Q11" s="156"/>
      <c r="R11" s="218">
        <v>44788</v>
      </c>
      <c r="S11" s="235">
        <v>101306</v>
      </c>
      <c r="T11" s="157">
        <f t="shared" si="4"/>
        <v>170.39999999999418</v>
      </c>
      <c r="U11" s="285" t="str">
        <f t="shared" si="5"/>
        <v>A</v>
      </c>
      <c r="V11" s="111"/>
      <c r="W11" s="163" t="str">
        <f t="shared" si="6"/>
        <v>CR14</v>
      </c>
      <c r="X11" s="283">
        <f t="shared" si="7"/>
        <v>250</v>
      </c>
      <c r="Y11" s="159">
        <f t="shared" si="8"/>
        <v>101750</v>
      </c>
      <c r="Z11" s="232">
        <f>'HORÓMETRO SEPTIEMBRE 2024'!AG132</f>
        <v>101476.4</v>
      </c>
      <c r="AA11" s="111"/>
      <c r="AD11" s="56"/>
    </row>
    <row r="12" spans="2:30 16379:16383" x14ac:dyDescent="0.35">
      <c r="B12" s="161" t="s">
        <v>272</v>
      </c>
      <c r="C12" s="133" t="s">
        <v>130</v>
      </c>
      <c r="D12" s="125" t="s">
        <v>263</v>
      </c>
      <c r="E12" s="162" t="s">
        <v>310</v>
      </c>
      <c r="F12" s="125" t="s">
        <v>211</v>
      </c>
      <c r="G12" s="153" t="s">
        <v>317</v>
      </c>
      <c r="H12" s="130" t="s">
        <v>313</v>
      </c>
      <c r="I12" s="111"/>
      <c r="J12" s="282">
        <f t="shared" si="0"/>
        <v>500</v>
      </c>
      <c r="K12" s="211">
        <v>102500</v>
      </c>
      <c r="L12" s="212">
        <v>102048</v>
      </c>
      <c r="M12" s="214">
        <v>45491</v>
      </c>
      <c r="N12" s="154">
        <f t="shared" si="1"/>
        <v>198.75999999999476</v>
      </c>
      <c r="O12" s="155">
        <f t="shared" si="2"/>
        <v>0</v>
      </c>
      <c r="P12" s="285" t="str">
        <f t="shared" si="3"/>
        <v>B</v>
      </c>
      <c r="Q12" s="156"/>
      <c r="R12" s="218">
        <v>45491</v>
      </c>
      <c r="S12" s="235">
        <v>102048</v>
      </c>
      <c r="T12" s="157">
        <f t="shared" si="4"/>
        <v>198.75999999999476</v>
      </c>
      <c r="U12" s="285" t="str">
        <f t="shared" si="5"/>
        <v>B</v>
      </c>
      <c r="V12" s="111"/>
      <c r="W12" s="163" t="str">
        <f t="shared" si="6"/>
        <v>CR13</v>
      </c>
      <c r="X12" s="283">
        <f t="shared" si="7"/>
        <v>250</v>
      </c>
      <c r="Y12" s="159">
        <f t="shared" si="8"/>
        <v>102750</v>
      </c>
      <c r="Z12" s="232">
        <f>'HORÓMETRO SEPTIEMBRE 2024'!AG131</f>
        <v>102246.76</v>
      </c>
      <c r="AA12" s="111"/>
      <c r="AD12" s="56"/>
    </row>
    <row r="13" spans="2:30 16379:16383" x14ac:dyDescent="0.35">
      <c r="B13" s="161" t="s">
        <v>274</v>
      </c>
      <c r="C13" s="133" t="s">
        <v>130</v>
      </c>
      <c r="D13" s="125" t="s">
        <v>263</v>
      </c>
      <c r="E13" s="162" t="s">
        <v>310</v>
      </c>
      <c r="F13" s="125" t="s">
        <v>211</v>
      </c>
      <c r="G13" s="153" t="s">
        <v>318</v>
      </c>
      <c r="H13" s="130" t="s">
        <v>313</v>
      </c>
      <c r="I13" s="111"/>
      <c r="J13" s="282">
        <f t="shared" si="0"/>
        <v>250</v>
      </c>
      <c r="K13" s="211">
        <v>102750</v>
      </c>
      <c r="L13" s="212">
        <v>102811</v>
      </c>
      <c r="M13" s="214">
        <v>45375</v>
      </c>
      <c r="N13" s="154">
        <f t="shared" si="1"/>
        <v>106.41000000000349</v>
      </c>
      <c r="O13" s="155">
        <f t="shared" si="2"/>
        <v>0</v>
      </c>
      <c r="P13" s="285" t="str">
        <f t="shared" si="3"/>
        <v>A</v>
      </c>
      <c r="Q13" s="156"/>
      <c r="R13" s="218">
        <v>45375</v>
      </c>
      <c r="S13" s="235">
        <v>102811</v>
      </c>
      <c r="T13" s="157">
        <f t="shared" si="4"/>
        <v>106.41000000000349</v>
      </c>
      <c r="U13" s="285" t="str">
        <f t="shared" si="5"/>
        <v>A</v>
      </c>
      <c r="V13" s="111"/>
      <c r="W13" s="163" t="str">
        <f t="shared" si="6"/>
        <v>CR12</v>
      </c>
      <c r="X13" s="283">
        <f t="shared" si="7"/>
        <v>1000</v>
      </c>
      <c r="Y13" s="159">
        <f t="shared" si="8"/>
        <v>103000</v>
      </c>
      <c r="Z13" s="232">
        <f>'HORÓMETRO SEPTIEMBRE 2024'!AG130</f>
        <v>102917.41</v>
      </c>
      <c r="AA13" s="111"/>
      <c r="AD13" s="56"/>
    </row>
    <row r="14" spans="2:30 16379:16383" x14ac:dyDescent="0.35">
      <c r="B14" s="161" t="s">
        <v>308</v>
      </c>
      <c r="C14" s="133" t="s">
        <v>130</v>
      </c>
      <c r="D14" s="125" t="s">
        <v>263</v>
      </c>
      <c r="E14" s="162" t="s">
        <v>310</v>
      </c>
      <c r="F14" s="125" t="s">
        <v>211</v>
      </c>
      <c r="G14" s="153" t="s">
        <v>323</v>
      </c>
      <c r="H14" s="130" t="s">
        <v>313</v>
      </c>
      <c r="I14" s="111"/>
      <c r="J14" s="282">
        <f t="shared" si="0"/>
        <v>5000</v>
      </c>
      <c r="K14" s="211">
        <v>100000</v>
      </c>
      <c r="L14" s="212">
        <v>100000</v>
      </c>
      <c r="M14" s="214"/>
      <c r="N14" s="154">
        <f t="shared" si="1"/>
        <v>0</v>
      </c>
      <c r="O14" s="155">
        <f t="shared" si="2"/>
        <v>0</v>
      </c>
      <c r="P14" s="285" t="str">
        <f t="shared" si="3"/>
        <v/>
      </c>
      <c r="Q14" s="156"/>
      <c r="R14" s="218"/>
      <c r="S14" s="235">
        <v>100000</v>
      </c>
      <c r="T14" s="157">
        <f t="shared" si="4"/>
        <v>0</v>
      </c>
      <c r="U14" s="285" t="str">
        <f t="shared" si="5"/>
        <v/>
      </c>
      <c r="V14" s="111"/>
      <c r="W14" s="161" t="str">
        <f t="shared" si="6"/>
        <v>CR16</v>
      </c>
      <c r="X14" s="283">
        <f t="shared" si="7"/>
        <v>250</v>
      </c>
      <c r="Y14" s="159">
        <f t="shared" si="8"/>
        <v>100250</v>
      </c>
      <c r="Z14" s="233">
        <f>'HORÓMETRO SEPTIEMBRE 2024'!AG134</f>
        <v>100000</v>
      </c>
      <c r="AA14" s="111"/>
      <c r="AD14" s="56"/>
    </row>
    <row r="15" spans="2:30 16379:16383" ht="15" thickBot="1" x14ac:dyDescent="0.4">
      <c r="B15" s="244" t="s">
        <v>306</v>
      </c>
      <c r="C15" s="164" t="s">
        <v>130</v>
      </c>
      <c r="D15" s="165" t="s">
        <v>263</v>
      </c>
      <c r="E15" s="245" t="s">
        <v>310</v>
      </c>
      <c r="F15" s="165" t="s">
        <v>211</v>
      </c>
      <c r="G15" s="166" t="s">
        <v>319</v>
      </c>
      <c r="H15" s="167" t="s">
        <v>313</v>
      </c>
      <c r="I15" s="111"/>
      <c r="J15" s="284">
        <f t="shared" si="0"/>
        <v>5000</v>
      </c>
      <c r="K15" s="216">
        <v>100000</v>
      </c>
      <c r="L15" s="217">
        <v>100000</v>
      </c>
      <c r="M15" s="215"/>
      <c r="N15" s="168">
        <f t="shared" si="1"/>
        <v>0</v>
      </c>
      <c r="O15" s="169">
        <f t="shared" si="2"/>
        <v>0</v>
      </c>
      <c r="P15" s="287" t="str">
        <f t="shared" si="3"/>
        <v/>
      </c>
      <c r="Q15" s="156"/>
      <c r="R15" s="219"/>
      <c r="S15" s="236">
        <v>100000</v>
      </c>
      <c r="T15" s="170">
        <f t="shared" si="4"/>
        <v>0</v>
      </c>
      <c r="U15" s="287" t="str">
        <f t="shared" si="5"/>
        <v/>
      </c>
      <c r="V15" s="111"/>
      <c r="W15" s="246" t="str">
        <f t="shared" si="6"/>
        <v>CR15</v>
      </c>
      <c r="X15" s="292">
        <f t="shared" si="7"/>
        <v>250</v>
      </c>
      <c r="Y15" s="171">
        <f t="shared" si="8"/>
        <v>100250</v>
      </c>
      <c r="Z15" s="234">
        <f>'HORÓMETRO SEPTIEMBRE 2024'!AG133</f>
        <v>100000</v>
      </c>
      <c r="AA15" s="111"/>
      <c r="AD15" s="56"/>
    </row>
    <row r="16" spans="2:30 16379:16383" x14ac:dyDescent="0.35">
      <c r="B16" s="172" t="s">
        <v>273</v>
      </c>
      <c r="C16" s="173" t="s">
        <v>130</v>
      </c>
      <c r="D16" s="172" t="s">
        <v>263</v>
      </c>
      <c r="E16" s="276" t="s">
        <v>311</v>
      </c>
      <c r="F16" s="172" t="s">
        <v>211</v>
      </c>
      <c r="G16" s="277" t="s">
        <v>318</v>
      </c>
      <c r="H16" s="278" t="s">
        <v>313</v>
      </c>
      <c r="I16" s="111"/>
      <c r="J16" s="174">
        <f t="shared" ref="J16:J42" si="9">IF(K16="","",CHOOSE(MOD(INT((K16-250)/250),20)+1,250,500,250,1000,250,500,250,2000,250,500,250,1000,250,500,250,2000,250,500,250,5000))</f>
        <v>250</v>
      </c>
      <c r="K16" s="175">
        <v>112250</v>
      </c>
      <c r="L16" s="176">
        <v>112114</v>
      </c>
      <c r="M16" s="177">
        <v>42995</v>
      </c>
      <c r="N16" s="178">
        <f t="shared" ref="N16:N34" si="10">Z16-L16</f>
        <v>231</v>
      </c>
      <c r="O16" s="179">
        <f t="shared" ref="O16:O44" si="11">IF(N16 &lt; 250, 0, (N16 - 250) / 250)</f>
        <v>0</v>
      </c>
      <c r="P16" s="288" t="str">
        <f t="shared" ref="P16:P44" si="12">IF(M16="","",IF(MOD(WEEKNUM(M16,12),2)=1,"A","B"))</f>
        <v>B</v>
      </c>
      <c r="Q16" s="180"/>
      <c r="R16" s="181">
        <v>42995</v>
      </c>
      <c r="S16" s="182">
        <v>112114</v>
      </c>
      <c r="T16" s="183">
        <f t="shared" ref="T16" si="13">Z16-S16</f>
        <v>231</v>
      </c>
      <c r="U16" s="288" t="str">
        <f t="shared" ref="U16" si="14">IF(R16="","",IF(MOD(WEEKNUM(M16,12),2)=1,"A","B"))</f>
        <v>B</v>
      </c>
      <c r="V16" s="184"/>
      <c r="W16" s="185" t="str">
        <f t="shared" ref="W16:W44" si="15">B16</f>
        <v>CA03</v>
      </c>
      <c r="X16" s="291">
        <f t="shared" ref="X16:X44" si="16">IF(Y16="","",CHOOSE(MOD(INT((Y16-250)/250), 20) + 1,250,500,250,1000,250,500,250,2000,250,500,250,1000,250,500,250,2000,250,500,250,5000))</f>
        <v>500</v>
      </c>
      <c r="Y16" s="186">
        <f t="shared" ref="Y16:Y44" si="17">IF(K16="","",K16+250)</f>
        <v>112500</v>
      </c>
      <c r="Z16" s="237">
        <f>'HORÓMETRO SEPTIEMBRE 2024'!AG136</f>
        <v>112345</v>
      </c>
      <c r="AA16" s="111"/>
    </row>
    <row r="17" spans="2:27" x14ac:dyDescent="0.35">
      <c r="B17" s="187" t="s">
        <v>275</v>
      </c>
      <c r="C17" s="133" t="s">
        <v>130</v>
      </c>
      <c r="D17" s="187" t="s">
        <v>263</v>
      </c>
      <c r="E17" s="279" t="s">
        <v>311</v>
      </c>
      <c r="F17" s="187" t="s">
        <v>211</v>
      </c>
      <c r="G17" s="280" t="s">
        <v>322</v>
      </c>
      <c r="H17" s="193" t="s">
        <v>313</v>
      </c>
      <c r="I17" s="111"/>
      <c r="J17" s="188">
        <f t="shared" si="9"/>
        <v>250</v>
      </c>
      <c r="K17" s="188">
        <v>104250</v>
      </c>
      <c r="L17" s="189">
        <v>104305</v>
      </c>
      <c r="M17" s="190">
        <v>44319</v>
      </c>
      <c r="N17" s="191">
        <f t="shared" si="10"/>
        <v>178</v>
      </c>
      <c r="O17" s="192">
        <f t="shared" si="11"/>
        <v>0</v>
      </c>
      <c r="P17" s="289" t="str">
        <f t="shared" si="12"/>
        <v>B</v>
      </c>
      <c r="Q17" s="180"/>
      <c r="R17" s="194">
        <v>44319</v>
      </c>
      <c r="S17" s="195">
        <v>104305</v>
      </c>
      <c r="T17" s="183">
        <f t="shared" ref="T17:T44" si="18">Z17-S17</f>
        <v>178</v>
      </c>
      <c r="U17" s="289" t="str">
        <f t="shared" ref="U17:U44" si="19">IF(R17="","",IF(MOD(WEEKNUM(M17,12),2)=1,"A","B"))</f>
        <v>B</v>
      </c>
      <c r="V17" s="184"/>
      <c r="W17" s="196" t="str">
        <f t="shared" si="15"/>
        <v>CR10</v>
      </c>
      <c r="X17" s="290">
        <f t="shared" si="16"/>
        <v>500</v>
      </c>
      <c r="Y17" s="197">
        <f t="shared" si="17"/>
        <v>104500</v>
      </c>
      <c r="Z17" s="238">
        <f>'HORÓMETRO SEPTIEMBRE 2024'!AG137</f>
        <v>104483</v>
      </c>
      <c r="AA17" s="111"/>
    </row>
    <row r="18" spans="2:27" x14ac:dyDescent="0.35">
      <c r="B18" s="187" t="s">
        <v>276</v>
      </c>
      <c r="C18" s="133" t="s">
        <v>130</v>
      </c>
      <c r="D18" s="187" t="s">
        <v>263</v>
      </c>
      <c r="E18" s="279" t="s">
        <v>311</v>
      </c>
      <c r="F18" s="187" t="s">
        <v>211</v>
      </c>
      <c r="G18" s="280" t="s">
        <v>345</v>
      </c>
      <c r="H18" s="193" t="s">
        <v>313</v>
      </c>
      <c r="I18" s="111"/>
      <c r="J18" s="188">
        <f t="shared" si="9"/>
        <v>1000</v>
      </c>
      <c r="K18" s="188">
        <v>108000</v>
      </c>
      <c r="L18" s="189">
        <v>108055</v>
      </c>
      <c r="M18" s="190">
        <v>42385</v>
      </c>
      <c r="N18" s="191">
        <f t="shared" si="10"/>
        <v>2016</v>
      </c>
      <c r="O18" s="192">
        <f t="shared" si="11"/>
        <v>7.0640000000000001</v>
      </c>
      <c r="P18" s="289" t="str">
        <f t="shared" si="12"/>
        <v>A</v>
      </c>
      <c r="Q18" s="180"/>
      <c r="R18" s="194">
        <v>42385</v>
      </c>
      <c r="S18" s="195">
        <v>108055</v>
      </c>
      <c r="T18" s="183">
        <f t="shared" si="18"/>
        <v>2016</v>
      </c>
      <c r="U18" s="289" t="str">
        <f t="shared" si="19"/>
        <v>A</v>
      </c>
      <c r="V18" s="184"/>
      <c r="W18" s="196" t="str">
        <f t="shared" si="15"/>
        <v>CA08</v>
      </c>
      <c r="X18" s="290">
        <f t="shared" si="16"/>
        <v>250</v>
      </c>
      <c r="Y18" s="197">
        <f t="shared" si="17"/>
        <v>108250</v>
      </c>
      <c r="Z18" s="238">
        <f>'HORÓMETRO SEPTIEMBRE 2024'!AG138</f>
        <v>110071</v>
      </c>
      <c r="AA18" s="111"/>
    </row>
    <row r="19" spans="2:27" x14ac:dyDescent="0.35">
      <c r="B19" s="187" t="s">
        <v>277</v>
      </c>
      <c r="C19" s="133" t="s">
        <v>130</v>
      </c>
      <c r="D19" s="187" t="s">
        <v>263</v>
      </c>
      <c r="E19" s="279" t="s">
        <v>311</v>
      </c>
      <c r="F19" s="187" t="s">
        <v>211</v>
      </c>
      <c r="G19" s="280" t="s">
        <v>324</v>
      </c>
      <c r="H19" s="193" t="s">
        <v>313</v>
      </c>
      <c r="I19" s="111"/>
      <c r="J19" s="188">
        <f t="shared" si="9"/>
        <v>500</v>
      </c>
      <c r="K19" s="188">
        <v>107500</v>
      </c>
      <c r="L19" s="189">
        <v>107512</v>
      </c>
      <c r="M19" s="190">
        <v>42384</v>
      </c>
      <c r="N19" s="191">
        <f t="shared" si="10"/>
        <v>2346</v>
      </c>
      <c r="O19" s="192">
        <f t="shared" si="11"/>
        <v>8.3840000000000003</v>
      </c>
      <c r="P19" s="289" t="str">
        <f t="shared" si="12"/>
        <v>A</v>
      </c>
      <c r="Q19" s="180"/>
      <c r="R19" s="194">
        <v>42384</v>
      </c>
      <c r="S19" s="195">
        <v>107512</v>
      </c>
      <c r="T19" s="183">
        <f t="shared" si="18"/>
        <v>2346</v>
      </c>
      <c r="U19" s="289" t="str">
        <f t="shared" si="19"/>
        <v>A</v>
      </c>
      <c r="V19" s="184"/>
      <c r="W19" s="196" t="str">
        <f t="shared" si="15"/>
        <v>CA09</v>
      </c>
      <c r="X19" s="290">
        <f t="shared" si="16"/>
        <v>250</v>
      </c>
      <c r="Y19" s="197">
        <f t="shared" si="17"/>
        <v>107750</v>
      </c>
      <c r="Z19" s="238">
        <f>'HORÓMETRO SEPTIEMBRE 2024'!AG139</f>
        <v>109858</v>
      </c>
      <c r="AA19" s="111"/>
    </row>
    <row r="20" spans="2:27" x14ac:dyDescent="0.35">
      <c r="B20" s="187" t="s">
        <v>278</v>
      </c>
      <c r="C20" s="133" t="s">
        <v>130</v>
      </c>
      <c r="D20" s="187" t="s">
        <v>263</v>
      </c>
      <c r="E20" s="279" t="s">
        <v>311</v>
      </c>
      <c r="F20" s="187" t="s">
        <v>211</v>
      </c>
      <c r="G20" s="280" t="s">
        <v>325</v>
      </c>
      <c r="H20" s="193" t="s">
        <v>313</v>
      </c>
      <c r="I20" s="111"/>
      <c r="J20" s="188">
        <f t="shared" si="9"/>
        <v>250</v>
      </c>
      <c r="K20" s="188">
        <v>103250</v>
      </c>
      <c r="L20" s="189">
        <v>103266</v>
      </c>
      <c r="M20" s="190">
        <v>42291</v>
      </c>
      <c r="N20" s="191">
        <f t="shared" si="10"/>
        <v>158</v>
      </c>
      <c r="O20" s="192">
        <f t="shared" si="11"/>
        <v>0</v>
      </c>
      <c r="P20" s="289" t="str">
        <f t="shared" si="12"/>
        <v>B</v>
      </c>
      <c r="Q20" s="180"/>
      <c r="R20" s="194">
        <v>42291</v>
      </c>
      <c r="S20" s="195">
        <v>103266</v>
      </c>
      <c r="T20" s="183">
        <f t="shared" si="18"/>
        <v>158</v>
      </c>
      <c r="U20" s="289" t="str">
        <f t="shared" si="19"/>
        <v>B</v>
      </c>
      <c r="V20" s="184"/>
      <c r="W20" s="196" t="str">
        <f t="shared" si="15"/>
        <v>CA11</v>
      </c>
      <c r="X20" s="290">
        <f t="shared" si="16"/>
        <v>500</v>
      </c>
      <c r="Y20" s="197">
        <f t="shared" si="17"/>
        <v>103500</v>
      </c>
      <c r="Z20" s="238">
        <f>'HORÓMETRO SEPTIEMBRE 2024'!AG140</f>
        <v>103424</v>
      </c>
      <c r="AA20" s="111"/>
    </row>
    <row r="21" spans="2:27" x14ac:dyDescent="0.35">
      <c r="B21" s="187" t="s">
        <v>279</v>
      </c>
      <c r="C21" s="133" t="s">
        <v>130</v>
      </c>
      <c r="D21" s="187" t="s">
        <v>263</v>
      </c>
      <c r="E21" s="279" t="s">
        <v>311</v>
      </c>
      <c r="F21" s="187" t="s">
        <v>211</v>
      </c>
      <c r="G21" s="280" t="s">
        <v>326</v>
      </c>
      <c r="H21" s="193" t="s">
        <v>313</v>
      </c>
      <c r="I21" s="111"/>
      <c r="J21" s="188">
        <f t="shared" si="9"/>
        <v>500</v>
      </c>
      <c r="K21" s="188">
        <v>106500</v>
      </c>
      <c r="L21" s="189">
        <v>106851</v>
      </c>
      <c r="M21" s="190">
        <v>44723</v>
      </c>
      <c r="N21" s="191">
        <f t="shared" si="10"/>
        <v>7</v>
      </c>
      <c r="O21" s="192">
        <f t="shared" si="11"/>
        <v>0</v>
      </c>
      <c r="P21" s="289" t="str">
        <f t="shared" si="12"/>
        <v>B</v>
      </c>
      <c r="Q21" s="180"/>
      <c r="R21" s="194">
        <v>44723</v>
      </c>
      <c r="S21" s="195">
        <v>106851</v>
      </c>
      <c r="T21" s="183">
        <f t="shared" si="18"/>
        <v>7</v>
      </c>
      <c r="U21" s="289" t="str">
        <f t="shared" si="19"/>
        <v>B</v>
      </c>
      <c r="V21" s="184"/>
      <c r="W21" s="196" t="str">
        <f t="shared" si="15"/>
        <v>CA12</v>
      </c>
      <c r="X21" s="290">
        <f t="shared" si="16"/>
        <v>250</v>
      </c>
      <c r="Y21" s="197">
        <f t="shared" si="17"/>
        <v>106750</v>
      </c>
      <c r="Z21" s="238">
        <f>'HORÓMETRO SEPTIEMBRE 2024'!AG141</f>
        <v>106858</v>
      </c>
      <c r="AA21" s="111"/>
    </row>
    <row r="22" spans="2:27" x14ac:dyDescent="0.35">
      <c r="B22" s="187" t="s">
        <v>280</v>
      </c>
      <c r="C22" s="133" t="s">
        <v>130</v>
      </c>
      <c r="D22" s="187" t="s">
        <v>263</v>
      </c>
      <c r="E22" s="279" t="s">
        <v>311</v>
      </c>
      <c r="F22" s="187" t="s">
        <v>211</v>
      </c>
      <c r="G22" s="280" t="s">
        <v>327</v>
      </c>
      <c r="H22" s="193" t="s">
        <v>313</v>
      </c>
      <c r="I22" s="111"/>
      <c r="J22" s="188">
        <f t="shared" si="9"/>
        <v>250</v>
      </c>
      <c r="K22" s="188">
        <v>104250</v>
      </c>
      <c r="L22" s="189">
        <v>104081</v>
      </c>
      <c r="M22" s="190">
        <v>42295</v>
      </c>
      <c r="N22" s="191">
        <f t="shared" si="10"/>
        <v>229</v>
      </c>
      <c r="O22" s="192">
        <f t="shared" si="11"/>
        <v>0</v>
      </c>
      <c r="P22" s="289" t="str">
        <f t="shared" si="12"/>
        <v>B</v>
      </c>
      <c r="Q22" s="180"/>
      <c r="R22" s="194">
        <v>42295</v>
      </c>
      <c r="S22" s="195">
        <v>104081</v>
      </c>
      <c r="T22" s="183">
        <f t="shared" si="18"/>
        <v>229</v>
      </c>
      <c r="U22" s="289" t="str">
        <f t="shared" si="19"/>
        <v>B</v>
      </c>
      <c r="V22" s="184"/>
      <c r="W22" s="196" t="str">
        <f t="shared" si="15"/>
        <v>CA15</v>
      </c>
      <c r="X22" s="290">
        <f t="shared" si="16"/>
        <v>500</v>
      </c>
      <c r="Y22" s="197">
        <f t="shared" si="17"/>
        <v>104500</v>
      </c>
      <c r="Z22" s="238">
        <f>'HORÓMETRO SEPTIEMBRE 2024'!AG142</f>
        <v>104310</v>
      </c>
      <c r="AA22" s="111"/>
    </row>
    <row r="23" spans="2:27" x14ac:dyDescent="0.35">
      <c r="B23" s="187" t="s">
        <v>281</v>
      </c>
      <c r="C23" s="133" t="s">
        <v>130</v>
      </c>
      <c r="D23" s="187" t="s">
        <v>263</v>
      </c>
      <c r="E23" s="279" t="s">
        <v>311</v>
      </c>
      <c r="F23" s="187" t="s">
        <v>211</v>
      </c>
      <c r="G23" s="280" t="s">
        <v>328</v>
      </c>
      <c r="H23" s="193" t="s">
        <v>313</v>
      </c>
      <c r="I23" s="111"/>
      <c r="J23" s="188">
        <f t="shared" si="9"/>
        <v>250</v>
      </c>
      <c r="K23" s="188">
        <v>103750</v>
      </c>
      <c r="L23" s="189">
        <v>103591</v>
      </c>
      <c r="M23" s="190">
        <v>42293</v>
      </c>
      <c r="N23" s="191">
        <f t="shared" si="10"/>
        <v>223</v>
      </c>
      <c r="O23" s="192">
        <f t="shared" si="11"/>
        <v>0</v>
      </c>
      <c r="P23" s="289" t="str">
        <f t="shared" si="12"/>
        <v>B</v>
      </c>
      <c r="Q23" s="180"/>
      <c r="R23" s="194">
        <v>42293</v>
      </c>
      <c r="S23" s="195">
        <v>103591</v>
      </c>
      <c r="T23" s="183">
        <f t="shared" si="18"/>
        <v>223</v>
      </c>
      <c r="U23" s="289" t="str">
        <f t="shared" si="19"/>
        <v>B</v>
      </c>
      <c r="V23" s="184"/>
      <c r="W23" s="196" t="str">
        <f t="shared" si="15"/>
        <v>CA16</v>
      </c>
      <c r="X23" s="290">
        <f t="shared" si="16"/>
        <v>2000</v>
      </c>
      <c r="Y23" s="197">
        <f t="shared" si="17"/>
        <v>104000</v>
      </c>
      <c r="Z23" s="238">
        <f>'HORÓMETRO SEPTIEMBRE 2024'!AG143</f>
        <v>103814</v>
      </c>
      <c r="AA23" s="111"/>
    </row>
    <row r="24" spans="2:27" x14ac:dyDescent="0.35">
      <c r="B24" s="187" t="s">
        <v>282</v>
      </c>
      <c r="C24" s="133" t="s">
        <v>130</v>
      </c>
      <c r="D24" s="187" t="s">
        <v>263</v>
      </c>
      <c r="E24" s="279" t="s">
        <v>311</v>
      </c>
      <c r="F24" s="187" t="s">
        <v>211</v>
      </c>
      <c r="G24" s="280" t="s">
        <v>329</v>
      </c>
      <c r="H24" s="193" t="s">
        <v>313</v>
      </c>
      <c r="I24" s="111"/>
      <c r="J24" s="188">
        <f t="shared" si="9"/>
        <v>500</v>
      </c>
      <c r="K24" s="188">
        <v>99500</v>
      </c>
      <c r="L24" s="189">
        <v>99107</v>
      </c>
      <c r="M24" s="190">
        <v>42504</v>
      </c>
      <c r="N24" s="191">
        <f t="shared" si="10"/>
        <v>449</v>
      </c>
      <c r="O24" s="192">
        <f t="shared" si="11"/>
        <v>0.79600000000000004</v>
      </c>
      <c r="P24" s="289" t="str">
        <f t="shared" si="12"/>
        <v>B</v>
      </c>
      <c r="Q24" s="180"/>
      <c r="R24" s="194">
        <v>42504</v>
      </c>
      <c r="S24" s="195">
        <v>99107</v>
      </c>
      <c r="T24" s="183">
        <f t="shared" si="18"/>
        <v>449</v>
      </c>
      <c r="U24" s="289" t="str">
        <f t="shared" si="19"/>
        <v>B</v>
      </c>
      <c r="V24" s="184"/>
      <c r="W24" s="196" t="str">
        <f t="shared" si="15"/>
        <v>CA17</v>
      </c>
      <c r="X24" s="290">
        <f t="shared" si="16"/>
        <v>250</v>
      </c>
      <c r="Y24" s="197">
        <f t="shared" si="17"/>
        <v>99750</v>
      </c>
      <c r="Z24" s="238">
        <f>'HORÓMETRO SEPTIEMBRE 2024'!AG144</f>
        <v>99556</v>
      </c>
      <c r="AA24" s="111"/>
    </row>
    <row r="25" spans="2:27" x14ac:dyDescent="0.35">
      <c r="B25" s="187" t="s">
        <v>283</v>
      </c>
      <c r="C25" s="133" t="s">
        <v>130</v>
      </c>
      <c r="D25" s="187" t="s">
        <v>263</v>
      </c>
      <c r="E25" s="279" t="s">
        <v>311</v>
      </c>
      <c r="F25" s="187" t="s">
        <v>211</v>
      </c>
      <c r="G25" s="280" t="s">
        <v>330</v>
      </c>
      <c r="H25" s="193" t="s">
        <v>313</v>
      </c>
      <c r="I25" s="111"/>
      <c r="J25" s="188">
        <f t="shared" si="9"/>
        <v>500</v>
      </c>
      <c r="K25" s="188">
        <v>104500</v>
      </c>
      <c r="L25" s="189">
        <v>104667</v>
      </c>
      <c r="M25" s="190">
        <v>42313</v>
      </c>
      <c r="N25" s="191">
        <f t="shared" si="10"/>
        <v>3700</v>
      </c>
      <c r="O25" s="192">
        <f t="shared" si="11"/>
        <v>13.8</v>
      </c>
      <c r="P25" s="289" t="str">
        <f t="shared" si="12"/>
        <v>A</v>
      </c>
      <c r="Q25" s="180"/>
      <c r="R25" s="194">
        <v>42313</v>
      </c>
      <c r="S25" s="195">
        <v>104667</v>
      </c>
      <c r="T25" s="183">
        <f t="shared" si="18"/>
        <v>3700</v>
      </c>
      <c r="U25" s="289" t="str">
        <f t="shared" si="19"/>
        <v>A</v>
      </c>
      <c r="V25" s="184"/>
      <c r="W25" s="196" t="str">
        <f t="shared" si="15"/>
        <v>CA18</v>
      </c>
      <c r="X25" s="290">
        <f t="shared" si="16"/>
        <v>250</v>
      </c>
      <c r="Y25" s="197">
        <f t="shared" si="17"/>
        <v>104750</v>
      </c>
      <c r="Z25" s="238">
        <f>'HORÓMETRO SEPTIEMBRE 2024'!AG145</f>
        <v>108367</v>
      </c>
      <c r="AA25" s="111"/>
    </row>
    <row r="26" spans="2:27" x14ac:dyDescent="0.35">
      <c r="B26" s="187" t="s">
        <v>284</v>
      </c>
      <c r="C26" s="133" t="s">
        <v>130</v>
      </c>
      <c r="D26" s="187" t="s">
        <v>263</v>
      </c>
      <c r="E26" s="279" t="s">
        <v>311</v>
      </c>
      <c r="F26" s="187" t="s">
        <v>211</v>
      </c>
      <c r="G26" s="280" t="s">
        <v>331</v>
      </c>
      <c r="H26" s="193" t="s">
        <v>313</v>
      </c>
      <c r="I26" s="111"/>
      <c r="J26" s="188">
        <f t="shared" si="9"/>
        <v>250</v>
      </c>
      <c r="K26" s="188">
        <v>104250</v>
      </c>
      <c r="L26" s="189">
        <v>104055</v>
      </c>
      <c r="M26" s="190">
        <v>42292</v>
      </c>
      <c r="N26" s="191">
        <f t="shared" si="10"/>
        <v>146</v>
      </c>
      <c r="O26" s="192">
        <f t="shared" si="11"/>
        <v>0</v>
      </c>
      <c r="P26" s="289" t="str">
        <f t="shared" si="12"/>
        <v>B</v>
      </c>
      <c r="Q26" s="180"/>
      <c r="R26" s="194">
        <v>42292</v>
      </c>
      <c r="S26" s="195">
        <v>104055</v>
      </c>
      <c r="T26" s="183">
        <f t="shared" si="18"/>
        <v>146</v>
      </c>
      <c r="U26" s="289" t="str">
        <f t="shared" si="19"/>
        <v>B</v>
      </c>
      <c r="V26" s="184"/>
      <c r="W26" s="196" t="str">
        <f t="shared" si="15"/>
        <v>CA20</v>
      </c>
      <c r="X26" s="290">
        <f t="shared" si="16"/>
        <v>500</v>
      </c>
      <c r="Y26" s="197">
        <f t="shared" si="17"/>
        <v>104500</v>
      </c>
      <c r="Z26" s="238">
        <f>'HORÓMETRO SEPTIEMBRE 2024'!AG146</f>
        <v>104201</v>
      </c>
      <c r="AA26" s="111"/>
    </row>
    <row r="27" spans="2:27" x14ac:dyDescent="0.35">
      <c r="B27" s="187" t="s">
        <v>286</v>
      </c>
      <c r="C27" s="133" t="s">
        <v>130</v>
      </c>
      <c r="D27" s="187" t="s">
        <v>263</v>
      </c>
      <c r="E27" s="279" t="s">
        <v>311</v>
      </c>
      <c r="F27" s="187" t="s">
        <v>211</v>
      </c>
      <c r="G27" s="280" t="s">
        <v>332</v>
      </c>
      <c r="H27" s="193" t="s">
        <v>313</v>
      </c>
      <c r="I27" s="111"/>
      <c r="J27" s="188">
        <f t="shared" si="9"/>
        <v>250</v>
      </c>
      <c r="K27" s="188">
        <v>101250</v>
      </c>
      <c r="L27" s="189">
        <v>101344</v>
      </c>
      <c r="M27" s="190">
        <v>42068</v>
      </c>
      <c r="N27" s="191">
        <f t="shared" si="10"/>
        <v>428</v>
      </c>
      <c r="O27" s="192">
        <f t="shared" si="11"/>
        <v>0.71199999999999997</v>
      </c>
      <c r="P27" s="289" t="str">
        <f t="shared" si="12"/>
        <v>B</v>
      </c>
      <c r="Q27" s="180"/>
      <c r="R27" s="194">
        <v>42068</v>
      </c>
      <c r="S27" s="195">
        <v>101344</v>
      </c>
      <c r="T27" s="183">
        <f t="shared" si="18"/>
        <v>428</v>
      </c>
      <c r="U27" s="289" t="str">
        <f t="shared" si="19"/>
        <v>B</v>
      </c>
      <c r="V27" s="184"/>
      <c r="W27" s="196" t="str">
        <f t="shared" si="15"/>
        <v>CA22</v>
      </c>
      <c r="X27" s="290">
        <f t="shared" si="16"/>
        <v>500</v>
      </c>
      <c r="Y27" s="197">
        <f t="shared" si="17"/>
        <v>101500</v>
      </c>
      <c r="Z27" s="238">
        <f>'HORÓMETRO SEPTIEMBRE 2024'!AG147</f>
        <v>101772</v>
      </c>
      <c r="AA27" s="111"/>
    </row>
    <row r="28" spans="2:27" x14ac:dyDescent="0.35">
      <c r="B28" s="187" t="s">
        <v>287</v>
      </c>
      <c r="C28" s="133" t="s">
        <v>130</v>
      </c>
      <c r="D28" s="187" t="s">
        <v>263</v>
      </c>
      <c r="E28" s="279" t="s">
        <v>311</v>
      </c>
      <c r="F28" s="187" t="s">
        <v>211</v>
      </c>
      <c r="G28" s="280" t="s">
        <v>333</v>
      </c>
      <c r="H28" s="193" t="s">
        <v>313</v>
      </c>
      <c r="I28" s="111"/>
      <c r="J28" s="188">
        <f t="shared" si="9"/>
        <v>1000</v>
      </c>
      <c r="K28" s="188">
        <v>103000</v>
      </c>
      <c r="L28" s="189">
        <v>103549</v>
      </c>
      <c r="M28" s="190">
        <v>42288</v>
      </c>
      <c r="N28" s="191">
        <f t="shared" si="10"/>
        <v>239</v>
      </c>
      <c r="O28" s="192">
        <f t="shared" si="11"/>
        <v>0</v>
      </c>
      <c r="P28" s="289" t="str">
        <f t="shared" si="12"/>
        <v>A</v>
      </c>
      <c r="Q28" s="180"/>
      <c r="R28" s="194">
        <v>42288</v>
      </c>
      <c r="S28" s="195">
        <v>103549</v>
      </c>
      <c r="T28" s="183">
        <f t="shared" si="18"/>
        <v>239</v>
      </c>
      <c r="U28" s="289" t="str">
        <f t="shared" si="19"/>
        <v>A</v>
      </c>
      <c r="V28" s="184"/>
      <c r="W28" s="196" t="str">
        <f t="shared" si="15"/>
        <v>CA23</v>
      </c>
      <c r="X28" s="290">
        <f t="shared" si="16"/>
        <v>250</v>
      </c>
      <c r="Y28" s="197">
        <f t="shared" si="17"/>
        <v>103250</v>
      </c>
      <c r="Z28" s="238">
        <f>'HORÓMETRO SEPTIEMBRE 2024'!AG148</f>
        <v>103788</v>
      </c>
      <c r="AA28" s="111"/>
    </row>
    <row r="29" spans="2:27" x14ac:dyDescent="0.35">
      <c r="B29" s="187" t="s">
        <v>288</v>
      </c>
      <c r="C29" s="133" t="s">
        <v>130</v>
      </c>
      <c r="D29" s="187" t="s">
        <v>263</v>
      </c>
      <c r="E29" s="279" t="s">
        <v>311</v>
      </c>
      <c r="F29" s="187" t="s">
        <v>211</v>
      </c>
      <c r="G29" s="280" t="s">
        <v>334</v>
      </c>
      <c r="H29" s="193" t="s">
        <v>313</v>
      </c>
      <c r="I29" s="111"/>
      <c r="J29" s="188">
        <f t="shared" si="9"/>
        <v>250</v>
      </c>
      <c r="K29" s="188">
        <v>100750</v>
      </c>
      <c r="L29" s="189">
        <v>100786</v>
      </c>
      <c r="M29" s="190">
        <v>42344</v>
      </c>
      <c r="N29" s="191">
        <f t="shared" si="10"/>
        <v>1871</v>
      </c>
      <c r="O29" s="192">
        <f t="shared" si="11"/>
        <v>6.484</v>
      </c>
      <c r="P29" s="289" t="str">
        <f t="shared" si="12"/>
        <v>A</v>
      </c>
      <c r="Q29" s="180"/>
      <c r="R29" s="194">
        <v>42344</v>
      </c>
      <c r="S29" s="195">
        <v>100786</v>
      </c>
      <c r="T29" s="183">
        <f t="shared" si="18"/>
        <v>1871</v>
      </c>
      <c r="U29" s="289" t="str">
        <f t="shared" si="19"/>
        <v>A</v>
      </c>
      <c r="V29" s="184"/>
      <c r="W29" s="196" t="str">
        <f t="shared" si="15"/>
        <v>CA24</v>
      </c>
      <c r="X29" s="290">
        <f t="shared" si="16"/>
        <v>1000</v>
      </c>
      <c r="Y29" s="197">
        <f t="shared" si="17"/>
        <v>101000</v>
      </c>
      <c r="Z29" s="238">
        <f>'HORÓMETRO SEPTIEMBRE 2024'!AG149</f>
        <v>102657</v>
      </c>
      <c r="AA29" s="111"/>
    </row>
    <row r="30" spans="2:27" x14ac:dyDescent="0.35">
      <c r="B30" s="187" t="s">
        <v>289</v>
      </c>
      <c r="C30" s="133" t="s">
        <v>130</v>
      </c>
      <c r="D30" s="187" t="s">
        <v>263</v>
      </c>
      <c r="E30" s="279" t="s">
        <v>311</v>
      </c>
      <c r="F30" s="187" t="s">
        <v>211</v>
      </c>
      <c r="G30" s="280" t="s">
        <v>335</v>
      </c>
      <c r="H30" s="193" t="s">
        <v>313</v>
      </c>
      <c r="I30" s="111"/>
      <c r="J30" s="188">
        <f t="shared" si="9"/>
        <v>2000</v>
      </c>
      <c r="K30" s="188">
        <v>107000</v>
      </c>
      <c r="L30" s="189">
        <v>106936</v>
      </c>
      <c r="M30" s="190">
        <v>42477</v>
      </c>
      <c r="N30" s="191">
        <f t="shared" si="10"/>
        <v>608</v>
      </c>
      <c r="O30" s="192">
        <f t="shared" si="11"/>
        <v>1.4319999999999999</v>
      </c>
      <c r="P30" s="289" t="str">
        <f t="shared" si="12"/>
        <v>B</v>
      </c>
      <c r="Q30" s="180"/>
      <c r="R30" s="194">
        <v>42477</v>
      </c>
      <c r="S30" s="195">
        <v>106936</v>
      </c>
      <c r="T30" s="183">
        <f t="shared" si="18"/>
        <v>608</v>
      </c>
      <c r="U30" s="289" t="str">
        <f t="shared" si="19"/>
        <v>B</v>
      </c>
      <c r="V30" s="184"/>
      <c r="W30" s="196" t="str">
        <f t="shared" si="15"/>
        <v>CA25</v>
      </c>
      <c r="X30" s="290">
        <f t="shared" si="16"/>
        <v>250</v>
      </c>
      <c r="Y30" s="197">
        <f t="shared" si="17"/>
        <v>107250</v>
      </c>
      <c r="Z30" s="238">
        <f>'HORÓMETRO SEPTIEMBRE 2024'!AG150</f>
        <v>107544</v>
      </c>
      <c r="AA30" s="111"/>
    </row>
    <row r="31" spans="2:27" x14ac:dyDescent="0.35">
      <c r="B31" s="187" t="s">
        <v>290</v>
      </c>
      <c r="C31" s="133" t="s">
        <v>130</v>
      </c>
      <c r="D31" s="187" t="s">
        <v>263</v>
      </c>
      <c r="E31" s="279" t="s">
        <v>311</v>
      </c>
      <c r="F31" s="187" t="s">
        <v>211</v>
      </c>
      <c r="G31" s="280" t="s">
        <v>336</v>
      </c>
      <c r="H31" s="193" t="s">
        <v>313</v>
      </c>
      <c r="I31" s="111"/>
      <c r="J31" s="188">
        <f t="shared" si="9"/>
        <v>1000</v>
      </c>
      <c r="K31" s="188">
        <v>101000</v>
      </c>
      <c r="L31" s="189">
        <v>101801</v>
      </c>
      <c r="M31" s="190">
        <v>42441</v>
      </c>
      <c r="N31" s="191">
        <f t="shared" si="10"/>
        <v>828</v>
      </c>
      <c r="O31" s="192">
        <f t="shared" si="11"/>
        <v>2.3119999999999998</v>
      </c>
      <c r="P31" s="289" t="str">
        <f t="shared" si="12"/>
        <v>A</v>
      </c>
      <c r="Q31" s="180"/>
      <c r="R31" s="194">
        <v>42441</v>
      </c>
      <c r="S31" s="195">
        <v>101801</v>
      </c>
      <c r="T31" s="183">
        <f t="shared" si="18"/>
        <v>828</v>
      </c>
      <c r="U31" s="289" t="str">
        <f t="shared" si="19"/>
        <v>A</v>
      </c>
      <c r="V31" s="184"/>
      <c r="W31" s="196" t="str">
        <f t="shared" si="15"/>
        <v>CA26</v>
      </c>
      <c r="X31" s="290">
        <f t="shared" si="16"/>
        <v>250</v>
      </c>
      <c r="Y31" s="197">
        <f t="shared" si="17"/>
        <v>101250</v>
      </c>
      <c r="Z31" s="238">
        <f>'HORÓMETRO SEPTIEMBRE 2024'!AG151</f>
        <v>102629</v>
      </c>
      <c r="AA31" s="111"/>
    </row>
    <row r="32" spans="2:27" x14ac:dyDescent="0.35">
      <c r="B32" s="187" t="s">
        <v>291</v>
      </c>
      <c r="C32" s="133" t="s">
        <v>130</v>
      </c>
      <c r="D32" s="187" t="s">
        <v>263</v>
      </c>
      <c r="E32" s="279" t="s">
        <v>311</v>
      </c>
      <c r="F32" s="187" t="s">
        <v>211</v>
      </c>
      <c r="G32" s="280" t="s">
        <v>337</v>
      </c>
      <c r="H32" s="193" t="s">
        <v>313</v>
      </c>
      <c r="I32" s="111"/>
      <c r="J32" s="188">
        <f t="shared" si="9"/>
        <v>250</v>
      </c>
      <c r="K32" s="188">
        <v>100250</v>
      </c>
      <c r="L32" s="189">
        <v>101038</v>
      </c>
      <c r="M32" s="190">
        <v>42296</v>
      </c>
      <c r="N32" s="191">
        <f t="shared" si="10"/>
        <v>186</v>
      </c>
      <c r="O32" s="192">
        <f t="shared" si="11"/>
        <v>0</v>
      </c>
      <c r="P32" s="289" t="str">
        <f t="shared" si="12"/>
        <v>B</v>
      </c>
      <c r="Q32" s="180"/>
      <c r="R32" s="194">
        <v>42296</v>
      </c>
      <c r="S32" s="195">
        <v>101038</v>
      </c>
      <c r="T32" s="183">
        <f t="shared" si="18"/>
        <v>186</v>
      </c>
      <c r="U32" s="289" t="str">
        <f t="shared" si="19"/>
        <v>B</v>
      </c>
      <c r="V32" s="184"/>
      <c r="W32" s="196" t="str">
        <f t="shared" si="15"/>
        <v>CA27</v>
      </c>
      <c r="X32" s="290">
        <f t="shared" si="16"/>
        <v>500</v>
      </c>
      <c r="Y32" s="197">
        <f t="shared" si="17"/>
        <v>100500</v>
      </c>
      <c r="Z32" s="238">
        <f>'HORÓMETRO SEPTIEMBRE 2024'!AG152</f>
        <v>101224</v>
      </c>
      <c r="AA32" s="111"/>
    </row>
    <row r="33" spans="2:27" x14ac:dyDescent="0.35">
      <c r="B33" s="187" t="s">
        <v>292</v>
      </c>
      <c r="C33" s="133" t="s">
        <v>130</v>
      </c>
      <c r="D33" s="187" t="s">
        <v>263</v>
      </c>
      <c r="E33" s="279" t="s">
        <v>311</v>
      </c>
      <c r="F33" s="187" t="s">
        <v>211</v>
      </c>
      <c r="G33" s="280" t="s">
        <v>338</v>
      </c>
      <c r="H33" s="193" t="s">
        <v>313</v>
      </c>
      <c r="I33" s="111"/>
      <c r="J33" s="188">
        <f t="shared" si="9"/>
        <v>250</v>
      </c>
      <c r="K33" s="188">
        <v>104750</v>
      </c>
      <c r="L33" s="189">
        <v>104866</v>
      </c>
      <c r="M33" s="190">
        <v>42296</v>
      </c>
      <c r="N33" s="191">
        <f t="shared" si="10"/>
        <v>2051</v>
      </c>
      <c r="O33" s="192">
        <f t="shared" si="11"/>
        <v>7.2039999999999997</v>
      </c>
      <c r="P33" s="289" t="str">
        <f t="shared" si="12"/>
        <v>B</v>
      </c>
      <c r="Q33" s="180"/>
      <c r="R33" s="194">
        <v>42296</v>
      </c>
      <c r="S33" s="195">
        <v>104866</v>
      </c>
      <c r="T33" s="183">
        <f t="shared" si="18"/>
        <v>2051</v>
      </c>
      <c r="U33" s="289" t="str">
        <f t="shared" si="19"/>
        <v>B</v>
      </c>
      <c r="V33" s="184"/>
      <c r="W33" s="196" t="str">
        <f t="shared" si="15"/>
        <v>CA28</v>
      </c>
      <c r="X33" s="290">
        <f t="shared" si="16"/>
        <v>5000</v>
      </c>
      <c r="Y33" s="197">
        <f t="shared" si="17"/>
        <v>105000</v>
      </c>
      <c r="Z33" s="238">
        <f>'HORÓMETRO SEPTIEMBRE 2024'!AG153</f>
        <v>106917</v>
      </c>
      <c r="AA33" s="111"/>
    </row>
    <row r="34" spans="2:27" x14ac:dyDescent="0.35">
      <c r="B34" s="187" t="s">
        <v>293</v>
      </c>
      <c r="C34" s="133" t="s">
        <v>130</v>
      </c>
      <c r="D34" s="187" t="s">
        <v>263</v>
      </c>
      <c r="E34" s="279" t="s">
        <v>311</v>
      </c>
      <c r="F34" s="187" t="s">
        <v>211</v>
      </c>
      <c r="G34" s="280" t="s">
        <v>339</v>
      </c>
      <c r="H34" s="193" t="s">
        <v>313</v>
      </c>
      <c r="I34" s="111"/>
      <c r="J34" s="188">
        <f t="shared" si="9"/>
        <v>500</v>
      </c>
      <c r="K34" s="188">
        <v>104500</v>
      </c>
      <c r="L34" s="189">
        <v>104351</v>
      </c>
      <c r="M34" s="190">
        <v>42406</v>
      </c>
      <c r="N34" s="191">
        <f t="shared" si="10"/>
        <v>2105</v>
      </c>
      <c r="O34" s="192">
        <f t="shared" si="11"/>
        <v>7.42</v>
      </c>
      <c r="P34" s="289" t="str">
        <f t="shared" si="12"/>
        <v>B</v>
      </c>
      <c r="Q34" s="180"/>
      <c r="R34" s="194">
        <v>42406</v>
      </c>
      <c r="S34" s="195">
        <v>104351</v>
      </c>
      <c r="T34" s="183">
        <f t="shared" si="18"/>
        <v>2105</v>
      </c>
      <c r="U34" s="289" t="str">
        <f t="shared" si="19"/>
        <v>B</v>
      </c>
      <c r="V34" s="184"/>
      <c r="W34" s="196" t="str">
        <f t="shared" si="15"/>
        <v>CA29</v>
      </c>
      <c r="X34" s="290">
        <f t="shared" si="16"/>
        <v>250</v>
      </c>
      <c r="Y34" s="197">
        <f t="shared" si="17"/>
        <v>104750</v>
      </c>
      <c r="Z34" s="238">
        <f>'HORÓMETRO SEPTIEMBRE 2024'!AG154</f>
        <v>106456</v>
      </c>
      <c r="AA34" s="111"/>
    </row>
    <row r="35" spans="2:27" hidden="1" x14ac:dyDescent="0.35">
      <c r="B35" s="187" t="s">
        <v>294</v>
      </c>
      <c r="C35" s="133" t="s">
        <v>130</v>
      </c>
      <c r="D35" s="187" t="s">
        <v>263</v>
      </c>
      <c r="E35" s="279" t="s">
        <v>311</v>
      </c>
      <c r="F35" s="187" t="s">
        <v>211</v>
      </c>
      <c r="G35" s="280" t="s">
        <v>340</v>
      </c>
      <c r="H35" s="193" t="s">
        <v>313</v>
      </c>
      <c r="I35" s="111"/>
      <c r="J35" s="188">
        <f t="shared" si="9"/>
        <v>500</v>
      </c>
      <c r="K35" s="188">
        <v>96500</v>
      </c>
      <c r="L35" s="189">
        <v>98045.770000000091</v>
      </c>
      <c r="M35" s="190"/>
      <c r="N35" s="191">
        <f t="shared" ref="N35:N36" si="20">Z35-L35</f>
        <v>481.22999999990861</v>
      </c>
      <c r="O35" s="192">
        <f t="shared" si="11"/>
        <v>0.92491999999963448</v>
      </c>
      <c r="P35" s="289" t="str">
        <f t="shared" ref="P35:P36" si="21">IF(M35="","",IF(MOD(WEEKNUM(M35,12),2)=1,"A","B"))</f>
        <v/>
      </c>
      <c r="Q35" s="180"/>
      <c r="R35" s="194"/>
      <c r="S35" s="195">
        <v>98045.770000000091</v>
      </c>
      <c r="T35" s="183">
        <f t="shared" ref="T35:T36" si="22">Z35-S35</f>
        <v>481.22999999990861</v>
      </c>
      <c r="U35" s="289" t="str">
        <f t="shared" ref="U35:U36" si="23">IF(R35="","",IF(MOD(WEEKNUM(M35,12),2)=1,"A","B"))</f>
        <v/>
      </c>
      <c r="V35" s="184"/>
      <c r="W35" s="196" t="str">
        <f t="shared" si="15"/>
        <v>CA30</v>
      </c>
      <c r="X35" s="290">
        <f t="shared" si="16"/>
        <v>250</v>
      </c>
      <c r="Y35" s="197">
        <f t="shared" si="17"/>
        <v>96750</v>
      </c>
      <c r="Z35" s="238">
        <f>'HORÓMETRO SEPTIEMBRE 2024'!AG155</f>
        <v>98527</v>
      </c>
      <c r="AA35" s="111"/>
    </row>
    <row r="36" spans="2:27" x14ac:dyDescent="0.35">
      <c r="B36" s="187" t="s">
        <v>294</v>
      </c>
      <c r="C36" s="133"/>
      <c r="D36" s="187"/>
      <c r="E36" s="279"/>
      <c r="F36" s="187"/>
      <c r="G36" s="280"/>
      <c r="H36" s="193"/>
      <c r="I36" s="111"/>
      <c r="J36" s="188">
        <f t="shared" si="9"/>
        <v>1000</v>
      </c>
      <c r="K36" s="188">
        <v>96000</v>
      </c>
      <c r="L36" s="189">
        <v>96514</v>
      </c>
      <c r="M36" s="190">
        <v>42359</v>
      </c>
      <c r="N36" s="191">
        <f t="shared" si="20"/>
        <v>2013</v>
      </c>
      <c r="O36" s="192">
        <f t="shared" si="11"/>
        <v>7.0519999999999996</v>
      </c>
      <c r="P36" s="289" t="str">
        <f t="shared" si="21"/>
        <v>A</v>
      </c>
      <c r="Q36" s="180"/>
      <c r="R36" s="194">
        <v>42359</v>
      </c>
      <c r="S36" s="195">
        <v>96514</v>
      </c>
      <c r="T36" s="183">
        <f t="shared" si="22"/>
        <v>2013</v>
      </c>
      <c r="U36" s="289" t="str">
        <f t="shared" si="23"/>
        <v>A</v>
      </c>
      <c r="V36" s="184"/>
      <c r="W36" s="196" t="str">
        <f t="shared" si="15"/>
        <v>CA30</v>
      </c>
      <c r="X36" s="290">
        <f t="shared" si="16"/>
        <v>250</v>
      </c>
      <c r="Y36" s="197">
        <f t="shared" si="17"/>
        <v>96250</v>
      </c>
      <c r="Z36" s="238">
        <f>'HORÓMETRO SEPTIEMBRE 2024'!AG155</f>
        <v>98527</v>
      </c>
      <c r="AA36" s="111"/>
    </row>
    <row r="37" spans="2:27" x14ac:dyDescent="0.35">
      <c r="B37" s="187" t="s">
        <v>295</v>
      </c>
      <c r="C37" s="133" t="s">
        <v>130</v>
      </c>
      <c r="D37" s="187" t="s">
        <v>263</v>
      </c>
      <c r="E37" s="279" t="s">
        <v>311</v>
      </c>
      <c r="F37" s="187" t="s">
        <v>211</v>
      </c>
      <c r="G37" s="280" t="s">
        <v>342</v>
      </c>
      <c r="H37" s="193" t="s">
        <v>313</v>
      </c>
      <c r="I37" s="111"/>
      <c r="J37" s="188">
        <f t="shared" si="9"/>
        <v>500</v>
      </c>
      <c r="K37" s="188">
        <v>99500</v>
      </c>
      <c r="L37" s="189">
        <v>99347</v>
      </c>
      <c r="M37" s="190">
        <v>42337</v>
      </c>
      <c r="N37" s="191">
        <f t="shared" ref="N37:N44" si="24">Z37-L37</f>
        <v>2185</v>
      </c>
      <c r="O37" s="192">
        <f t="shared" si="11"/>
        <v>7.74</v>
      </c>
      <c r="P37" s="289" t="str">
        <f t="shared" si="12"/>
        <v>B</v>
      </c>
      <c r="Q37" s="180"/>
      <c r="R37" s="194">
        <v>42337</v>
      </c>
      <c r="S37" s="195">
        <v>99347</v>
      </c>
      <c r="T37" s="183">
        <f t="shared" si="18"/>
        <v>2185</v>
      </c>
      <c r="U37" s="289" t="str">
        <f t="shared" si="19"/>
        <v>B</v>
      </c>
      <c r="V37" s="184"/>
      <c r="W37" s="196" t="str">
        <f t="shared" si="15"/>
        <v>CA33</v>
      </c>
      <c r="X37" s="290">
        <f t="shared" si="16"/>
        <v>250</v>
      </c>
      <c r="Y37" s="197">
        <f t="shared" si="17"/>
        <v>99750</v>
      </c>
      <c r="Z37" s="238">
        <f>'HORÓMETRO SEPTIEMBRE 2024'!AG156</f>
        <v>101532</v>
      </c>
      <c r="AA37" s="111"/>
    </row>
    <row r="38" spans="2:27" x14ac:dyDescent="0.35">
      <c r="B38" s="187" t="s">
        <v>296</v>
      </c>
      <c r="C38" s="133" t="s">
        <v>130</v>
      </c>
      <c r="D38" s="187" t="s">
        <v>263</v>
      </c>
      <c r="E38" s="279" t="s">
        <v>311</v>
      </c>
      <c r="F38" s="187" t="s">
        <v>211</v>
      </c>
      <c r="G38" s="280" t="s">
        <v>341</v>
      </c>
      <c r="H38" s="193" t="s">
        <v>313</v>
      </c>
      <c r="I38" s="111"/>
      <c r="J38" s="188">
        <f t="shared" si="9"/>
        <v>2000</v>
      </c>
      <c r="K38" s="188">
        <v>99000</v>
      </c>
      <c r="L38" s="189">
        <v>98384</v>
      </c>
      <c r="M38" s="190">
        <v>42336</v>
      </c>
      <c r="N38" s="191">
        <f t="shared" si="24"/>
        <v>2377</v>
      </c>
      <c r="O38" s="192">
        <f t="shared" si="11"/>
        <v>8.5079999999999991</v>
      </c>
      <c r="P38" s="289" t="str">
        <f t="shared" si="12"/>
        <v>B</v>
      </c>
      <c r="Q38" s="180"/>
      <c r="R38" s="194">
        <v>42336</v>
      </c>
      <c r="S38" s="195">
        <v>98384</v>
      </c>
      <c r="T38" s="183">
        <f t="shared" si="18"/>
        <v>2377</v>
      </c>
      <c r="U38" s="289" t="str">
        <f t="shared" si="19"/>
        <v>B</v>
      </c>
      <c r="V38" s="184"/>
      <c r="W38" s="196" t="str">
        <f t="shared" si="15"/>
        <v>CA34</v>
      </c>
      <c r="X38" s="290">
        <f t="shared" si="16"/>
        <v>250</v>
      </c>
      <c r="Y38" s="197">
        <f t="shared" si="17"/>
        <v>99250</v>
      </c>
      <c r="Z38" s="238">
        <f>'HORÓMETRO SEPTIEMBRE 2024'!AG157</f>
        <v>100761</v>
      </c>
      <c r="AA38" s="111"/>
    </row>
    <row r="39" spans="2:27" x14ac:dyDescent="0.35">
      <c r="B39" s="187" t="s">
        <v>298</v>
      </c>
      <c r="C39" s="133" t="s">
        <v>130</v>
      </c>
      <c r="D39" s="187" t="s">
        <v>263</v>
      </c>
      <c r="E39" s="279" t="s">
        <v>311</v>
      </c>
      <c r="F39" s="187" t="s">
        <v>211</v>
      </c>
      <c r="G39" s="280" t="s">
        <v>347</v>
      </c>
      <c r="H39" s="193" t="s">
        <v>313</v>
      </c>
      <c r="I39" s="111"/>
      <c r="J39" s="188">
        <f t="shared" si="9"/>
        <v>1000</v>
      </c>
      <c r="K39" s="188">
        <v>73000</v>
      </c>
      <c r="L39" s="189">
        <v>73007</v>
      </c>
      <c r="M39" s="190">
        <v>42359</v>
      </c>
      <c r="N39" s="191">
        <f t="shared" si="24"/>
        <v>0</v>
      </c>
      <c r="O39" s="192">
        <f t="shared" si="11"/>
        <v>0</v>
      </c>
      <c r="P39" s="289" t="str">
        <f t="shared" si="12"/>
        <v>A</v>
      </c>
      <c r="Q39" s="180"/>
      <c r="R39" s="194">
        <v>42359</v>
      </c>
      <c r="S39" s="195">
        <v>73007</v>
      </c>
      <c r="T39" s="183">
        <f t="shared" si="18"/>
        <v>0</v>
      </c>
      <c r="U39" s="289" t="str">
        <f t="shared" si="19"/>
        <v>A</v>
      </c>
      <c r="V39" s="184"/>
      <c r="W39" s="196" t="str">
        <f t="shared" si="15"/>
        <v>CA36</v>
      </c>
      <c r="X39" s="290">
        <f t="shared" si="16"/>
        <v>250</v>
      </c>
      <c r="Y39" s="197">
        <f t="shared" si="17"/>
        <v>73250</v>
      </c>
      <c r="Z39" s="238">
        <f>'HORÓMETRO SEPTIEMBRE 2024'!AG158</f>
        <v>73007</v>
      </c>
      <c r="AA39" s="111"/>
    </row>
    <row r="40" spans="2:27" x14ac:dyDescent="0.35">
      <c r="B40" s="187" t="s">
        <v>299</v>
      </c>
      <c r="C40" s="133" t="s">
        <v>130</v>
      </c>
      <c r="D40" s="187" t="s">
        <v>263</v>
      </c>
      <c r="E40" s="279" t="s">
        <v>311</v>
      </c>
      <c r="F40" s="187" t="s">
        <v>211</v>
      </c>
      <c r="G40" s="280" t="s">
        <v>346</v>
      </c>
      <c r="H40" s="193" t="s">
        <v>313</v>
      </c>
      <c r="I40" s="111"/>
      <c r="J40" s="188">
        <f t="shared" si="9"/>
        <v>250</v>
      </c>
      <c r="K40" s="188">
        <v>97250</v>
      </c>
      <c r="L40" s="189">
        <v>97295</v>
      </c>
      <c r="M40" s="190">
        <v>42301</v>
      </c>
      <c r="N40" s="191">
        <f t="shared" si="24"/>
        <v>76</v>
      </c>
      <c r="O40" s="192">
        <f t="shared" si="11"/>
        <v>0</v>
      </c>
      <c r="P40" s="289" t="str">
        <f t="shared" si="12"/>
        <v>A</v>
      </c>
      <c r="Q40" s="180"/>
      <c r="R40" s="194">
        <v>42301</v>
      </c>
      <c r="S40" s="195">
        <v>97295</v>
      </c>
      <c r="T40" s="183">
        <f t="shared" si="18"/>
        <v>76</v>
      </c>
      <c r="U40" s="289" t="str">
        <f t="shared" si="19"/>
        <v>A</v>
      </c>
      <c r="V40" s="184"/>
      <c r="W40" s="196" t="str">
        <f t="shared" si="15"/>
        <v>CA37</v>
      </c>
      <c r="X40" s="290">
        <f t="shared" si="16"/>
        <v>500</v>
      </c>
      <c r="Y40" s="197">
        <f t="shared" si="17"/>
        <v>97500</v>
      </c>
      <c r="Z40" s="238">
        <f>'HORÓMETRO SEPTIEMBRE 2024'!AG159</f>
        <v>97371</v>
      </c>
      <c r="AA40" s="111"/>
    </row>
    <row r="41" spans="2:27" x14ac:dyDescent="0.35">
      <c r="B41" s="187" t="s">
        <v>300</v>
      </c>
      <c r="C41" s="133" t="s">
        <v>130</v>
      </c>
      <c r="D41" s="187" t="s">
        <v>263</v>
      </c>
      <c r="E41" s="279" t="s">
        <v>311</v>
      </c>
      <c r="F41" s="187" t="s">
        <v>211</v>
      </c>
      <c r="G41" s="280" t="s">
        <v>343</v>
      </c>
      <c r="H41" s="193" t="s">
        <v>313</v>
      </c>
      <c r="I41" s="111"/>
      <c r="J41" s="188">
        <f t="shared" si="9"/>
        <v>500</v>
      </c>
      <c r="K41" s="188">
        <v>84500</v>
      </c>
      <c r="L41" s="189">
        <v>84096</v>
      </c>
      <c r="M41" s="190">
        <v>42294</v>
      </c>
      <c r="N41" s="191">
        <f t="shared" si="24"/>
        <v>44</v>
      </c>
      <c r="O41" s="192">
        <f t="shared" si="11"/>
        <v>0</v>
      </c>
      <c r="P41" s="289" t="str">
        <f t="shared" si="12"/>
        <v>B</v>
      </c>
      <c r="Q41" s="180"/>
      <c r="R41" s="194">
        <v>42294</v>
      </c>
      <c r="S41" s="195">
        <v>84096</v>
      </c>
      <c r="T41" s="183">
        <f t="shared" si="18"/>
        <v>44</v>
      </c>
      <c r="U41" s="289" t="str">
        <f t="shared" si="19"/>
        <v>B</v>
      </c>
      <c r="V41" s="184"/>
      <c r="W41" s="196" t="str">
        <f t="shared" si="15"/>
        <v>CA38</v>
      </c>
      <c r="X41" s="290">
        <f t="shared" si="16"/>
        <v>250</v>
      </c>
      <c r="Y41" s="197">
        <f t="shared" si="17"/>
        <v>84750</v>
      </c>
      <c r="Z41" s="238">
        <f>'HORÓMETRO SEPTIEMBRE 2024'!AG160</f>
        <v>84140</v>
      </c>
      <c r="AA41" s="111"/>
    </row>
    <row r="42" spans="2:27" x14ac:dyDescent="0.35">
      <c r="B42" s="187" t="s">
        <v>301</v>
      </c>
      <c r="C42" s="133" t="s">
        <v>130</v>
      </c>
      <c r="D42" s="187" t="s">
        <v>263</v>
      </c>
      <c r="E42" s="279" t="s">
        <v>311</v>
      </c>
      <c r="F42" s="187" t="s">
        <v>211</v>
      </c>
      <c r="G42" s="280" t="s">
        <v>344</v>
      </c>
      <c r="H42" s="193" t="s">
        <v>313</v>
      </c>
      <c r="I42" s="111"/>
      <c r="J42" s="188">
        <f t="shared" si="9"/>
        <v>250</v>
      </c>
      <c r="K42" s="188">
        <v>93250</v>
      </c>
      <c r="L42" s="189">
        <v>93432</v>
      </c>
      <c r="M42" s="190">
        <v>42284</v>
      </c>
      <c r="N42" s="191">
        <f t="shared" si="24"/>
        <v>175</v>
      </c>
      <c r="O42" s="192">
        <f t="shared" si="11"/>
        <v>0</v>
      </c>
      <c r="P42" s="289" t="str">
        <f t="shared" si="12"/>
        <v>A</v>
      </c>
      <c r="Q42" s="180"/>
      <c r="R42" s="194">
        <v>42284</v>
      </c>
      <c r="S42" s="195">
        <v>93432</v>
      </c>
      <c r="T42" s="183">
        <f t="shared" si="18"/>
        <v>175</v>
      </c>
      <c r="U42" s="289" t="str">
        <f t="shared" si="19"/>
        <v>A</v>
      </c>
      <c r="V42" s="184"/>
      <c r="W42" s="196" t="str">
        <f t="shared" si="15"/>
        <v>CA50</v>
      </c>
      <c r="X42" s="290">
        <f t="shared" si="16"/>
        <v>500</v>
      </c>
      <c r="Y42" s="197">
        <f t="shared" si="17"/>
        <v>93500</v>
      </c>
      <c r="Z42" s="238">
        <f>'HORÓMETRO SEPTIEMBRE 2024'!AG161</f>
        <v>93607</v>
      </c>
      <c r="AA42" s="111"/>
    </row>
    <row r="43" spans="2:27" x14ac:dyDescent="0.35">
      <c r="B43" s="187" t="s">
        <v>302</v>
      </c>
      <c r="C43" s="133" t="s">
        <v>130</v>
      </c>
      <c r="D43" s="187" t="s">
        <v>263</v>
      </c>
      <c r="E43" s="279" t="s">
        <v>311</v>
      </c>
      <c r="F43" s="187" t="s">
        <v>211</v>
      </c>
      <c r="G43" s="280"/>
      <c r="H43" s="193"/>
      <c r="I43" s="111"/>
      <c r="J43" s="188" t="str">
        <f>IF(K43="","",CHOOSE(MOD(INT((K43-250)/250),20)+1,250,500,250,1000,250,500,250,2000,250,500,250,1000,250,500,250,2000,250,500,250,5000))</f>
        <v/>
      </c>
      <c r="K43" s="188"/>
      <c r="L43" s="189"/>
      <c r="M43" s="190"/>
      <c r="N43" s="191">
        <f t="shared" si="24"/>
        <v>0</v>
      </c>
      <c r="O43" s="192">
        <f t="shared" si="11"/>
        <v>0</v>
      </c>
      <c r="P43" s="289" t="str">
        <f t="shared" si="12"/>
        <v/>
      </c>
      <c r="Q43" s="180"/>
      <c r="R43" s="194"/>
      <c r="S43" s="195"/>
      <c r="T43" s="183">
        <f t="shared" si="18"/>
        <v>0</v>
      </c>
      <c r="U43" s="289" t="str">
        <f t="shared" si="19"/>
        <v/>
      </c>
      <c r="V43" s="184"/>
      <c r="W43" s="196" t="str">
        <f t="shared" si="15"/>
        <v>CA65</v>
      </c>
      <c r="X43" s="290" t="str">
        <f t="shared" si="16"/>
        <v/>
      </c>
      <c r="Y43" s="197" t="str">
        <f t="shared" si="17"/>
        <v/>
      </c>
      <c r="Z43" s="238">
        <f>'HORÓMETRO SEPTIEMBRE 2024'!AG162</f>
        <v>0</v>
      </c>
      <c r="AA43" s="111"/>
    </row>
    <row r="44" spans="2:27" x14ac:dyDescent="0.35">
      <c r="B44" s="187" t="s">
        <v>303</v>
      </c>
      <c r="C44" s="133" t="s">
        <v>130</v>
      </c>
      <c r="D44" s="187" t="s">
        <v>263</v>
      </c>
      <c r="E44" s="279" t="s">
        <v>311</v>
      </c>
      <c r="F44" s="187" t="s">
        <v>211</v>
      </c>
      <c r="G44" s="280"/>
      <c r="H44" s="193"/>
      <c r="I44" s="141"/>
      <c r="J44" s="188" t="str">
        <f>IF(K44="","",CHOOSE(MOD(INT((K44-250)/250),20)+1,250,500,250,1000,250,500,250,2000,250,500,250,1000,250,500,250,2000,250,500,250,5000))</f>
        <v/>
      </c>
      <c r="K44" s="188"/>
      <c r="L44" s="189"/>
      <c r="M44" s="190"/>
      <c r="N44" s="191">
        <f t="shared" si="24"/>
        <v>0</v>
      </c>
      <c r="O44" s="192">
        <f t="shared" si="11"/>
        <v>0</v>
      </c>
      <c r="P44" s="289" t="str">
        <f t="shared" si="12"/>
        <v/>
      </c>
      <c r="Q44" s="198"/>
      <c r="R44" s="194"/>
      <c r="S44" s="195"/>
      <c r="T44" s="183">
        <f t="shared" si="18"/>
        <v>0</v>
      </c>
      <c r="U44" s="289" t="str">
        <f t="shared" si="19"/>
        <v/>
      </c>
      <c r="V44" s="199"/>
      <c r="W44" s="196" t="str">
        <f t="shared" si="15"/>
        <v>CA66</v>
      </c>
      <c r="X44" s="290" t="str">
        <f t="shared" si="16"/>
        <v/>
      </c>
      <c r="Y44" s="197" t="str">
        <f t="shared" si="17"/>
        <v/>
      </c>
      <c r="Z44" s="238">
        <f>'HORÓMETRO SEPTIEMBRE 2024'!AG163</f>
        <v>0</v>
      </c>
      <c r="AA44" s="141"/>
    </row>
    <row r="45" spans="2:27" x14ac:dyDescent="0.35">
      <c r="D45" s="200"/>
      <c r="E45" s="201"/>
      <c r="F45" s="200"/>
      <c r="G45" s="200"/>
      <c r="H45" s="200"/>
    </row>
    <row r="46" spans="2:27" x14ac:dyDescent="0.35">
      <c r="D46" s="200"/>
      <c r="E46" s="201"/>
      <c r="F46" s="200"/>
      <c r="G46" s="200"/>
      <c r="H46" s="200"/>
    </row>
    <row r="47" spans="2:27" x14ac:dyDescent="0.35">
      <c r="D47" s="200"/>
      <c r="E47" s="201"/>
      <c r="F47" s="200"/>
      <c r="G47" s="200"/>
      <c r="H47" s="200"/>
    </row>
    <row r="48" spans="2:27" x14ac:dyDescent="0.35">
      <c r="D48" s="200"/>
      <c r="E48" s="201"/>
      <c r="F48" s="200"/>
      <c r="G48" s="200"/>
      <c r="H48" s="200"/>
    </row>
    <row r="49" spans="4:8" x14ac:dyDescent="0.35">
      <c r="D49" s="200"/>
      <c r="E49" s="201"/>
      <c r="F49" s="200"/>
      <c r="G49" s="200"/>
      <c r="H49" s="200"/>
    </row>
    <row r="50" spans="4:8" x14ac:dyDescent="0.35">
      <c r="D50" s="200"/>
      <c r="E50" s="200"/>
      <c r="F50" s="200"/>
      <c r="G50" s="200"/>
      <c r="H50" s="200"/>
    </row>
    <row r="51" spans="4:8" x14ac:dyDescent="0.35">
      <c r="D51" s="200"/>
      <c r="E51" s="201"/>
      <c r="F51" s="200"/>
      <c r="G51" s="200"/>
      <c r="H51" s="200"/>
    </row>
    <row r="52" spans="4:8" x14ac:dyDescent="0.35">
      <c r="D52" s="200"/>
      <c r="E52" s="201"/>
      <c r="F52" s="200"/>
      <c r="G52" s="200"/>
      <c r="H52" s="200"/>
    </row>
    <row r="53" spans="4:8" x14ac:dyDescent="0.35">
      <c r="D53" s="200"/>
      <c r="E53" s="201"/>
      <c r="F53" s="200"/>
      <c r="G53" s="200"/>
      <c r="H53" s="200"/>
    </row>
    <row r="54" spans="4:8" x14ac:dyDescent="0.35">
      <c r="D54" s="200"/>
      <c r="E54" s="201"/>
      <c r="F54" s="200"/>
      <c r="G54" s="200"/>
      <c r="H54" s="200"/>
    </row>
    <row r="55" spans="4:8" x14ac:dyDescent="0.35">
      <c r="D55" s="200"/>
      <c r="E55" s="200"/>
      <c r="F55" s="200"/>
      <c r="G55" s="200"/>
      <c r="H55" s="200"/>
    </row>
    <row r="56" spans="4:8" x14ac:dyDescent="0.35">
      <c r="D56" s="200"/>
      <c r="E56" s="200"/>
      <c r="F56" s="200"/>
      <c r="G56" s="200"/>
      <c r="H56" s="200"/>
    </row>
    <row r="57" spans="4:8" x14ac:dyDescent="0.35">
      <c r="D57" s="200"/>
      <c r="E57" s="200"/>
      <c r="F57" s="200"/>
      <c r="G57" s="200"/>
      <c r="H57" s="200"/>
    </row>
    <row r="58" spans="4:8" x14ac:dyDescent="0.35">
      <c r="D58" s="200"/>
      <c r="E58" s="200"/>
      <c r="F58" s="200"/>
      <c r="G58" s="200"/>
      <c r="H58" s="200"/>
    </row>
    <row r="59" spans="4:8" x14ac:dyDescent="0.35">
      <c r="D59" s="200"/>
      <c r="E59" s="200"/>
      <c r="F59" s="200"/>
      <c r="G59" s="200"/>
      <c r="H59" s="200"/>
    </row>
    <row r="60" spans="4:8" x14ac:dyDescent="0.35">
      <c r="D60" s="200"/>
      <c r="E60" s="200"/>
      <c r="F60" s="200"/>
      <c r="G60" s="200"/>
      <c r="H60" s="200"/>
    </row>
    <row r="61" spans="4:8" x14ac:dyDescent="0.35">
      <c r="D61" s="200"/>
      <c r="E61" s="200"/>
      <c r="F61" s="200"/>
      <c r="G61" s="200"/>
      <c r="H61" s="200"/>
    </row>
    <row r="62" spans="4:8" x14ac:dyDescent="0.35">
      <c r="D62" s="200"/>
      <c r="E62" s="200"/>
      <c r="F62" s="200"/>
      <c r="G62" s="200"/>
      <c r="H62" s="200"/>
    </row>
    <row r="63" spans="4:8" x14ac:dyDescent="0.35">
      <c r="D63" s="200"/>
      <c r="E63" s="201"/>
      <c r="F63" s="200"/>
      <c r="G63" s="200"/>
      <c r="H63" s="200"/>
    </row>
    <row r="64" spans="4:8" x14ac:dyDescent="0.35">
      <c r="D64" s="200"/>
      <c r="E64" s="200"/>
      <c r="F64" s="200"/>
      <c r="G64" s="200"/>
      <c r="H64" s="200"/>
    </row>
    <row r="65" spans="4:8" x14ac:dyDescent="0.35">
      <c r="D65" s="200"/>
      <c r="E65" s="201"/>
      <c r="F65" s="200"/>
      <c r="G65" s="200"/>
      <c r="H65" s="200"/>
    </row>
    <row r="66" spans="4:8" x14ac:dyDescent="0.35">
      <c r="D66" s="200"/>
      <c r="E66" s="200"/>
      <c r="F66" s="200"/>
      <c r="G66" s="200"/>
      <c r="H66" s="200"/>
    </row>
    <row r="67" spans="4:8" x14ac:dyDescent="0.35">
      <c r="D67" s="200"/>
      <c r="E67" s="200"/>
      <c r="F67" s="200"/>
      <c r="G67" s="200"/>
      <c r="H67" s="200"/>
    </row>
    <row r="68" spans="4:8" x14ac:dyDescent="0.35">
      <c r="D68" s="200"/>
      <c r="E68" s="200"/>
      <c r="F68" s="200"/>
      <c r="G68" s="200"/>
      <c r="H68" s="200"/>
    </row>
    <row r="69" spans="4:8" x14ac:dyDescent="0.35">
      <c r="D69" s="200"/>
      <c r="E69" s="200"/>
      <c r="F69" s="200"/>
      <c r="G69" s="200"/>
      <c r="H69" s="200"/>
    </row>
    <row r="70" spans="4:8" x14ac:dyDescent="0.35">
      <c r="D70" s="200"/>
      <c r="E70" s="200"/>
      <c r="F70" s="200"/>
      <c r="G70" s="200"/>
      <c r="H70" s="200"/>
    </row>
    <row r="71" spans="4:8" x14ac:dyDescent="0.35">
      <c r="D71" s="200"/>
      <c r="E71" s="200"/>
      <c r="F71" s="200"/>
      <c r="G71" s="200"/>
      <c r="H71" s="200"/>
    </row>
    <row r="72" spans="4:8" x14ac:dyDescent="0.35">
      <c r="D72" s="200"/>
      <c r="E72" s="201"/>
      <c r="F72" s="200"/>
      <c r="G72" s="200"/>
      <c r="H72" s="200"/>
    </row>
    <row r="73" spans="4:8" x14ac:dyDescent="0.35">
      <c r="D73" s="200"/>
      <c r="E73" s="200"/>
      <c r="F73" s="200"/>
      <c r="G73" s="200"/>
      <c r="H73" s="200"/>
    </row>
    <row r="74" spans="4:8" x14ac:dyDescent="0.35">
      <c r="D74" s="200"/>
      <c r="E74" s="200"/>
      <c r="F74" s="200"/>
      <c r="G74" s="200"/>
      <c r="H74" s="200"/>
    </row>
    <row r="75" spans="4:8" x14ac:dyDescent="0.35">
      <c r="D75" s="200"/>
      <c r="E75" s="200"/>
      <c r="F75" s="200"/>
      <c r="G75" s="200"/>
      <c r="H75" s="200"/>
    </row>
    <row r="76" spans="4:8" x14ac:dyDescent="0.35">
      <c r="D76" s="200"/>
      <c r="E76" s="201"/>
      <c r="F76" s="200"/>
      <c r="G76" s="200"/>
      <c r="H76" s="200"/>
    </row>
    <row r="77" spans="4:8" x14ac:dyDescent="0.35">
      <c r="D77" s="200"/>
      <c r="E77" s="200"/>
      <c r="F77" s="200"/>
      <c r="G77" s="200"/>
      <c r="H77" s="200"/>
    </row>
    <row r="78" spans="4:8" x14ac:dyDescent="0.35">
      <c r="D78" s="200"/>
      <c r="E78" s="200"/>
      <c r="F78" s="200"/>
      <c r="G78" s="200"/>
      <c r="H78" s="200"/>
    </row>
    <row r="79" spans="4:8" x14ac:dyDescent="0.35">
      <c r="D79" s="200"/>
      <c r="E79" s="201"/>
      <c r="F79" s="200"/>
      <c r="G79" s="200"/>
      <c r="H79" s="200"/>
    </row>
    <row r="80" spans="4:8" x14ac:dyDescent="0.35">
      <c r="D80" s="200"/>
      <c r="E80" s="200"/>
      <c r="F80" s="200"/>
      <c r="G80" s="200"/>
      <c r="H80" s="200"/>
    </row>
    <row r="81" spans="4:8" x14ac:dyDescent="0.35">
      <c r="D81" s="200"/>
      <c r="E81" s="200"/>
      <c r="F81" s="200"/>
      <c r="G81" s="200"/>
      <c r="H81" s="200"/>
    </row>
    <row r="82" spans="4:8" x14ac:dyDescent="0.35">
      <c r="D82" s="200"/>
      <c r="E82" s="200"/>
      <c r="F82" s="200"/>
      <c r="G82" s="200"/>
      <c r="H82" s="200"/>
    </row>
    <row r="83" spans="4:8" x14ac:dyDescent="0.35">
      <c r="D83" s="200"/>
      <c r="E83" s="201"/>
      <c r="F83" s="200"/>
      <c r="G83" s="200"/>
      <c r="H83" s="200"/>
    </row>
    <row r="84" spans="4:8" x14ac:dyDescent="0.35">
      <c r="D84" s="200"/>
      <c r="E84" s="200"/>
      <c r="F84" s="200"/>
      <c r="G84" s="200"/>
      <c r="H84" s="200"/>
    </row>
    <row r="85" spans="4:8" x14ac:dyDescent="0.35">
      <c r="D85" s="200"/>
      <c r="E85" s="200"/>
      <c r="F85" s="200"/>
      <c r="G85" s="200"/>
      <c r="H85" s="200"/>
    </row>
    <row r="86" spans="4:8" x14ac:dyDescent="0.35">
      <c r="D86" s="200"/>
      <c r="E86" s="200"/>
      <c r="F86" s="200"/>
      <c r="G86" s="200"/>
      <c r="H86" s="200"/>
    </row>
    <row r="87" spans="4:8" x14ac:dyDescent="0.35">
      <c r="D87" s="200"/>
      <c r="E87" s="200"/>
      <c r="F87" s="200"/>
      <c r="G87" s="200"/>
      <c r="H87" s="200"/>
    </row>
    <row r="88" spans="4:8" x14ac:dyDescent="0.35">
      <c r="D88" s="200"/>
      <c r="E88" s="200"/>
      <c r="F88" s="200"/>
      <c r="G88" s="200"/>
      <c r="H88" s="200"/>
    </row>
    <row r="89" spans="4:8" x14ac:dyDescent="0.35">
      <c r="D89" s="200"/>
      <c r="E89" s="201"/>
      <c r="F89" s="200"/>
      <c r="G89" s="200"/>
      <c r="H89" s="200"/>
    </row>
    <row r="90" spans="4:8" x14ac:dyDescent="0.35">
      <c r="D90" s="200"/>
      <c r="E90" s="201"/>
      <c r="F90" s="200"/>
      <c r="G90" s="200"/>
      <c r="H90" s="200"/>
    </row>
    <row r="91" spans="4:8" x14ac:dyDescent="0.35">
      <c r="D91" s="200"/>
      <c r="E91" s="200"/>
      <c r="F91" s="200"/>
      <c r="G91" s="200"/>
      <c r="H91" s="200"/>
    </row>
    <row r="92" spans="4:8" x14ac:dyDescent="0.35">
      <c r="D92" s="200"/>
      <c r="E92" s="201"/>
      <c r="F92" s="200"/>
      <c r="G92" s="200"/>
      <c r="H92" s="200"/>
    </row>
    <row r="93" spans="4:8" x14ac:dyDescent="0.35">
      <c r="D93" s="200"/>
      <c r="E93" s="200"/>
      <c r="F93" s="200"/>
      <c r="G93" s="200"/>
      <c r="H93" s="200"/>
    </row>
    <row r="94" spans="4:8" x14ac:dyDescent="0.35">
      <c r="D94" s="200"/>
      <c r="E94" s="200"/>
      <c r="F94" s="200"/>
      <c r="G94" s="200"/>
      <c r="H94" s="200"/>
    </row>
    <row r="95" spans="4:8" x14ac:dyDescent="0.35">
      <c r="D95" s="200"/>
      <c r="E95" s="200"/>
      <c r="F95" s="200"/>
      <c r="G95" s="200"/>
      <c r="H95" s="200"/>
    </row>
    <row r="96" spans="4:8" x14ac:dyDescent="0.35">
      <c r="D96" s="200"/>
      <c r="E96" s="200"/>
      <c r="F96" s="200"/>
      <c r="G96" s="200"/>
      <c r="H96" s="200"/>
    </row>
    <row r="97" spans="4:8" x14ac:dyDescent="0.35">
      <c r="D97" s="200"/>
      <c r="E97" s="201"/>
      <c r="F97" s="200"/>
      <c r="G97" s="200"/>
      <c r="H97" s="200"/>
    </row>
    <row r="98" spans="4:8" x14ac:dyDescent="0.35">
      <c r="D98" s="200"/>
      <c r="E98" s="200"/>
      <c r="F98" s="200"/>
      <c r="G98" s="200"/>
      <c r="H98" s="200"/>
    </row>
    <row r="99" spans="4:8" x14ac:dyDescent="0.35">
      <c r="D99" s="200"/>
      <c r="E99" s="200"/>
      <c r="F99" s="200"/>
      <c r="G99" s="200"/>
      <c r="H99" s="200"/>
    </row>
    <row r="100" spans="4:8" x14ac:dyDescent="0.35">
      <c r="D100" s="200"/>
      <c r="E100" s="200"/>
      <c r="F100" s="200"/>
      <c r="G100" s="200"/>
      <c r="H100" s="200"/>
    </row>
    <row r="101" spans="4:8" x14ac:dyDescent="0.35">
      <c r="D101" s="200"/>
      <c r="E101" s="200"/>
      <c r="F101" s="200"/>
      <c r="G101" s="200"/>
      <c r="H101" s="200"/>
    </row>
    <row r="102" spans="4:8" x14ac:dyDescent="0.35">
      <c r="D102" s="200"/>
      <c r="E102" s="200"/>
      <c r="F102" s="200"/>
      <c r="G102" s="200"/>
      <c r="H102" s="200"/>
    </row>
    <row r="103" spans="4:8" x14ac:dyDescent="0.35">
      <c r="D103" s="200"/>
      <c r="E103" s="201"/>
      <c r="F103" s="200"/>
      <c r="G103" s="200"/>
      <c r="H103" s="200"/>
    </row>
    <row r="104" spans="4:8" x14ac:dyDescent="0.35">
      <c r="D104" s="200"/>
      <c r="E104" s="201"/>
      <c r="F104" s="200"/>
      <c r="G104" s="200"/>
      <c r="H104" s="200"/>
    </row>
    <row r="105" spans="4:8" x14ac:dyDescent="0.35">
      <c r="D105" s="200"/>
      <c r="E105" s="200"/>
      <c r="F105" s="200"/>
      <c r="G105" s="200"/>
      <c r="H105" s="200"/>
    </row>
    <row r="106" spans="4:8" x14ac:dyDescent="0.35">
      <c r="D106" s="200"/>
      <c r="E106" s="200"/>
      <c r="F106" s="200"/>
      <c r="G106" s="200"/>
      <c r="H106" s="200"/>
    </row>
    <row r="107" spans="4:8" x14ac:dyDescent="0.35">
      <c r="D107" s="200"/>
      <c r="E107" s="200"/>
      <c r="F107" s="200"/>
      <c r="G107" s="200"/>
      <c r="H107" s="200"/>
    </row>
    <row r="108" spans="4:8" x14ac:dyDescent="0.35">
      <c r="D108" s="200"/>
      <c r="E108" s="200"/>
      <c r="F108" s="200"/>
      <c r="G108" s="200"/>
      <c r="H108" s="200"/>
    </row>
    <row r="109" spans="4:8" x14ac:dyDescent="0.35">
      <c r="D109" s="200"/>
      <c r="E109" s="200"/>
      <c r="F109" s="200"/>
      <c r="G109" s="200"/>
      <c r="H109" s="200"/>
    </row>
    <row r="110" spans="4:8" x14ac:dyDescent="0.35">
      <c r="D110" s="200"/>
      <c r="E110" s="200"/>
      <c r="F110" s="200"/>
      <c r="G110" s="200"/>
      <c r="H110" s="200"/>
    </row>
    <row r="111" spans="4:8" x14ac:dyDescent="0.35">
      <c r="D111" s="200"/>
      <c r="E111" s="201"/>
      <c r="F111" s="200"/>
      <c r="G111" s="200"/>
      <c r="H111" s="200"/>
    </row>
    <row r="112" spans="4:8" x14ac:dyDescent="0.35">
      <c r="D112" s="200"/>
      <c r="E112" s="201"/>
      <c r="F112" s="200"/>
      <c r="G112" s="200"/>
      <c r="H112" s="200"/>
    </row>
    <row r="113" spans="4:8" x14ac:dyDescent="0.35">
      <c r="D113" s="200"/>
      <c r="E113" s="201"/>
      <c r="F113" s="200"/>
      <c r="G113" s="200"/>
      <c r="H113" s="200"/>
    </row>
    <row r="114" spans="4:8" x14ac:dyDescent="0.35">
      <c r="D114" s="200"/>
      <c r="E114" s="201"/>
      <c r="F114" s="200"/>
      <c r="G114" s="200"/>
      <c r="H114" s="200"/>
    </row>
    <row r="115" spans="4:8" x14ac:dyDescent="0.35">
      <c r="D115" s="200"/>
      <c r="E115" s="201"/>
      <c r="F115" s="200"/>
      <c r="G115" s="200"/>
      <c r="H115" s="200"/>
    </row>
    <row r="116" spans="4:8" x14ac:dyDescent="0.35">
      <c r="D116" s="200"/>
      <c r="E116" s="201"/>
      <c r="F116" s="200"/>
      <c r="G116" s="200"/>
      <c r="H116" s="200"/>
    </row>
    <row r="117" spans="4:8" x14ac:dyDescent="0.35">
      <c r="D117" s="200"/>
      <c r="E117" s="201"/>
      <c r="F117" s="200"/>
      <c r="G117" s="200"/>
      <c r="H117" s="200"/>
    </row>
    <row r="118" spans="4:8" x14ac:dyDescent="0.35">
      <c r="D118" s="200"/>
      <c r="E118" s="201"/>
      <c r="F118" s="200"/>
      <c r="G118" s="200"/>
      <c r="H118" s="200"/>
    </row>
    <row r="119" spans="4:8" x14ac:dyDescent="0.35">
      <c r="D119" s="200"/>
      <c r="E119" s="201"/>
      <c r="F119" s="200"/>
      <c r="G119" s="200"/>
      <c r="H119" s="200"/>
    </row>
    <row r="120" spans="4:8" x14ac:dyDescent="0.35">
      <c r="D120" s="200"/>
      <c r="E120" s="201"/>
      <c r="F120" s="200"/>
      <c r="G120" s="200"/>
      <c r="H120" s="200"/>
    </row>
    <row r="121" spans="4:8" x14ac:dyDescent="0.35">
      <c r="D121" s="200"/>
      <c r="E121" s="201"/>
      <c r="F121" s="200"/>
      <c r="G121" s="200"/>
      <c r="H121" s="200"/>
    </row>
    <row r="122" spans="4:8" x14ac:dyDescent="0.35">
      <c r="D122" s="200"/>
      <c r="E122" s="201"/>
      <c r="F122" s="200"/>
      <c r="G122" s="200"/>
      <c r="H122" s="200"/>
    </row>
    <row r="123" spans="4:8" x14ac:dyDescent="0.35">
      <c r="D123" s="200"/>
      <c r="E123" s="201"/>
      <c r="F123" s="200"/>
      <c r="G123" s="200"/>
      <c r="H123" s="200"/>
    </row>
    <row r="124" spans="4:8" x14ac:dyDescent="0.35">
      <c r="D124" s="200"/>
      <c r="E124" s="201"/>
      <c r="F124" s="200"/>
      <c r="G124" s="200"/>
      <c r="H124" s="200"/>
    </row>
    <row r="125" spans="4:8" x14ac:dyDescent="0.35">
      <c r="D125" s="200"/>
      <c r="E125" s="201"/>
      <c r="F125" s="200"/>
      <c r="G125" s="200"/>
      <c r="H125" s="200"/>
    </row>
    <row r="126" spans="4:8" x14ac:dyDescent="0.35">
      <c r="D126" s="200"/>
      <c r="E126" s="201"/>
      <c r="F126" s="200"/>
      <c r="G126" s="200"/>
      <c r="H126" s="200"/>
    </row>
  </sheetData>
  <sheetProtection algorithmName="SHA-512" hashValue="rxZxfAGM39sG5s75V0YeIz6/tLwHT9AYiH0TrlR2+5fbf8WyLgl5DDVbfhGVhH5T9GP1ddwgTstzjWoGsc8WAg==" saltValue="BDnyadKciYMRFpO7DKK3lw==" spinCount="100000" sheet="1" objects="1" scenarios="1" formatCells="0" autoFilter="0" pivotTables="0"/>
  <autoFilter ref="B6:Z6" xr:uid="{A5635EB3-E6EC-437A-B2F3-0E8A9133E8B0}">
    <filterColumn colId="3" showButton="0"/>
  </autoFilter>
  <sortState xmlns:xlrd2="http://schemas.microsoft.com/office/spreadsheetml/2017/richdata2" ref="B7:AC15">
    <sortCondition descending="1" ref="N7:N15"/>
  </sortState>
  <mergeCells count="6">
    <mergeCell ref="C5:H5"/>
    <mergeCell ref="E6:F6"/>
    <mergeCell ref="J2:U2"/>
    <mergeCell ref="X2:Z2"/>
    <mergeCell ref="J5:U5"/>
    <mergeCell ref="W5:Z5"/>
  </mergeCells>
  <conditionalFormatting sqref="O7:O15">
    <cfRule type="cellIs" dxfId="37" priority="3" operator="between">
      <formula>0.01</formula>
      <formula>0.049</formula>
    </cfRule>
    <cfRule type="cellIs" dxfId="36" priority="5" operator="equal">
      <formula>0</formula>
    </cfRule>
    <cfRule type="cellIs" dxfId="35" priority="7" operator="greaterThanOrEqual">
      <formula>0.05</formula>
    </cfRule>
  </conditionalFormatting>
  <conditionalFormatting sqref="N7:N15">
    <cfRule type="cellIs" dxfId="34" priority="2" operator="greaterThan">
      <formula>249</formula>
    </cfRule>
  </conditionalFormatting>
  <conditionalFormatting sqref="T7:T15">
    <cfRule type="cellIs" dxfId="33" priority="1" operator="greaterThan">
      <formula>249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B0D9-DA60-4709-94DD-9F6581DA9100}">
  <sheetPr codeName="Hoja4"/>
  <dimension ref="A2:XFC137"/>
  <sheetViews>
    <sheetView workbookViewId="0">
      <selection activeCell="F17" sqref="F17"/>
    </sheetView>
  </sheetViews>
  <sheetFormatPr baseColWidth="10" defaultRowHeight="14.5" x14ac:dyDescent="0.35"/>
  <cols>
    <col min="1" max="1" width="9.453125" customWidth="1"/>
    <col min="2" max="2" width="11.90625" customWidth="1"/>
    <col min="3" max="3" width="10.453125" customWidth="1"/>
    <col min="4" max="4" width="12.36328125" customWidth="1"/>
    <col min="5" max="5" width="13" style="39" customWidth="1"/>
    <col min="6" max="6" width="11.54296875" customWidth="1"/>
    <col min="7" max="7" width="15.08984375" customWidth="1"/>
    <col min="8" max="8" width="13.54296875" customWidth="1"/>
    <col min="9" max="9" width="12.08984375" style="56" customWidth="1"/>
    <col min="10" max="10" width="14.54296875" style="56" customWidth="1"/>
    <col min="11" max="11" width="13.90625" style="57" customWidth="1"/>
    <col min="14" max="14" width="11.54296875" style="57"/>
  </cols>
  <sheetData>
    <row r="2" spans="1:14 16379:16383" ht="19.5" x14ac:dyDescent="0.45">
      <c r="D2" s="87" t="s">
        <v>563</v>
      </c>
    </row>
    <row r="3" spans="1:14 16379:16383" ht="15" thickBot="1" x14ac:dyDescent="0.4"/>
    <row r="4" spans="1:14 16379:16383" s="58" customFormat="1" ht="45.65" customHeight="1" x14ac:dyDescent="0.35">
      <c r="A4" s="62" t="s">
        <v>1</v>
      </c>
      <c r="B4" s="63" t="s">
        <v>537</v>
      </c>
      <c r="C4" s="63" t="s">
        <v>538</v>
      </c>
      <c r="D4" s="63" t="s">
        <v>536</v>
      </c>
      <c r="E4" s="68" t="s">
        <v>539</v>
      </c>
      <c r="F4" s="1"/>
      <c r="G4" s="84" t="s">
        <v>543</v>
      </c>
      <c r="H4" s="75" t="s">
        <v>548</v>
      </c>
      <c r="I4" s="75" t="s">
        <v>540</v>
      </c>
      <c r="J4" s="85" t="s">
        <v>541</v>
      </c>
      <c r="K4" s="86" t="s">
        <v>542</v>
      </c>
      <c r="L4" s="59"/>
      <c r="N4" s="60"/>
      <c r="XEY4" s="94" t="s">
        <v>566</v>
      </c>
      <c r="XEZ4" s="95"/>
      <c r="XFA4" s="95"/>
      <c r="XFB4" s="95"/>
      <c r="XFC4" s="96"/>
    </row>
    <row r="5" spans="1:14 16379:16383" x14ac:dyDescent="0.35">
      <c r="A5" s="50" t="s">
        <v>10</v>
      </c>
      <c r="B5" s="64">
        <f>_xlfn.XLOOKUP(A5,'930E-980E'!$B$7:$B$125,'930E-980E'!$L$7:$L$125)</f>
        <v>83283.47</v>
      </c>
      <c r="C5" s="65">
        <f>_xlfn.XLOOKUP(A5,'930E-980E'!$B$7:$B$125,'930E-980E'!$M$7:$M$125)</f>
        <v>45555</v>
      </c>
      <c r="D5" s="66">
        <f>_xlfn.XLOOKUP(A5,'930E-980E'!$B$7:$B$125,'930E-980E'!$N$7:$N$125)</f>
        <v>166.72000000000116</v>
      </c>
      <c r="E5" s="64">
        <f>_xlfn.XLOOKUP(A5,'930E-980E'!$B$7:$B$125,'930E-980E'!$AB$7:$AB$125)</f>
        <v>83450.19</v>
      </c>
      <c r="G5" s="77">
        <f t="shared" ref="G5:G36" si="0">B5+1000</f>
        <v>84283.47</v>
      </c>
      <c r="H5" s="66">
        <f t="shared" ref="H5:H36" si="1">1000-D5</f>
        <v>833.27999999999884</v>
      </c>
      <c r="I5" s="69">
        <f t="shared" ref="I5:I36" ca="1" si="2">IF(D5&lt;1,"MP-RECIENTE",IF(J5&lt;TODAY()-1,-((TODAY()-1)-J5),J5-TODAY()-1))</f>
        <v>68.973128598845506</v>
      </c>
      <c r="J5" s="78">
        <f t="shared" ref="J5:J36" ca="1" si="3">IF(D5&lt;1,"MP-RECIENTE",TODAY()+((1000-D5)/(D5/(TODAY()-C5))))</f>
        <v>45638.973128598846</v>
      </c>
      <c r="K5" s="79" t="str" cm="1">
        <f t="array" aca="1" ref="K5" ca="1">_xlfn.IFS(I5&gt;=19,"Normal",I5&gt;11.999,"Proyectar",I5&gt;0,"Programar",TRUE,"Atrasado")</f>
        <v>Normal</v>
      </c>
      <c r="M5" t="s">
        <v>544</v>
      </c>
      <c r="XEY5" s="102" t="s">
        <v>567</v>
      </c>
      <c r="XEZ5" s="103"/>
      <c r="XFA5" s="103"/>
      <c r="XFB5" s="103"/>
      <c r="XFC5" s="104"/>
    </row>
    <row r="6" spans="1:14 16379:16383" x14ac:dyDescent="0.35">
      <c r="A6" s="50" t="s">
        <v>11</v>
      </c>
      <c r="B6" s="64">
        <f>_xlfn.XLOOKUP(A6,'930E-980E'!$B$7:$B$125,'930E-980E'!$L$7:$L$125)</f>
        <v>82848.230000000302</v>
      </c>
      <c r="C6" s="65">
        <f>_xlfn.XLOOKUP(A6,'930E-980E'!$B$7:$B$125,'930E-980E'!$M$7:$M$125)</f>
        <v>45535</v>
      </c>
      <c r="D6" s="66">
        <f>_xlfn.XLOOKUP(A6,'930E-980E'!$B$7:$B$125,'930E-980E'!$N$7:$N$125)</f>
        <v>252.45999999970081</v>
      </c>
      <c r="E6" s="64">
        <f>_xlfn.XLOOKUP(A6,'930E-980E'!$B$7:$B$125,'930E-980E'!$AB$7:$AB$125)</f>
        <v>83100.69</v>
      </c>
      <c r="G6" s="77">
        <f t="shared" si="0"/>
        <v>83848.230000000302</v>
      </c>
      <c r="H6" s="66">
        <f t="shared" si="1"/>
        <v>747.54000000029919</v>
      </c>
      <c r="I6" s="69">
        <f t="shared" ca="1" si="2"/>
        <v>99.674799968473963</v>
      </c>
      <c r="J6" s="78">
        <f t="shared" ca="1" si="3"/>
        <v>45669.674799968474</v>
      </c>
      <c r="K6" s="79" t="str" cm="1">
        <f t="array" aca="1" ref="K6" ca="1">_xlfn.IFS(I6&gt;=19,"Normal",I6&gt;11.999,"Proyectar",I6&gt;0,"Programar",TRUE,"Atrasado")</f>
        <v>Normal</v>
      </c>
      <c r="M6" t="s">
        <v>549</v>
      </c>
      <c r="XEY6" s="108" t="s">
        <v>568</v>
      </c>
      <c r="XFC6" s="109"/>
    </row>
    <row r="7" spans="1:14 16379:16383" ht="15" thickBot="1" x14ac:dyDescent="0.4">
      <c r="A7" s="50" t="s">
        <v>12</v>
      </c>
      <c r="B7" s="64">
        <f>_xlfn.XLOOKUP(A7,'930E-980E'!$B$7:$B$125,'930E-980E'!$L$7:$L$125)</f>
        <v>83368.669999999896</v>
      </c>
      <c r="C7" s="65">
        <f>_xlfn.XLOOKUP(A7,'930E-980E'!$B$7:$B$125,'930E-980E'!$M$7:$M$125)</f>
        <v>45532</v>
      </c>
      <c r="D7" s="66">
        <f>_xlfn.XLOOKUP(A7,'930E-980E'!$B$7:$B$125,'930E-980E'!$N$7:$N$125)</f>
        <v>640.79000000011001</v>
      </c>
      <c r="E7" s="64">
        <f>_xlfn.XLOOKUP(A7,'930E-980E'!$B$7:$B$125,'930E-980E'!$AB$7:$AB$125)</f>
        <v>84009.46</v>
      </c>
      <c r="G7" s="77">
        <f t="shared" si="0"/>
        <v>84368.669999999896</v>
      </c>
      <c r="H7" s="66">
        <f t="shared" si="1"/>
        <v>359.20999999988999</v>
      </c>
      <c r="I7" s="69">
        <f t="shared" ca="1" si="2"/>
        <v>19.741225674544694</v>
      </c>
      <c r="J7" s="78">
        <f t="shared" ca="1" si="3"/>
        <v>45589.741225674545</v>
      </c>
      <c r="K7" s="79" t="str" cm="1">
        <f t="array" aca="1" ref="K7" ca="1">_xlfn.IFS(I7&gt;=19,"Normal",I7&gt;11.999,"Proyectar",I7&gt;0,"Programar",TRUE,"Atrasado")</f>
        <v>Normal</v>
      </c>
      <c r="M7" t="s">
        <v>545</v>
      </c>
      <c r="XEY7" s="112" t="s">
        <v>569</v>
      </c>
      <c r="XEZ7" s="113"/>
      <c r="XFA7" s="113"/>
      <c r="XFB7" s="113" t="s">
        <v>570</v>
      </c>
      <c r="XFC7" s="114"/>
    </row>
    <row r="8" spans="1:14 16379:16383" x14ac:dyDescent="0.35">
      <c r="A8" s="50" t="s">
        <v>13</v>
      </c>
      <c r="B8" s="64">
        <f>_xlfn.XLOOKUP(A8,'930E-980E'!$B$7:$B$125,'930E-980E'!$L$7:$L$125)</f>
        <v>83854.459999999977</v>
      </c>
      <c r="C8" s="65">
        <f>_xlfn.XLOOKUP(A8,'930E-980E'!$B$7:$B$125,'930E-980E'!$M$7:$M$125)</f>
        <v>45529</v>
      </c>
      <c r="D8" s="66">
        <f>_xlfn.XLOOKUP(A8,'930E-980E'!$B$7:$B$125,'930E-980E'!$N$7:$N$125)</f>
        <v>635.48000000002503</v>
      </c>
      <c r="E8" s="64">
        <f>_xlfn.XLOOKUP(A8,'930E-980E'!$B$7:$B$125,'930E-980E'!$AB$7:$AB$125)</f>
        <v>84489.94</v>
      </c>
      <c r="G8" s="77">
        <f t="shared" si="0"/>
        <v>84854.459999999977</v>
      </c>
      <c r="H8" s="66">
        <f t="shared" si="1"/>
        <v>364.51999999997497</v>
      </c>
      <c r="I8" s="69">
        <f t="shared" ca="1" si="2"/>
        <v>21.944545855098113</v>
      </c>
      <c r="J8" s="78">
        <f t="shared" ca="1" si="3"/>
        <v>45591.944545855098</v>
      </c>
      <c r="K8" s="79" t="str" cm="1">
        <f t="array" aca="1" ref="K8" ca="1">_xlfn.IFS(I8&gt;=19,"Normal",I8&gt;11.999,"Proyectar",I8&gt;0,"Programar",TRUE,"Atrasado")</f>
        <v>Normal</v>
      </c>
      <c r="M8" t="s">
        <v>546</v>
      </c>
    </row>
    <row r="9" spans="1:14 16379:16383" x14ac:dyDescent="0.35">
      <c r="A9" s="50" t="s">
        <v>14</v>
      </c>
      <c r="B9" s="64">
        <f>_xlfn.XLOOKUP(A9,'930E-980E'!$B$7:$B$125,'930E-980E'!$L$7:$L$125)</f>
        <v>79531.69</v>
      </c>
      <c r="C9" s="65">
        <f>_xlfn.XLOOKUP(A9,'930E-980E'!$B$7:$B$125,'930E-980E'!$M$7:$M$125)</f>
        <v>45554</v>
      </c>
      <c r="D9" s="66">
        <f>_xlfn.XLOOKUP(A9,'930E-980E'!$B$7:$B$125,'930E-980E'!$N$7:$N$125)</f>
        <v>192.44000000000233</v>
      </c>
      <c r="E9" s="64">
        <f>_xlfn.XLOOKUP(A9,'930E-980E'!$B$7:$B$125,'930E-980E'!$AB$7:$AB$125)</f>
        <v>79724.13</v>
      </c>
      <c r="G9" s="77">
        <f t="shared" si="0"/>
        <v>80531.69</v>
      </c>
      <c r="H9" s="66">
        <f t="shared" si="1"/>
        <v>807.55999999999767</v>
      </c>
      <c r="I9" s="69">
        <f t="shared" ca="1" si="2"/>
        <v>61.946372895443346</v>
      </c>
      <c r="J9" s="78">
        <f t="shared" ca="1" si="3"/>
        <v>45631.946372895443</v>
      </c>
      <c r="K9" s="79" t="str" cm="1">
        <f t="array" aca="1" ref="K9" ca="1">_xlfn.IFS(I9&gt;=19,"Normal",I9&gt;11.999,"Proyectar",I9&gt;0,"Programar",TRUE,"Atrasado")</f>
        <v>Normal</v>
      </c>
    </row>
    <row r="10" spans="1:14 16379:16383" x14ac:dyDescent="0.35">
      <c r="A10" s="50" t="s">
        <v>15</v>
      </c>
      <c r="B10" s="64">
        <f>_xlfn.XLOOKUP(A10,'930E-980E'!$B$7:$B$125,'930E-980E'!$L$7:$L$125)</f>
        <v>81390.3</v>
      </c>
      <c r="C10" s="65">
        <f>_xlfn.XLOOKUP(A10,'930E-980E'!$B$7:$B$125,'930E-980E'!$M$7:$M$125)</f>
        <v>45549</v>
      </c>
      <c r="D10" s="66">
        <f>_xlfn.XLOOKUP(A10,'930E-980E'!$B$7:$B$125,'930E-980E'!$N$7:$N$125)</f>
        <v>290.52999999999884</v>
      </c>
      <c r="E10" s="64">
        <f>_xlfn.XLOOKUP(A10,'930E-980E'!$B$7:$B$125,'930E-980E'!$AB$7:$AB$125)</f>
        <v>81680.83</v>
      </c>
      <c r="G10" s="77">
        <f t="shared" si="0"/>
        <v>82390.3</v>
      </c>
      <c r="H10" s="66">
        <f t="shared" si="1"/>
        <v>709.47000000000116</v>
      </c>
      <c r="I10" s="69">
        <f t="shared" ca="1" si="2"/>
        <v>47.839706742852286</v>
      </c>
      <c r="J10" s="78">
        <f t="shared" ca="1" si="3"/>
        <v>45617.839706742852</v>
      </c>
      <c r="K10" s="79" t="str" cm="1">
        <f t="array" aca="1" ref="K10" ca="1">_xlfn.IFS(I10&gt;=19,"Normal",I10&gt;11.999,"Proyectar",I10&gt;0,"Programar",TRUE,"Atrasado")</f>
        <v>Normal</v>
      </c>
    </row>
    <row r="11" spans="1:14 16379:16383" x14ac:dyDescent="0.35">
      <c r="A11" s="50" t="s">
        <v>16</v>
      </c>
      <c r="B11" s="64">
        <f>_xlfn.XLOOKUP(A11,'930E-980E'!$B$7:$B$125,'930E-980E'!$L$7:$L$125)</f>
        <v>80533.07000000008</v>
      </c>
      <c r="C11" s="65">
        <f>_xlfn.XLOOKUP(A11,'930E-980E'!$B$7:$B$125,'930E-980E'!$M$7:$M$125)</f>
        <v>45517</v>
      </c>
      <c r="D11" s="66">
        <f>_xlfn.XLOOKUP(A11,'930E-980E'!$B$7:$B$125,'930E-980E'!$N$7:$N$125)</f>
        <v>791.32999999991443</v>
      </c>
      <c r="E11" s="64">
        <f>_xlfn.XLOOKUP(A11,'930E-980E'!$B$7:$B$125,'930E-980E'!$AB$7:$AB$125)</f>
        <v>81324.399999999994</v>
      </c>
      <c r="G11" s="77">
        <f t="shared" si="0"/>
        <v>81533.07000000008</v>
      </c>
      <c r="H11" s="66">
        <f t="shared" si="1"/>
        <v>208.67000000008557</v>
      </c>
      <c r="I11" s="69">
        <f t="shared" ca="1" si="2"/>
        <v>12.712155485074618</v>
      </c>
      <c r="J11" s="78">
        <f t="shared" ca="1" si="3"/>
        <v>45582.712155485075</v>
      </c>
      <c r="K11" s="79" t="str" cm="1">
        <f t="array" aca="1" ref="K11" ca="1">_xlfn.IFS(I11&gt;=19,"Normal",I11&gt;11.999,"Proyectar",I11&gt;0,"Programar",TRUE,"Atrasado")</f>
        <v>Proyectar</v>
      </c>
    </row>
    <row r="12" spans="1:14 16379:16383" x14ac:dyDescent="0.35">
      <c r="A12" s="50" t="s">
        <v>17</v>
      </c>
      <c r="B12" s="64">
        <f>_xlfn.XLOOKUP(A12,'930E-980E'!$B$7:$B$125,'930E-980E'!$L$7:$L$125)</f>
        <v>78603.340000000491</v>
      </c>
      <c r="C12" s="65">
        <f>_xlfn.XLOOKUP(A12,'930E-980E'!$B$7:$B$125,'930E-980E'!$M$7:$M$125)</f>
        <v>45504</v>
      </c>
      <c r="D12" s="66">
        <f>_xlfn.XLOOKUP(A12,'930E-980E'!$B$7:$B$125,'930E-980E'!$N$7:$N$125)</f>
        <v>749.01999999950931</v>
      </c>
      <c r="E12" s="64">
        <f>_xlfn.XLOOKUP(A12,'930E-980E'!$B$7:$B$125,'930E-980E'!$AB$7:$AB$125)</f>
        <v>79352.36</v>
      </c>
      <c r="G12" s="77">
        <f t="shared" si="0"/>
        <v>79603.340000000491</v>
      </c>
      <c r="H12" s="66">
        <f t="shared" si="1"/>
        <v>250.98000000049069</v>
      </c>
      <c r="I12" s="69">
        <f t="shared" ca="1" si="2"/>
        <v>20.780059277509281</v>
      </c>
      <c r="J12" s="78">
        <f t="shared" ca="1" si="3"/>
        <v>45590.780059277509</v>
      </c>
      <c r="K12" s="79" t="str" cm="1">
        <f t="array" aca="1" ref="K12" ca="1">_xlfn.IFS(I12&gt;=19,"Normal",I12&gt;11.999,"Proyectar",I12&gt;0,"Programar",TRUE,"Atrasado")</f>
        <v>Normal</v>
      </c>
      <c r="M12" s="61"/>
    </row>
    <row r="13" spans="1:14 16379:16383" x14ac:dyDescent="0.35">
      <c r="A13" s="50" t="s">
        <v>18</v>
      </c>
      <c r="B13" s="64">
        <f>_xlfn.XLOOKUP(A13,'930E-980E'!$B$7:$B$125,'930E-980E'!$L$7:$L$125)</f>
        <v>79363.399999999994</v>
      </c>
      <c r="C13" s="65">
        <f>_xlfn.XLOOKUP(A13,'930E-980E'!$B$7:$B$125,'930E-980E'!$M$7:$M$125)</f>
        <v>45547</v>
      </c>
      <c r="D13" s="66">
        <f>_xlfn.XLOOKUP(A13,'930E-980E'!$B$7:$B$125,'930E-980E'!$N$7:$N$125)</f>
        <v>354.02999999999884</v>
      </c>
      <c r="E13" s="64">
        <f>_xlfn.XLOOKUP(A13,'930E-980E'!$B$7:$B$125,'930E-980E'!$AB$7:$AB$125)</f>
        <v>79717.429999999993</v>
      </c>
      <c r="G13" s="77">
        <f t="shared" si="0"/>
        <v>80363.399999999994</v>
      </c>
      <c r="H13" s="66">
        <f t="shared" si="1"/>
        <v>645.97000000000116</v>
      </c>
      <c r="I13" s="69">
        <f t="shared" ca="1" si="2"/>
        <v>39.14162641583971</v>
      </c>
      <c r="J13" s="78">
        <f t="shared" ca="1" si="3"/>
        <v>45609.14162641584</v>
      </c>
      <c r="K13" s="79" t="str" cm="1">
        <f t="array" aca="1" ref="K13" ca="1">_xlfn.IFS(I13&gt;=19,"Normal",I13&gt;11.999,"Proyectar",I13&gt;0,"Programar",TRUE,"Atrasado")</f>
        <v>Normal</v>
      </c>
    </row>
    <row r="14" spans="1:14 16379:16383" x14ac:dyDescent="0.35">
      <c r="A14" s="50" t="s">
        <v>19</v>
      </c>
      <c r="B14" s="64">
        <f>_xlfn.XLOOKUP(A14,'930E-980E'!$B$7:$B$125,'930E-980E'!$L$7:$L$125)</f>
        <v>76091.100000000006</v>
      </c>
      <c r="C14" s="65">
        <f>_xlfn.XLOOKUP(A14,'930E-980E'!$B$7:$B$125,'930E-980E'!$M$7:$M$125)</f>
        <v>45547</v>
      </c>
      <c r="D14" s="66">
        <f>_xlfn.XLOOKUP(A14,'930E-980E'!$B$7:$B$125,'930E-980E'!$N$7:$N$125)</f>
        <v>346.55999999999767</v>
      </c>
      <c r="E14" s="64">
        <f>_xlfn.XLOOKUP(A14,'930E-980E'!$B$7:$B$125,'930E-980E'!$AB$7:$AB$125)</f>
        <v>76437.66</v>
      </c>
      <c r="G14" s="77">
        <f t="shared" si="0"/>
        <v>77091.100000000006</v>
      </c>
      <c r="H14" s="66">
        <f t="shared" si="1"/>
        <v>653.44000000000233</v>
      </c>
      <c r="I14" s="69">
        <f t="shared" ca="1" si="2"/>
        <v>40.481071098802204</v>
      </c>
      <c r="J14" s="78">
        <f t="shared" ca="1" si="3"/>
        <v>45610.481071098802</v>
      </c>
      <c r="K14" s="79" t="str" cm="1">
        <f t="array" aca="1" ref="K14" ca="1">_xlfn.IFS(I14&gt;=19,"Normal",I14&gt;11.999,"Proyectar",I14&gt;0,"Programar",TRUE,"Atrasado")</f>
        <v>Normal</v>
      </c>
    </row>
    <row r="15" spans="1:14 16379:16383" x14ac:dyDescent="0.35">
      <c r="A15" s="50" t="s">
        <v>20</v>
      </c>
      <c r="B15" s="64">
        <f>_xlfn.XLOOKUP(A15,'930E-980E'!$B$7:$B$125,'930E-980E'!$L$7:$L$125)</f>
        <v>74970</v>
      </c>
      <c r="C15" s="65">
        <f>_xlfn.XLOOKUP(A15,'930E-980E'!$B$7:$B$125,'930E-980E'!$M$7:$M$125)</f>
        <v>45550</v>
      </c>
      <c r="D15" s="66">
        <f>_xlfn.XLOOKUP(A15,'930E-980E'!$B$7:$B$125,'930E-980E'!$N$7:$N$125)</f>
        <v>106.33999999999651</v>
      </c>
      <c r="E15" s="64">
        <f>_xlfn.XLOOKUP(A15,'930E-980E'!$B$7:$B$125,'930E-980E'!$AB$7:$AB$125)</f>
        <v>75076.34</v>
      </c>
      <c r="G15" s="77">
        <f t="shared" si="0"/>
        <v>75970</v>
      </c>
      <c r="H15" s="66">
        <f t="shared" si="1"/>
        <v>893.66000000000349</v>
      </c>
      <c r="I15" s="69">
        <f t="shared" ca="1" si="2"/>
        <v>158.67218356216472</v>
      </c>
      <c r="J15" s="78">
        <f t="shared" ca="1" si="3"/>
        <v>45728.672183562165</v>
      </c>
      <c r="K15" s="79" t="str" cm="1">
        <f t="array" aca="1" ref="K15" ca="1">_xlfn.IFS(I15&gt;=19,"Normal",I15&gt;11.999,"Proyectar",I15&gt;0,"Programar",TRUE,"Atrasado")</f>
        <v>Normal</v>
      </c>
    </row>
    <row r="16" spans="1:14 16379:16383" x14ac:dyDescent="0.35">
      <c r="A16" s="50" t="s">
        <v>21</v>
      </c>
      <c r="B16" s="64">
        <f>_xlfn.XLOOKUP(A16,'930E-980E'!$B$7:$B$125,'930E-980E'!$L$7:$L$125)</f>
        <v>74883.100000000006</v>
      </c>
      <c r="C16" s="65">
        <f>_xlfn.XLOOKUP(A16,'930E-980E'!$B$7:$B$125,'930E-980E'!$M$7:$M$125)</f>
        <v>45518</v>
      </c>
      <c r="D16" s="66">
        <f>_xlfn.XLOOKUP(A16,'930E-980E'!$B$7:$B$125,'930E-980E'!$N$7:$N$125)</f>
        <v>893.70999999999185</v>
      </c>
      <c r="E16" s="64">
        <f>_xlfn.XLOOKUP(A16,'930E-980E'!$B$7:$B$125,'930E-980E'!$AB$7:$AB$125)</f>
        <v>75776.81</v>
      </c>
      <c r="G16" s="77">
        <f t="shared" si="0"/>
        <v>75883.100000000006</v>
      </c>
      <c r="H16" s="66">
        <f t="shared" si="1"/>
        <v>106.29000000000815</v>
      </c>
      <c r="I16" s="69">
        <f t="shared" ca="1" si="2"/>
        <v>5.0654910429584561</v>
      </c>
      <c r="J16" s="78">
        <f t="shared" ca="1" si="3"/>
        <v>45575.065491042958</v>
      </c>
      <c r="K16" s="79" t="str" cm="1">
        <f t="array" aca="1" ref="K16" ca="1">_xlfn.IFS(I16&gt;=19,"Normal",I16&gt;11.999,"Proyectar",I16&gt;0,"Programar",TRUE,"Atrasado")</f>
        <v>Programar</v>
      </c>
    </row>
    <row r="17" spans="1:11" x14ac:dyDescent="0.35">
      <c r="A17" s="50" t="s">
        <v>22</v>
      </c>
      <c r="B17" s="64">
        <f>_xlfn.XLOOKUP(A17,'930E-980E'!$B$7:$B$125,'930E-980E'!$L$7:$L$125)</f>
        <v>73218.619999999879</v>
      </c>
      <c r="C17" s="65">
        <f>_xlfn.XLOOKUP(A17,'930E-980E'!$B$7:$B$125,'930E-980E'!$M$7:$M$125)</f>
        <v>45541</v>
      </c>
      <c r="D17" s="66">
        <f>_xlfn.XLOOKUP(A17,'930E-980E'!$B$7:$B$125,'930E-980E'!$N$7:$N$125)</f>
        <v>451.10000000012224</v>
      </c>
      <c r="E17" s="64">
        <f>_xlfn.XLOOKUP(A17,'930E-980E'!$B$7:$B$125,'930E-980E'!$AB$7:$AB$125)</f>
        <v>73669.72</v>
      </c>
      <c r="G17" s="77">
        <f t="shared" si="0"/>
        <v>74218.619999999879</v>
      </c>
      <c r="H17" s="66">
        <f t="shared" si="1"/>
        <v>548.89999999987776</v>
      </c>
      <c r="I17" s="69">
        <f t="shared" ca="1" si="2"/>
        <v>33.070494347135536</v>
      </c>
      <c r="J17" s="78">
        <f t="shared" ca="1" si="3"/>
        <v>45603.070494347136</v>
      </c>
      <c r="K17" s="79" t="str" cm="1">
        <f t="array" aca="1" ref="K17" ca="1">_xlfn.IFS(I17&gt;=19,"Normal",I17&gt;11.999,"Proyectar",I17&gt;0,"Programar",TRUE,"Atrasado")</f>
        <v>Normal</v>
      </c>
    </row>
    <row r="18" spans="1:11" x14ac:dyDescent="0.35">
      <c r="A18" s="50" t="s">
        <v>23</v>
      </c>
      <c r="B18" s="64">
        <f>_xlfn.XLOOKUP(A18,'930E-980E'!$B$7:$B$125,'930E-980E'!$L$7:$L$125)</f>
        <v>75246.33</v>
      </c>
      <c r="C18" s="65">
        <f>_xlfn.XLOOKUP(A18,'930E-980E'!$B$7:$B$125,'930E-980E'!$M$7:$M$125)</f>
        <v>45555</v>
      </c>
      <c r="D18" s="66">
        <f>_xlfn.XLOOKUP(A18,'930E-980E'!$B$7:$B$125,'930E-980E'!$N$7:$N$125)</f>
        <v>180.50999999999476</v>
      </c>
      <c r="E18" s="64">
        <f>_xlfn.XLOOKUP(A18,'930E-980E'!$B$7:$B$125,'930E-980E'!$AB$7:$AB$125)</f>
        <v>75426.84</v>
      </c>
      <c r="G18" s="77">
        <f t="shared" si="0"/>
        <v>76246.33</v>
      </c>
      <c r="H18" s="66">
        <f t="shared" si="1"/>
        <v>819.49000000000524</v>
      </c>
      <c r="I18" s="69">
        <f t="shared" ca="1" si="2"/>
        <v>62.558030026040797</v>
      </c>
      <c r="J18" s="78">
        <f t="shared" ca="1" si="3"/>
        <v>45632.558030026041</v>
      </c>
      <c r="K18" s="79" t="str" cm="1">
        <f t="array" aca="1" ref="K18" ca="1">_xlfn.IFS(I18&gt;=19,"Normal",I18&gt;11.999,"Proyectar",I18&gt;0,"Programar",TRUE,"Atrasado")</f>
        <v>Normal</v>
      </c>
    </row>
    <row r="19" spans="1:11" x14ac:dyDescent="0.35">
      <c r="A19" s="50" t="s">
        <v>24</v>
      </c>
      <c r="B19" s="64">
        <f>_xlfn.XLOOKUP(A19,'930E-980E'!$B$7:$B$125,'930E-980E'!$L$7:$L$125)</f>
        <v>75284.820000000094</v>
      </c>
      <c r="C19" s="65">
        <f>_xlfn.XLOOKUP(A19,'930E-980E'!$B$7:$B$125,'930E-980E'!$M$7:$M$125)</f>
        <v>45534</v>
      </c>
      <c r="D19" s="66">
        <f>_xlfn.XLOOKUP(A19,'930E-980E'!$B$7:$B$125,'930E-980E'!$N$7:$N$125)</f>
        <v>583.55999999991036</v>
      </c>
      <c r="E19" s="64">
        <f>_xlfn.XLOOKUP(A19,'930E-980E'!$B$7:$B$125,'930E-980E'!$AB$7:$AB$125)</f>
        <v>75868.38</v>
      </c>
      <c r="G19" s="77">
        <f t="shared" si="0"/>
        <v>76284.820000000094</v>
      </c>
      <c r="H19" s="66">
        <f t="shared" si="1"/>
        <v>416.44000000008964</v>
      </c>
      <c r="I19" s="69">
        <f t="shared" ca="1" si="2"/>
        <v>23.976694770040922</v>
      </c>
      <c r="J19" s="78">
        <f t="shared" ca="1" si="3"/>
        <v>45593.976694770041</v>
      </c>
      <c r="K19" s="79" t="str" cm="1">
        <f t="array" aca="1" ref="K19" ca="1">_xlfn.IFS(I19&gt;=19,"Normal",I19&gt;11.999,"Proyectar",I19&gt;0,"Programar",TRUE,"Atrasado")</f>
        <v>Normal</v>
      </c>
    </row>
    <row r="20" spans="1:11" x14ac:dyDescent="0.35">
      <c r="A20" s="50" t="s">
        <v>25</v>
      </c>
      <c r="B20" s="64">
        <f>_xlfn.XLOOKUP(A20,'930E-980E'!$B$7:$B$125,'930E-980E'!$L$7:$L$125)</f>
        <v>73136.380000000296</v>
      </c>
      <c r="C20" s="65">
        <f>_xlfn.XLOOKUP(A20,'930E-980E'!$B$7:$B$125,'930E-980E'!$M$7:$M$125)</f>
        <v>45456</v>
      </c>
      <c r="D20" s="66">
        <f>_xlfn.XLOOKUP(A20,'930E-980E'!$B$7:$B$125,'930E-980E'!$N$7:$N$125)</f>
        <v>736.54999999969732</v>
      </c>
      <c r="E20" s="64">
        <f>_xlfn.XLOOKUP(A20,'930E-980E'!$B$7:$B$125,'930E-980E'!$AB$7:$AB$125)</f>
        <v>73872.929999999993</v>
      </c>
      <c r="G20" s="77">
        <f t="shared" si="0"/>
        <v>74136.380000000296</v>
      </c>
      <c r="H20" s="66">
        <f t="shared" si="1"/>
        <v>263.45000000030268</v>
      </c>
      <c r="I20" s="69">
        <f t="shared" ca="1" si="2"/>
        <v>39.417962120758602</v>
      </c>
      <c r="J20" s="78">
        <f t="shared" ca="1" si="3"/>
        <v>45609.417962120759</v>
      </c>
      <c r="K20" s="79" t="str" cm="1">
        <f t="array" aca="1" ref="K20" ca="1">_xlfn.IFS(I20&gt;=19,"Normal",I20&gt;11.999,"Proyectar",I20&gt;0,"Programar",TRUE,"Atrasado")</f>
        <v>Normal</v>
      </c>
    </row>
    <row r="21" spans="1:11" x14ac:dyDescent="0.35">
      <c r="A21" s="50" t="s">
        <v>26</v>
      </c>
      <c r="B21" s="64">
        <f>_xlfn.XLOOKUP(A21,'930E-980E'!$B$7:$B$125,'930E-980E'!$L$7:$L$125)</f>
        <v>74225.009999999907</v>
      </c>
      <c r="C21" s="65">
        <f>_xlfn.XLOOKUP(A21,'930E-980E'!$B$7:$B$125,'930E-980E'!$M$7:$M$125)</f>
        <v>45527</v>
      </c>
      <c r="D21" s="66">
        <f>_xlfn.XLOOKUP(A21,'930E-980E'!$B$7:$B$125,'930E-980E'!$N$7:$N$125)</f>
        <v>710.19000000008964</v>
      </c>
      <c r="E21" s="64">
        <f>_xlfn.XLOOKUP(A21,'930E-980E'!$B$7:$B$125,'930E-980E'!$AB$7:$AB$125)</f>
        <v>74935.199999999997</v>
      </c>
      <c r="G21" s="77">
        <f t="shared" si="0"/>
        <v>75225.009999999907</v>
      </c>
      <c r="H21" s="66">
        <f t="shared" si="1"/>
        <v>289.80999999991036</v>
      </c>
      <c r="I21" s="69">
        <f t="shared" ca="1" si="2"/>
        <v>16.139103620153037</v>
      </c>
      <c r="J21" s="78">
        <f t="shared" ca="1" si="3"/>
        <v>45586.139103620153</v>
      </c>
      <c r="K21" s="79" t="str" cm="1">
        <f t="array" aca="1" ref="K21" ca="1">_xlfn.IFS(I21&gt;=19,"Normal",I21&gt;11.999,"Proyectar",I21&gt;0,"Programar",TRUE,"Atrasado")</f>
        <v>Proyectar</v>
      </c>
    </row>
    <row r="22" spans="1:11" x14ac:dyDescent="0.35">
      <c r="A22" s="50" t="s">
        <v>27</v>
      </c>
      <c r="B22" s="64">
        <f>_xlfn.XLOOKUP(A22,'930E-980E'!$B$7:$B$125,'930E-980E'!$L$7:$L$125)</f>
        <v>75983.600000000006</v>
      </c>
      <c r="C22" s="65">
        <f>_xlfn.XLOOKUP(A22,'930E-980E'!$B$7:$B$125,'930E-980E'!$M$7:$M$125)</f>
        <v>45548</v>
      </c>
      <c r="D22" s="66">
        <f>_xlfn.XLOOKUP(A22,'930E-980E'!$B$7:$B$125,'930E-980E'!$N$7:$N$125)</f>
        <v>321.26999999998952</v>
      </c>
      <c r="E22" s="64">
        <f>_xlfn.XLOOKUP(A22,'930E-980E'!$B$7:$B$125,'930E-980E'!$AB$7:$AB$125)</f>
        <v>76304.87</v>
      </c>
      <c r="G22" s="77">
        <f t="shared" si="0"/>
        <v>76983.600000000006</v>
      </c>
      <c r="H22" s="66">
        <f t="shared" si="1"/>
        <v>678.73000000001048</v>
      </c>
      <c r="I22" s="69">
        <f t="shared" ca="1" si="2"/>
        <v>43.365580352976394</v>
      </c>
      <c r="J22" s="78">
        <f t="shared" ca="1" si="3"/>
        <v>45613.365580352976</v>
      </c>
      <c r="K22" s="79" t="str" cm="1">
        <f t="array" aca="1" ref="K22" ca="1">_xlfn.IFS(I22&gt;=19,"Normal",I22&gt;11.999,"Proyectar",I22&gt;0,"Programar",TRUE,"Atrasado")</f>
        <v>Normal</v>
      </c>
    </row>
    <row r="23" spans="1:11" x14ac:dyDescent="0.35">
      <c r="A23" s="50" t="s">
        <v>28</v>
      </c>
      <c r="B23" s="64">
        <f>_xlfn.XLOOKUP(A23,'930E-980E'!$B$7:$B$125,'930E-980E'!$L$7:$L$125)</f>
        <v>72499.22</v>
      </c>
      <c r="C23" s="65">
        <f>_xlfn.XLOOKUP(A23,'930E-980E'!$B$7:$B$125,'930E-980E'!$M$7:$M$125)</f>
        <v>45567</v>
      </c>
      <c r="D23" s="66">
        <f>_xlfn.XLOOKUP(A23,'930E-980E'!$B$7:$B$125,'930E-980E'!$N$7:$N$125)</f>
        <v>0</v>
      </c>
      <c r="E23" s="64">
        <f>_xlfn.XLOOKUP(A23,'930E-980E'!$B$7:$B$125,'930E-980E'!$AB$7:$AB$125)</f>
        <v>72499.22</v>
      </c>
      <c r="G23" s="77">
        <f t="shared" si="0"/>
        <v>73499.22</v>
      </c>
      <c r="H23" s="66">
        <f t="shared" si="1"/>
        <v>1000</v>
      </c>
      <c r="I23" s="69" t="str">
        <f t="shared" ca="1" si="2"/>
        <v>MP-RECIENTE</v>
      </c>
      <c r="J23" s="78" t="str">
        <f t="shared" ca="1" si="3"/>
        <v>MP-RECIENTE</v>
      </c>
      <c r="K23" s="79" t="str" cm="1">
        <f t="array" aca="1" ref="K23" ca="1">_xlfn.IFS(I23&gt;=19,"Normal",I23&gt;11.999,"Proyectar",I23&gt;0,"Programar",TRUE,"Atrasado")</f>
        <v>Normal</v>
      </c>
    </row>
    <row r="24" spans="1:11" x14ac:dyDescent="0.35">
      <c r="A24" s="50" t="s">
        <v>29</v>
      </c>
      <c r="B24" s="64">
        <f>_xlfn.XLOOKUP(A24,'930E-980E'!$B$7:$B$125,'930E-980E'!$L$7:$L$125)</f>
        <v>69527.88</v>
      </c>
      <c r="C24" s="65">
        <f>_xlfn.XLOOKUP(A24,'930E-980E'!$B$7:$B$125,'930E-980E'!$M$7:$M$125)</f>
        <v>45558</v>
      </c>
      <c r="D24" s="66">
        <f>_xlfn.XLOOKUP(A24,'930E-980E'!$B$7:$B$125,'930E-980E'!$N$7:$N$125)</f>
        <v>121.51999999998952</v>
      </c>
      <c r="E24" s="64">
        <f>_xlfn.XLOOKUP(A24,'930E-980E'!$B$7:$B$125,'930E-980E'!$AB$7:$AB$125)</f>
        <v>69649.399999999994</v>
      </c>
      <c r="G24" s="77">
        <f t="shared" si="0"/>
        <v>70527.88</v>
      </c>
      <c r="H24" s="66">
        <f t="shared" si="1"/>
        <v>878.48000000001048</v>
      </c>
      <c r="I24" s="69">
        <f t="shared" ca="1" si="2"/>
        <v>78.520078999346879</v>
      </c>
      <c r="J24" s="78">
        <f t="shared" ca="1" si="3"/>
        <v>45648.520078999347</v>
      </c>
      <c r="K24" s="79" t="str" cm="1">
        <f t="array" aca="1" ref="K24" ca="1">_xlfn.IFS(I24&gt;=19,"Normal",I24&gt;11.999,"Proyectar",I24&gt;0,"Programar",TRUE,"Atrasado")</f>
        <v>Normal</v>
      </c>
    </row>
    <row r="25" spans="1:11" x14ac:dyDescent="0.35">
      <c r="A25" s="50" t="s">
        <v>30</v>
      </c>
      <c r="B25" s="64">
        <f>_xlfn.XLOOKUP(A25,'930E-980E'!$B$7:$B$125,'930E-980E'!$L$7:$L$125)</f>
        <v>67915.440000000031</v>
      </c>
      <c r="C25" s="65">
        <f>_xlfn.XLOOKUP(A25,'930E-980E'!$B$7:$B$125,'930E-980E'!$M$7:$M$125)</f>
        <v>45542</v>
      </c>
      <c r="D25" s="66">
        <f>_xlfn.XLOOKUP(A25,'930E-980E'!$B$7:$B$125,'930E-980E'!$N$7:$N$125)</f>
        <v>449.50999999996566</v>
      </c>
      <c r="E25" s="64">
        <f>_xlfn.XLOOKUP(A25,'930E-980E'!$B$7:$B$125,'930E-980E'!$AB$7:$AB$125)</f>
        <v>68364.95</v>
      </c>
      <c r="G25" s="77">
        <f t="shared" si="0"/>
        <v>68915.440000000031</v>
      </c>
      <c r="H25" s="66">
        <f t="shared" si="1"/>
        <v>550.49000000003434</v>
      </c>
      <c r="I25" s="69">
        <f t="shared" ca="1" si="2"/>
        <v>32.06540455162758</v>
      </c>
      <c r="J25" s="78">
        <f t="shared" ca="1" si="3"/>
        <v>45602.065404551628</v>
      </c>
      <c r="K25" s="79" t="str" cm="1">
        <f t="array" aca="1" ref="K25" ca="1">_xlfn.IFS(I25&gt;=19,"Normal",I25&gt;11.999,"Proyectar",I25&gt;0,"Programar",TRUE,"Atrasado")</f>
        <v>Normal</v>
      </c>
    </row>
    <row r="26" spans="1:11" x14ac:dyDescent="0.35">
      <c r="A26" s="50" t="s">
        <v>31</v>
      </c>
      <c r="B26" s="64">
        <f>_xlfn.XLOOKUP(A26,'930E-980E'!$B$7:$B$125,'930E-980E'!$L$7:$L$125)</f>
        <v>67694.989999999976</v>
      </c>
      <c r="C26" s="65">
        <f>_xlfn.XLOOKUP(A26,'930E-980E'!$B$7:$B$125,'930E-980E'!$M$7:$M$125)</f>
        <v>45526</v>
      </c>
      <c r="D26" s="66">
        <f>_xlfn.XLOOKUP(A26,'930E-980E'!$B$7:$B$125,'930E-980E'!$N$7:$N$125)</f>
        <v>695.68000000002212</v>
      </c>
      <c r="E26" s="64">
        <f>_xlfn.XLOOKUP(A26,'930E-980E'!$B$7:$B$125,'930E-980E'!$AB$7:$AB$125)</f>
        <v>68390.67</v>
      </c>
      <c r="G26" s="77">
        <f t="shared" si="0"/>
        <v>68694.989999999976</v>
      </c>
      <c r="H26" s="66">
        <f t="shared" si="1"/>
        <v>304.31999999997788</v>
      </c>
      <c r="I26" s="69">
        <f t="shared" ca="1" si="2"/>
        <v>17.810027598890883</v>
      </c>
      <c r="J26" s="78">
        <f t="shared" ca="1" si="3"/>
        <v>45587.810027598891</v>
      </c>
      <c r="K26" s="79" t="str" cm="1">
        <f t="array" aca="1" ref="K26" ca="1">_xlfn.IFS(I26&gt;=19,"Normal",I26&gt;11.999,"Proyectar",I26&gt;0,"Programar",TRUE,"Atrasado")</f>
        <v>Proyectar</v>
      </c>
    </row>
    <row r="27" spans="1:11" x14ac:dyDescent="0.35">
      <c r="A27" s="50" t="s">
        <v>32</v>
      </c>
      <c r="B27" s="64">
        <f>_xlfn.XLOOKUP(A27,'930E-980E'!$B$7:$B$125,'930E-980E'!$L$7:$L$125)</f>
        <v>69101.929999999993</v>
      </c>
      <c r="C27" s="65">
        <f>_xlfn.XLOOKUP(A27,'930E-980E'!$B$7:$B$125,'930E-980E'!$M$7:$M$125)</f>
        <v>45560</v>
      </c>
      <c r="D27" s="66">
        <f>_xlfn.XLOOKUP(A27,'930E-980E'!$B$7:$B$125,'930E-980E'!$N$7:$N$125)</f>
        <v>105.29000000000815</v>
      </c>
      <c r="E27" s="64">
        <f>_xlfn.XLOOKUP(A27,'930E-980E'!$B$7:$B$125,'930E-980E'!$AB$7:$AB$125)</f>
        <v>69207.22</v>
      </c>
      <c r="G27" s="77">
        <f t="shared" si="0"/>
        <v>70101.929999999993</v>
      </c>
      <c r="H27" s="66">
        <f t="shared" si="1"/>
        <v>894.70999999999185</v>
      </c>
      <c r="I27" s="69">
        <f t="shared" ca="1" si="2"/>
        <v>75.478203058213694</v>
      </c>
      <c r="J27" s="78">
        <f t="shared" ca="1" si="3"/>
        <v>45645.478203058214</v>
      </c>
      <c r="K27" s="79" t="str" cm="1">
        <f t="array" aca="1" ref="K27" ca="1">_xlfn.IFS(I27&gt;=19,"Normal",I27&gt;11.999,"Proyectar",I27&gt;0,"Programar",TRUE,"Atrasado")</f>
        <v>Normal</v>
      </c>
    </row>
    <row r="28" spans="1:11" x14ac:dyDescent="0.35">
      <c r="A28" s="50" t="s">
        <v>33</v>
      </c>
      <c r="B28" s="64">
        <f>_xlfn.XLOOKUP(A28,'930E-980E'!$B$7:$B$125,'930E-980E'!$L$7:$L$125)</f>
        <v>68839.770000000019</v>
      </c>
      <c r="C28" s="65">
        <f>_xlfn.XLOOKUP(A28,'930E-980E'!$B$7:$B$125,'930E-980E'!$M$7:$M$125)</f>
        <v>45515</v>
      </c>
      <c r="D28" s="66">
        <f>_xlfn.XLOOKUP(A28,'930E-980E'!$B$7:$B$125,'930E-980E'!$N$7:$N$125)</f>
        <v>810.04999999998836</v>
      </c>
      <c r="E28" s="64">
        <f>_xlfn.XLOOKUP(A28,'930E-980E'!$B$7:$B$125,'930E-980E'!$AB$7:$AB$125)</f>
        <v>69649.820000000007</v>
      </c>
      <c r="G28" s="77">
        <f t="shared" si="0"/>
        <v>69839.770000000019</v>
      </c>
      <c r="H28" s="66">
        <f t="shared" si="1"/>
        <v>189.95000000001164</v>
      </c>
      <c r="I28" s="69">
        <f t="shared" ca="1" si="2"/>
        <v>11.662551694338617</v>
      </c>
      <c r="J28" s="78">
        <f t="shared" ca="1" si="3"/>
        <v>45581.662551694339</v>
      </c>
      <c r="K28" s="79" t="str" cm="1">
        <f t="array" aca="1" ref="K28" ca="1">_xlfn.IFS(I28&gt;=19,"Normal",I28&gt;11.999,"Proyectar",I28&gt;0,"Programar",TRUE,"Atrasado")</f>
        <v>Programar</v>
      </c>
    </row>
    <row r="29" spans="1:11" x14ac:dyDescent="0.35">
      <c r="A29" s="50" t="s">
        <v>34</v>
      </c>
      <c r="B29" s="64">
        <f>_xlfn.XLOOKUP(A29,'930E-980E'!$B$7:$B$125,'930E-980E'!$L$7:$L$125)</f>
        <v>66771.250000000087</v>
      </c>
      <c r="C29" s="65">
        <f>_xlfn.XLOOKUP(A29,'930E-980E'!$B$7:$B$125,'930E-980E'!$M$7:$M$125)</f>
        <v>45527</v>
      </c>
      <c r="D29" s="66">
        <f>_xlfn.XLOOKUP(A29,'930E-980E'!$B$7:$B$125,'930E-980E'!$N$7:$N$125)</f>
        <v>556.09999999991851</v>
      </c>
      <c r="E29" s="64">
        <f>_xlfn.XLOOKUP(A29,'930E-980E'!$B$7:$B$125,'930E-980E'!$AB$7:$AB$125)</f>
        <v>67327.350000000006</v>
      </c>
      <c r="G29" s="77">
        <f t="shared" si="0"/>
        <v>67771.250000000087</v>
      </c>
      <c r="H29" s="66">
        <f t="shared" si="1"/>
        <v>443.90000000008149</v>
      </c>
      <c r="I29" s="69">
        <f t="shared" ca="1" si="2"/>
        <v>32.525984535168391</v>
      </c>
      <c r="J29" s="78">
        <f t="shared" ca="1" si="3"/>
        <v>45602.525984535168</v>
      </c>
      <c r="K29" s="79" t="str" cm="1">
        <f t="array" aca="1" ref="K29" ca="1">_xlfn.IFS(I29&gt;=19,"Normal",I29&gt;11.999,"Proyectar",I29&gt;0,"Programar",TRUE,"Atrasado")</f>
        <v>Normal</v>
      </c>
    </row>
    <row r="30" spans="1:11" x14ac:dyDescent="0.35">
      <c r="A30" s="50" t="s">
        <v>35</v>
      </c>
      <c r="B30" s="64">
        <f>_xlfn.XLOOKUP(A30,'930E-980E'!$B$7:$B$125,'930E-980E'!$L$7:$L$125)</f>
        <v>67838.360000000073</v>
      </c>
      <c r="C30" s="65">
        <f>_xlfn.XLOOKUP(A30,'930E-980E'!$B$7:$B$125,'930E-980E'!$M$7:$M$125)</f>
        <v>45517</v>
      </c>
      <c r="D30" s="66">
        <f>_xlfn.XLOOKUP(A30,'930E-980E'!$B$7:$B$125,'930E-980E'!$N$7:$N$125)</f>
        <v>935.26999999993131</v>
      </c>
      <c r="E30" s="64">
        <f>_xlfn.XLOOKUP(A30,'930E-980E'!$B$7:$B$125,'930E-980E'!$AB$7:$AB$125)</f>
        <v>68773.63</v>
      </c>
      <c r="G30" s="77">
        <f t="shared" si="0"/>
        <v>68838.360000000073</v>
      </c>
      <c r="H30" s="66">
        <f t="shared" si="1"/>
        <v>64.730000000068685</v>
      </c>
      <c r="I30" s="69">
        <f t="shared" ca="1" si="2"/>
        <v>2.5989179595271708</v>
      </c>
      <c r="J30" s="78">
        <f t="shared" ca="1" si="3"/>
        <v>45572.598917959527</v>
      </c>
      <c r="K30" s="79" t="str" cm="1">
        <f t="array" aca="1" ref="K30" ca="1">_xlfn.IFS(I30&gt;=19,"Normal",I30&gt;11.999,"Proyectar",I30&gt;0,"Programar",TRUE,"Atrasado")</f>
        <v>Programar</v>
      </c>
    </row>
    <row r="31" spans="1:11" x14ac:dyDescent="0.35">
      <c r="A31" s="50" t="s">
        <v>36</v>
      </c>
      <c r="B31" s="64">
        <f>_xlfn.XLOOKUP(A31,'930E-980E'!$B$7:$B$125,'930E-980E'!$L$7:$L$125)</f>
        <v>68100.25</v>
      </c>
      <c r="C31" s="65">
        <f>_xlfn.XLOOKUP(A31,'930E-980E'!$B$7:$B$125,'930E-980E'!$M$7:$M$125)</f>
        <v>45555</v>
      </c>
      <c r="D31" s="66">
        <f>_xlfn.XLOOKUP(A31,'930E-980E'!$B$7:$B$125,'930E-980E'!$N$7:$N$125)</f>
        <v>203.74000000000524</v>
      </c>
      <c r="E31" s="64">
        <f>_xlfn.XLOOKUP(A31,'930E-980E'!$B$7:$B$125,'930E-980E'!$AB$7:$AB$125)</f>
        <v>68303.990000000005</v>
      </c>
      <c r="G31" s="77">
        <f t="shared" si="0"/>
        <v>69100.25</v>
      </c>
      <c r="H31" s="66">
        <f t="shared" si="1"/>
        <v>796.25999999999476</v>
      </c>
      <c r="I31" s="69">
        <f t="shared" ca="1" si="2"/>
        <v>53.715028958475159</v>
      </c>
      <c r="J31" s="78">
        <f t="shared" ca="1" si="3"/>
        <v>45623.715028958475</v>
      </c>
      <c r="K31" s="79" t="str" cm="1">
        <f t="array" aca="1" ref="K31" ca="1">_xlfn.IFS(I31&gt;=19,"Normal",I31&gt;11.999,"Proyectar",I31&gt;0,"Programar",TRUE,"Atrasado")</f>
        <v>Normal</v>
      </c>
    </row>
    <row r="32" spans="1:11" x14ac:dyDescent="0.35">
      <c r="A32" s="50" t="s">
        <v>37</v>
      </c>
      <c r="B32" s="64">
        <f>_xlfn.XLOOKUP(A32,'930E-980E'!$B$7:$B$125,'930E-980E'!$L$7:$L$125)</f>
        <v>67748.290000000066</v>
      </c>
      <c r="C32" s="65">
        <f>_xlfn.XLOOKUP(A32,'930E-980E'!$B$7:$B$125,'930E-980E'!$M$7:$M$125)</f>
        <v>45531</v>
      </c>
      <c r="D32" s="66">
        <f>_xlfn.XLOOKUP(A32,'930E-980E'!$B$7:$B$125,'930E-980E'!$N$7:$N$125)</f>
        <v>355.28999999993539</v>
      </c>
      <c r="E32" s="64">
        <f>_xlfn.XLOOKUP(A32,'930E-980E'!$B$7:$B$125,'930E-980E'!$AB$7:$AB$125)</f>
        <v>68103.58</v>
      </c>
      <c r="G32" s="77">
        <f t="shared" si="0"/>
        <v>68748.290000000066</v>
      </c>
      <c r="H32" s="66">
        <f t="shared" si="1"/>
        <v>644.71000000006461</v>
      </c>
      <c r="I32" s="69">
        <f t="shared" ca="1" si="2"/>
        <v>67.954881927456881</v>
      </c>
      <c r="J32" s="78">
        <f t="shared" ca="1" si="3"/>
        <v>45637.954881927457</v>
      </c>
      <c r="K32" s="79" t="str" cm="1">
        <f t="array" aca="1" ref="K32" ca="1">_xlfn.IFS(I32&gt;=19,"Normal",I32&gt;11.999,"Proyectar",I32&gt;0,"Programar",TRUE,"Atrasado")</f>
        <v>Normal</v>
      </c>
    </row>
    <row r="33" spans="1:11" x14ac:dyDescent="0.35">
      <c r="A33" s="50" t="s">
        <v>38</v>
      </c>
      <c r="B33" s="64">
        <f>_xlfn.XLOOKUP(A33,'930E-980E'!$B$7:$B$125,'930E-980E'!$L$7:$L$125)</f>
        <v>68178.620000000112</v>
      </c>
      <c r="C33" s="65">
        <f>_xlfn.XLOOKUP(A33,'930E-980E'!$B$7:$B$125,'930E-980E'!$M$7:$M$125)</f>
        <v>45540</v>
      </c>
      <c r="D33" s="66">
        <f>_xlfn.XLOOKUP(A33,'930E-980E'!$B$7:$B$125,'930E-980E'!$N$7:$N$125)</f>
        <v>523.86999999989348</v>
      </c>
      <c r="E33" s="64">
        <f>_xlfn.XLOOKUP(A33,'930E-980E'!$B$7:$B$125,'930E-980E'!$AB$7:$AB$125)</f>
        <v>68702.490000000005</v>
      </c>
      <c r="G33" s="77">
        <f t="shared" si="0"/>
        <v>69178.620000000112</v>
      </c>
      <c r="H33" s="66">
        <f t="shared" si="1"/>
        <v>476.13000000010652</v>
      </c>
      <c r="I33" s="69">
        <f t="shared" ca="1" si="2"/>
        <v>25.357245118073479</v>
      </c>
      <c r="J33" s="78">
        <f t="shared" ca="1" si="3"/>
        <v>45595.357245118073</v>
      </c>
      <c r="K33" s="79" t="str" cm="1">
        <f t="array" aca="1" ref="K33" ca="1">_xlfn.IFS(I33&gt;=19,"Normal",I33&gt;11.999,"Proyectar",I33&gt;0,"Programar",TRUE,"Atrasado")</f>
        <v>Normal</v>
      </c>
    </row>
    <row r="34" spans="1:11" x14ac:dyDescent="0.35">
      <c r="A34" s="50" t="s">
        <v>39</v>
      </c>
      <c r="B34" s="64">
        <f>_xlfn.XLOOKUP(A34,'930E-980E'!$B$7:$B$125,'930E-980E'!$L$7:$L$125)</f>
        <v>66900.969999999914</v>
      </c>
      <c r="C34" s="65">
        <f>_xlfn.XLOOKUP(A34,'930E-980E'!$B$7:$B$125,'930E-980E'!$M$7:$M$125)</f>
        <v>45512</v>
      </c>
      <c r="D34" s="66">
        <f>_xlfn.XLOOKUP(A34,'930E-980E'!$B$7:$B$125,'930E-980E'!$N$7:$N$125)</f>
        <v>966.23000000008324</v>
      </c>
      <c r="E34" s="64">
        <f>_xlfn.XLOOKUP(A34,'930E-980E'!$B$7:$B$125,'930E-980E'!$AB$7:$AB$125)</f>
        <v>67867.199999999997</v>
      </c>
      <c r="G34" s="77">
        <f t="shared" si="0"/>
        <v>67900.969999999914</v>
      </c>
      <c r="H34" s="66">
        <f t="shared" si="1"/>
        <v>33.769999999916763</v>
      </c>
      <c r="I34" s="69">
        <f t="shared" ca="1" si="2"/>
        <v>0.99216542644717265</v>
      </c>
      <c r="J34" s="78">
        <f t="shared" ca="1" si="3"/>
        <v>45570.992165426447</v>
      </c>
      <c r="K34" s="79" t="str" cm="1">
        <f t="array" aca="1" ref="K34" ca="1">_xlfn.IFS(I34&gt;=19,"Normal",I34&gt;11.999,"Proyectar",I34&gt;0,"Programar",TRUE,"Atrasado")</f>
        <v>Programar</v>
      </c>
    </row>
    <row r="35" spans="1:11" x14ac:dyDescent="0.35">
      <c r="A35" s="50" t="s">
        <v>40</v>
      </c>
      <c r="B35" s="64">
        <f>_xlfn.XLOOKUP(A35,'930E-980E'!$B$7:$B$125,'930E-980E'!$L$7:$L$125)</f>
        <v>49552.3</v>
      </c>
      <c r="C35" s="65">
        <f>_xlfn.XLOOKUP(A35,'930E-980E'!$B$7:$B$125,'930E-980E'!$M$7:$M$125)</f>
        <v>45519</v>
      </c>
      <c r="D35" s="66">
        <f>_xlfn.XLOOKUP(A35,'930E-980E'!$B$7:$B$125,'930E-980E'!$N$7:$N$125)</f>
        <v>853.04999999999563</v>
      </c>
      <c r="E35" s="64">
        <f>_xlfn.XLOOKUP(A35,'930E-980E'!$B$7:$B$125,'930E-980E'!$AB$7:$AB$125)</f>
        <v>50405.35</v>
      </c>
      <c r="G35" s="77">
        <f t="shared" si="0"/>
        <v>50552.3</v>
      </c>
      <c r="H35" s="66">
        <f t="shared" si="1"/>
        <v>146.95000000000437</v>
      </c>
      <c r="I35" s="69">
        <f t="shared" ca="1" si="2"/>
        <v>7.6132114178544725</v>
      </c>
      <c r="J35" s="78">
        <f t="shared" ca="1" si="3"/>
        <v>45577.613211417854</v>
      </c>
      <c r="K35" s="79" t="str" cm="1">
        <f t="array" aca="1" ref="K35" ca="1">_xlfn.IFS(I35&gt;=19,"Normal",I35&gt;11.999,"Proyectar",I35&gt;0,"Programar",TRUE,"Atrasado")</f>
        <v>Programar</v>
      </c>
    </row>
    <row r="36" spans="1:11" x14ac:dyDescent="0.35">
      <c r="A36" s="50" t="s">
        <v>41</v>
      </c>
      <c r="B36" s="64">
        <f>_xlfn.XLOOKUP(A36,'930E-980E'!$B$7:$B$125,'930E-980E'!$L$7:$L$125)</f>
        <v>52273.699999999968</v>
      </c>
      <c r="C36" s="65">
        <f>_xlfn.XLOOKUP(A36,'930E-980E'!$B$7:$B$125,'930E-980E'!$M$7:$M$125)</f>
        <v>45527</v>
      </c>
      <c r="D36" s="66">
        <f>_xlfn.XLOOKUP(A36,'930E-980E'!$B$7:$B$125,'930E-980E'!$N$7:$N$125)</f>
        <v>717.67000000003463</v>
      </c>
      <c r="E36" s="64">
        <f>_xlfn.XLOOKUP(A36,'930E-980E'!$B$7:$B$125,'930E-980E'!$AB$7:$AB$125)</f>
        <v>52991.37</v>
      </c>
      <c r="G36" s="77">
        <f t="shared" si="0"/>
        <v>53273.699999999968</v>
      </c>
      <c r="H36" s="66">
        <f t="shared" si="1"/>
        <v>282.32999999996537</v>
      </c>
      <c r="I36" s="69">
        <f t="shared" ca="1" si="2"/>
        <v>15.522719355692971</v>
      </c>
      <c r="J36" s="78">
        <f t="shared" ca="1" si="3"/>
        <v>45585.522719355693</v>
      </c>
      <c r="K36" s="79" t="str" cm="1">
        <f t="array" aca="1" ref="K36" ca="1">_xlfn.IFS(I36&gt;=19,"Normal",I36&gt;11.999,"Proyectar",I36&gt;0,"Programar",TRUE,"Atrasado")</f>
        <v>Proyectar</v>
      </c>
    </row>
    <row r="37" spans="1:11" x14ac:dyDescent="0.35">
      <c r="A37" s="50" t="s">
        <v>42</v>
      </c>
      <c r="B37" s="64">
        <f>_xlfn.XLOOKUP(A37,'930E-980E'!$B$7:$B$125,'930E-980E'!$L$7:$L$125)</f>
        <v>46521.85000000002</v>
      </c>
      <c r="C37" s="65">
        <f>_xlfn.XLOOKUP(A37,'930E-980E'!$B$7:$B$125,'930E-980E'!$M$7:$M$125)</f>
        <v>45505</v>
      </c>
      <c r="D37" s="66">
        <f>_xlfn.XLOOKUP(A37,'930E-980E'!$B$7:$B$125,'930E-980E'!$N$7:$N$125)</f>
        <v>972.42999999997846</v>
      </c>
      <c r="E37" s="64">
        <f>_xlfn.XLOOKUP(A37,'930E-980E'!$B$7:$B$125,'930E-980E'!$AB$7:$AB$125)</f>
        <v>47494.28</v>
      </c>
      <c r="G37" s="77">
        <f t="shared" ref="G37:G68" si="4">B37+1000</f>
        <v>47521.85000000002</v>
      </c>
      <c r="H37" s="66">
        <f t="shared" ref="H37:H68" si="5">1000-D37</f>
        <v>27.570000000021537</v>
      </c>
      <c r="I37" s="69">
        <f t="shared" ref="I37:I68" ca="1" si="6">IF(D37&lt;1,"MP-RECIENTE",IF(J37&lt;TODAY()-1,-((TODAY()-1)-J37),J37-TODAY()-1))</f>
        <v>0.81450592845067149</v>
      </c>
      <c r="J37" s="78">
        <f t="shared" ref="J37:J68" ca="1" si="7">IF(D37&lt;1,"MP-RECIENTE",TODAY()+((1000-D37)/(D37/(TODAY()-C37))))</f>
        <v>45570.814505928451</v>
      </c>
      <c r="K37" s="79" t="str" cm="1">
        <f t="array" aca="1" ref="K37" ca="1">_xlfn.IFS(I37&gt;=19,"Normal",I37&gt;11.999,"Proyectar",I37&gt;0,"Programar",TRUE,"Atrasado")</f>
        <v>Programar</v>
      </c>
    </row>
    <row r="38" spans="1:11" x14ac:dyDescent="0.35">
      <c r="A38" s="50" t="s">
        <v>43</v>
      </c>
      <c r="B38" s="64">
        <f>_xlfn.XLOOKUP(A38,'930E-980E'!$B$7:$B$125,'930E-980E'!$L$7:$L$125)</f>
        <v>52345.050000000047</v>
      </c>
      <c r="C38" s="65">
        <f>_xlfn.XLOOKUP(A38,'930E-980E'!$B$7:$B$125,'930E-980E'!$M$7:$M$125)</f>
        <v>45539</v>
      </c>
      <c r="D38" s="66">
        <f>_xlfn.XLOOKUP(A38,'930E-980E'!$B$7:$B$125,'930E-980E'!$N$7:$N$125)</f>
        <v>458.35999999995693</v>
      </c>
      <c r="E38" s="64">
        <f>_xlfn.XLOOKUP(A38,'930E-980E'!$B$7:$B$125,'930E-980E'!$AB$7:$AB$125)</f>
        <v>52803.41</v>
      </c>
      <c r="G38" s="77">
        <f t="shared" si="4"/>
        <v>53345.050000000047</v>
      </c>
      <c r="H38" s="66">
        <f t="shared" si="5"/>
        <v>541.64000000004307</v>
      </c>
      <c r="I38" s="69">
        <f t="shared" ca="1" si="6"/>
        <v>34.450737411651062</v>
      </c>
      <c r="J38" s="78">
        <f t="shared" ca="1" si="7"/>
        <v>45604.450737411651</v>
      </c>
      <c r="K38" s="79" t="str" cm="1">
        <f t="array" aca="1" ref="K38" ca="1">_xlfn.IFS(I38&gt;=19,"Normal",I38&gt;11.999,"Proyectar",I38&gt;0,"Programar",TRUE,"Atrasado")</f>
        <v>Normal</v>
      </c>
    </row>
    <row r="39" spans="1:11" x14ac:dyDescent="0.35">
      <c r="A39" s="50" t="s">
        <v>44</v>
      </c>
      <c r="B39" s="64">
        <f>_xlfn.XLOOKUP(A39,'930E-980E'!$B$7:$B$125,'930E-980E'!$L$7:$L$125)</f>
        <v>52445</v>
      </c>
      <c r="C39" s="65">
        <f>_xlfn.XLOOKUP(A39,'930E-980E'!$B$7:$B$125,'930E-980E'!$M$7:$M$125)</f>
        <v>45489</v>
      </c>
      <c r="D39" s="66">
        <f>_xlfn.XLOOKUP(A39,'930E-980E'!$B$7:$B$125,'930E-980E'!$N$7:$N$125)</f>
        <v>940.66000000000349</v>
      </c>
      <c r="E39" s="64">
        <f>_xlfn.XLOOKUP(A39,'930E-980E'!$B$7:$B$125,'930E-980E'!$AB$7:$AB$125)</f>
        <v>53385.66</v>
      </c>
      <c r="G39" s="77">
        <f t="shared" si="4"/>
        <v>53445</v>
      </c>
      <c r="H39" s="66">
        <f t="shared" si="5"/>
        <v>59.339999999996508</v>
      </c>
      <c r="I39" s="69">
        <f t="shared" ca="1" si="6"/>
        <v>4.0466693598136771</v>
      </c>
      <c r="J39" s="78">
        <f t="shared" ca="1" si="7"/>
        <v>45574.046669359814</v>
      </c>
      <c r="K39" s="79" t="str" cm="1">
        <f t="array" aca="1" ref="K39" ca="1">_xlfn.IFS(I39&gt;=19,"Normal",I39&gt;11.999,"Proyectar",I39&gt;0,"Programar",TRUE,"Atrasado")</f>
        <v>Programar</v>
      </c>
    </row>
    <row r="40" spans="1:11" x14ac:dyDescent="0.35">
      <c r="A40" s="50" t="s">
        <v>45</v>
      </c>
      <c r="B40" s="64">
        <f>_xlfn.XLOOKUP(A40,'930E-980E'!$B$7:$B$125,'930E-980E'!$L$7:$L$125)</f>
        <v>51758.41</v>
      </c>
      <c r="C40" s="65">
        <f>_xlfn.XLOOKUP(A40,'930E-980E'!$B$7:$B$125,'930E-980E'!$M$7:$M$125)</f>
        <v>45560</v>
      </c>
      <c r="D40" s="66">
        <f>_xlfn.XLOOKUP(A40,'930E-980E'!$B$7:$B$125,'930E-980E'!$N$7:$N$125)</f>
        <v>66.109999999993306</v>
      </c>
      <c r="E40" s="64">
        <f>_xlfn.XLOOKUP(A40,'930E-980E'!$B$7:$B$125,'930E-980E'!$AB$7:$AB$125)</f>
        <v>51824.52</v>
      </c>
      <c r="G40" s="77">
        <f t="shared" si="4"/>
        <v>52758.41</v>
      </c>
      <c r="H40" s="66">
        <f t="shared" si="5"/>
        <v>933.89000000000669</v>
      </c>
      <c r="I40" s="69">
        <f t="shared" ca="1" si="6"/>
        <v>126.13674179399095</v>
      </c>
      <c r="J40" s="78">
        <f t="shared" ca="1" si="7"/>
        <v>45696.136741793991</v>
      </c>
      <c r="K40" s="79" t="str" cm="1">
        <f t="array" aca="1" ref="K40" ca="1">_xlfn.IFS(I40&gt;=19,"Normal",I40&gt;11.999,"Proyectar",I40&gt;0,"Programar",TRUE,"Atrasado")</f>
        <v>Normal</v>
      </c>
    </row>
    <row r="41" spans="1:11" x14ac:dyDescent="0.35">
      <c r="A41" s="50" t="s">
        <v>46</v>
      </c>
      <c r="B41" s="64">
        <f>_xlfn.XLOOKUP(A41,'930E-980E'!$B$7:$B$125,'930E-980E'!$L$7:$L$125)</f>
        <v>52136.809999999969</v>
      </c>
      <c r="C41" s="65">
        <f>_xlfn.XLOOKUP(A41,'930E-980E'!$B$7:$B$125,'930E-980E'!$M$7:$M$125)</f>
        <v>45515</v>
      </c>
      <c r="D41" s="66">
        <f>_xlfn.XLOOKUP(A41,'930E-980E'!$B$7:$B$125,'930E-980E'!$N$7:$N$125)</f>
        <v>972.9100000000326</v>
      </c>
      <c r="E41" s="64">
        <f>_xlfn.XLOOKUP(A41,'930E-980E'!$B$7:$B$125,'930E-980E'!$AB$7:$AB$125)</f>
        <v>53109.72</v>
      </c>
      <c r="G41" s="77">
        <f t="shared" si="4"/>
        <v>53136.809999999969</v>
      </c>
      <c r="H41" s="66">
        <f t="shared" si="5"/>
        <v>27.089999999967404</v>
      </c>
      <c r="I41" s="69">
        <f t="shared" ca="1" si="6"/>
        <v>0.50359231583570363</v>
      </c>
      <c r="J41" s="78">
        <f t="shared" ca="1" si="7"/>
        <v>45570.503592315836</v>
      </c>
      <c r="K41" s="79" t="str" cm="1">
        <f t="array" aca="1" ref="K41" ca="1">_xlfn.IFS(I41&gt;=19,"Normal",I41&gt;11.999,"Proyectar",I41&gt;0,"Programar",TRUE,"Atrasado")</f>
        <v>Programar</v>
      </c>
    </row>
    <row r="42" spans="1:11" x14ac:dyDescent="0.35">
      <c r="A42" s="50" t="s">
        <v>47</v>
      </c>
      <c r="B42" s="64">
        <f>_xlfn.XLOOKUP(A42,'930E-980E'!$B$7:$B$125,'930E-980E'!$L$7:$L$125)</f>
        <v>50260.81</v>
      </c>
      <c r="C42" s="65">
        <f>_xlfn.XLOOKUP(A42,'930E-980E'!$B$7:$B$125,'930E-980E'!$M$7:$M$125)</f>
        <v>45541</v>
      </c>
      <c r="D42" s="66">
        <f>_xlfn.XLOOKUP(A42,'930E-980E'!$B$7:$B$125,'930E-980E'!$N$7:$N$125)</f>
        <v>502.99000000000524</v>
      </c>
      <c r="E42" s="64">
        <f>_xlfn.XLOOKUP(A42,'930E-980E'!$B$7:$B$125,'930E-980E'!$AB$7:$AB$125)</f>
        <v>50763.8</v>
      </c>
      <c r="G42" s="77">
        <f t="shared" si="4"/>
        <v>51260.81</v>
      </c>
      <c r="H42" s="66">
        <f t="shared" si="5"/>
        <v>497.00999999999476</v>
      </c>
      <c r="I42" s="69">
        <f t="shared" ca="1" si="6"/>
        <v>26.667110678143217</v>
      </c>
      <c r="J42" s="78">
        <f t="shared" ca="1" si="7"/>
        <v>45596.667110678143</v>
      </c>
      <c r="K42" s="79" t="str" cm="1">
        <f t="array" aca="1" ref="K42" ca="1">_xlfn.IFS(I42&gt;=19,"Normal",I42&gt;11.999,"Proyectar",I42&gt;0,"Programar",TRUE,"Atrasado")</f>
        <v>Normal</v>
      </c>
    </row>
    <row r="43" spans="1:11" x14ac:dyDescent="0.35">
      <c r="A43" s="50" t="s">
        <v>48</v>
      </c>
      <c r="B43" s="64">
        <f>_xlfn.XLOOKUP(A43,'930E-980E'!$B$7:$B$125,'930E-980E'!$L$7:$L$125)</f>
        <v>43038.049999999945</v>
      </c>
      <c r="C43" s="65">
        <f>_xlfn.XLOOKUP(A43,'930E-980E'!$B$7:$B$125,'930E-980E'!$M$7:$M$125)</f>
        <v>45533</v>
      </c>
      <c r="D43" s="66">
        <f>_xlfn.XLOOKUP(A43,'930E-980E'!$B$7:$B$125,'930E-980E'!$N$7:$N$125)</f>
        <v>443.5400000000518</v>
      </c>
      <c r="E43" s="64">
        <f>_xlfn.XLOOKUP(A43,'930E-980E'!$B$7:$B$125,'930E-980E'!$AB$7:$AB$125)</f>
        <v>43481.59</v>
      </c>
      <c r="G43" s="77">
        <f t="shared" si="4"/>
        <v>44038.049999999945</v>
      </c>
      <c r="H43" s="66">
        <f t="shared" si="5"/>
        <v>556.4599999999482</v>
      </c>
      <c r="I43" s="69">
        <f t="shared" ca="1" si="6"/>
        <v>44.165171123226173</v>
      </c>
      <c r="J43" s="78">
        <f t="shared" ca="1" si="7"/>
        <v>45614.165171123226</v>
      </c>
      <c r="K43" s="79" t="str" cm="1">
        <f t="array" aca="1" ref="K43" ca="1">_xlfn.IFS(I43&gt;=19,"Normal",I43&gt;11.999,"Proyectar",I43&gt;0,"Programar",TRUE,"Atrasado")</f>
        <v>Normal</v>
      </c>
    </row>
    <row r="44" spans="1:11" x14ac:dyDescent="0.35">
      <c r="A44" s="50" t="s">
        <v>49</v>
      </c>
      <c r="B44" s="64">
        <f>_xlfn.XLOOKUP(A44,'930E-980E'!$B$7:$B$125,'930E-980E'!$L$7:$L$125)</f>
        <v>53171.23</v>
      </c>
      <c r="C44" s="65">
        <f>_xlfn.XLOOKUP(A44,'930E-980E'!$B$7:$B$125,'930E-980E'!$M$7:$M$125)</f>
        <v>45566</v>
      </c>
      <c r="D44" s="66">
        <f>_xlfn.XLOOKUP(A44,'930E-980E'!$B$7:$B$125,'930E-980E'!$N$7:$N$125)</f>
        <v>0</v>
      </c>
      <c r="E44" s="64">
        <f>_xlfn.XLOOKUP(A44,'930E-980E'!$B$7:$B$125,'930E-980E'!$AB$7:$AB$125)</f>
        <v>53171.23</v>
      </c>
      <c r="G44" s="77">
        <f t="shared" si="4"/>
        <v>54171.23</v>
      </c>
      <c r="H44" s="66">
        <f t="shared" si="5"/>
        <v>1000</v>
      </c>
      <c r="I44" s="69" t="str">
        <f t="shared" ca="1" si="6"/>
        <v>MP-RECIENTE</v>
      </c>
      <c r="J44" s="78" t="str">
        <f t="shared" ca="1" si="7"/>
        <v>MP-RECIENTE</v>
      </c>
      <c r="K44" s="79" t="str" cm="1">
        <f t="array" aca="1" ref="K44" ca="1">_xlfn.IFS(I44&gt;=19,"Normal",I44&gt;11.999,"Proyectar",I44&gt;0,"Programar",TRUE,"Atrasado")</f>
        <v>Normal</v>
      </c>
    </row>
    <row r="45" spans="1:11" x14ac:dyDescent="0.35">
      <c r="A45" s="50" t="s">
        <v>50</v>
      </c>
      <c r="B45" s="64">
        <f>_xlfn.XLOOKUP(A45,'930E-980E'!$B$7:$B$125,'930E-980E'!$L$7:$L$125)</f>
        <v>52700.800000000003</v>
      </c>
      <c r="C45" s="65">
        <f>_xlfn.XLOOKUP(A45,'930E-980E'!$B$7:$B$125,'930E-980E'!$M$7:$M$125)</f>
        <v>45544</v>
      </c>
      <c r="D45" s="66">
        <f>_xlfn.XLOOKUP(A45,'930E-980E'!$B$7:$B$125,'930E-980E'!$N$7:$N$125)</f>
        <v>357.39999999999418</v>
      </c>
      <c r="E45" s="64">
        <f>_xlfn.XLOOKUP(A45,'930E-980E'!$B$7:$B$125,'930E-980E'!$AB$7:$AB$125)</f>
        <v>53058.2</v>
      </c>
      <c r="G45" s="77">
        <f t="shared" si="4"/>
        <v>53700.800000000003</v>
      </c>
      <c r="H45" s="66">
        <f t="shared" si="5"/>
        <v>642.60000000000582</v>
      </c>
      <c r="I45" s="69">
        <f t="shared" ca="1" si="6"/>
        <v>43.949636261895648</v>
      </c>
      <c r="J45" s="78">
        <f t="shared" ca="1" si="7"/>
        <v>45613.949636261896</v>
      </c>
      <c r="K45" s="79" t="str" cm="1">
        <f t="array" aca="1" ref="K45" ca="1">_xlfn.IFS(I45&gt;=19,"Normal",I45&gt;11.999,"Proyectar",I45&gt;0,"Programar",TRUE,"Atrasado")</f>
        <v>Normal</v>
      </c>
    </row>
    <row r="46" spans="1:11" x14ac:dyDescent="0.35">
      <c r="A46" s="50" t="s">
        <v>51</v>
      </c>
      <c r="B46" s="64">
        <f>_xlfn.XLOOKUP(A46,'930E-980E'!$B$7:$B$125,'930E-980E'!$L$7:$L$125)</f>
        <v>51770.849999999926</v>
      </c>
      <c r="C46" s="65">
        <f>_xlfn.XLOOKUP(A46,'930E-980E'!$B$7:$B$125,'930E-980E'!$M$7:$M$125)</f>
        <v>45508</v>
      </c>
      <c r="D46" s="66">
        <f>_xlfn.XLOOKUP(A46,'930E-980E'!$B$7:$B$125,'930E-980E'!$N$7:$N$125)</f>
        <v>1087.2900000000736</v>
      </c>
      <c r="E46" s="64">
        <f>_xlfn.XLOOKUP(A46,'930E-980E'!$B$7:$B$125,'930E-980E'!$AB$7:$AB$125)</f>
        <v>52858.14</v>
      </c>
      <c r="G46" s="77">
        <f t="shared" si="4"/>
        <v>52770.849999999926</v>
      </c>
      <c r="H46" s="66">
        <f t="shared" si="5"/>
        <v>-87.290000000073633</v>
      </c>
      <c r="I46" s="69">
        <f t="shared" ca="1" si="6"/>
        <v>-3.897212335257791</v>
      </c>
      <c r="J46" s="78">
        <f t="shared" ca="1" si="7"/>
        <v>45564.102787664742</v>
      </c>
      <c r="K46" s="79" t="str" cm="1">
        <f t="array" aca="1" ref="K46" ca="1">_xlfn.IFS(I46&gt;=19,"Normal",I46&gt;11.999,"Proyectar",I46&gt;0,"Programar",TRUE,"Atrasado")</f>
        <v>Atrasado</v>
      </c>
    </row>
    <row r="47" spans="1:11" x14ac:dyDescent="0.35">
      <c r="A47" s="50" t="s">
        <v>52</v>
      </c>
      <c r="B47" s="64">
        <f>_xlfn.XLOOKUP(A47,'930E-980E'!$B$7:$B$125,'930E-980E'!$L$7:$L$125)</f>
        <v>44763.360000000001</v>
      </c>
      <c r="C47" s="65">
        <f>_xlfn.XLOOKUP(A47,'930E-980E'!$B$7:$B$125,'930E-980E'!$M$7:$M$125)</f>
        <v>45553</v>
      </c>
      <c r="D47" s="66">
        <f>_xlfn.XLOOKUP(A47,'930E-980E'!$B$7:$B$125,'930E-980E'!$N$7:$N$125)</f>
        <v>244.41999999999825</v>
      </c>
      <c r="E47" s="64">
        <f>_xlfn.XLOOKUP(A47,'930E-980E'!$B$7:$B$125,'930E-980E'!$AB$7:$AB$125)</f>
        <v>45007.78</v>
      </c>
      <c r="G47" s="77">
        <f t="shared" si="4"/>
        <v>45763.360000000001</v>
      </c>
      <c r="H47" s="66">
        <f t="shared" si="5"/>
        <v>755.58000000000175</v>
      </c>
      <c r="I47" s="69">
        <f t="shared" ca="1" si="6"/>
        <v>48.461091563702212</v>
      </c>
      <c r="J47" s="78">
        <f t="shared" ca="1" si="7"/>
        <v>45618.461091563702</v>
      </c>
      <c r="K47" s="79" t="str" cm="1">
        <f t="array" aca="1" ref="K47" ca="1">_xlfn.IFS(I47&gt;=19,"Normal",I47&gt;11.999,"Proyectar",I47&gt;0,"Programar",TRUE,"Atrasado")</f>
        <v>Normal</v>
      </c>
    </row>
    <row r="48" spans="1:11" x14ac:dyDescent="0.35">
      <c r="A48" s="50" t="s">
        <v>53</v>
      </c>
      <c r="B48" s="64">
        <f>_xlfn.XLOOKUP(A48,'930E-980E'!$B$7:$B$125,'930E-980E'!$L$7:$L$125)</f>
        <v>47011.97</v>
      </c>
      <c r="C48" s="65">
        <f>_xlfn.XLOOKUP(A48,'930E-980E'!$B$7:$B$125,'930E-980E'!$M$7:$M$125)</f>
        <v>45569</v>
      </c>
      <c r="D48" s="66">
        <f>_xlfn.XLOOKUP(A48,'930E-980E'!$B$7:$B$125,'930E-980E'!$N$7:$N$125)</f>
        <v>0</v>
      </c>
      <c r="E48" s="64">
        <f>_xlfn.XLOOKUP(A48,'930E-980E'!$B$7:$B$125,'930E-980E'!$AB$7:$AB$125)</f>
        <v>47011.97</v>
      </c>
      <c r="G48" s="77">
        <f t="shared" si="4"/>
        <v>48011.97</v>
      </c>
      <c r="H48" s="66">
        <f t="shared" si="5"/>
        <v>1000</v>
      </c>
      <c r="I48" s="69" t="str">
        <f t="shared" ca="1" si="6"/>
        <v>MP-RECIENTE</v>
      </c>
      <c r="J48" s="78" t="str">
        <f t="shared" ca="1" si="7"/>
        <v>MP-RECIENTE</v>
      </c>
      <c r="K48" s="79" t="str" cm="1">
        <f t="array" aca="1" ref="K48" ca="1">_xlfn.IFS(I48&gt;=19,"Normal",I48&gt;11.999,"Proyectar",I48&gt;0,"Programar",TRUE,"Atrasado")</f>
        <v>Normal</v>
      </c>
    </row>
    <row r="49" spans="1:11" x14ac:dyDescent="0.35">
      <c r="A49" s="50" t="s">
        <v>54</v>
      </c>
      <c r="B49" s="64">
        <f>_xlfn.XLOOKUP(A49,'930E-980E'!$B$7:$B$125,'930E-980E'!$L$7:$L$125)</f>
        <v>44793.629999999932</v>
      </c>
      <c r="C49" s="65">
        <f>_xlfn.XLOOKUP(A49,'930E-980E'!$B$7:$B$125,'930E-980E'!$M$7:$M$125)</f>
        <v>45516</v>
      </c>
      <c r="D49" s="66">
        <f>_xlfn.XLOOKUP(A49,'930E-980E'!$B$7:$B$125,'930E-980E'!$N$7:$N$125)</f>
        <v>809.95000000006985</v>
      </c>
      <c r="E49" s="64">
        <f>_xlfn.XLOOKUP(A49,'930E-980E'!$B$7:$B$125,'930E-980E'!$AB$7:$AB$125)</f>
        <v>45603.58</v>
      </c>
      <c r="G49" s="77">
        <f t="shared" si="4"/>
        <v>45793.629999999932</v>
      </c>
      <c r="H49" s="66">
        <f t="shared" si="5"/>
        <v>190.04999999993015</v>
      </c>
      <c r="I49" s="69">
        <f t="shared" ca="1" si="6"/>
        <v>11.43613803320477</v>
      </c>
      <c r="J49" s="78">
        <f t="shared" ca="1" si="7"/>
        <v>45581.436138033205</v>
      </c>
      <c r="K49" s="79" t="str" cm="1">
        <f t="array" aca="1" ref="K49" ca="1">_xlfn.IFS(I49&gt;=19,"Normal",I49&gt;11.999,"Proyectar",I49&gt;0,"Programar",TRUE,"Atrasado")</f>
        <v>Programar</v>
      </c>
    </row>
    <row r="50" spans="1:11" x14ac:dyDescent="0.35">
      <c r="A50" s="50" t="s">
        <v>55</v>
      </c>
      <c r="B50" s="64">
        <f>_xlfn.XLOOKUP(A50,'930E-980E'!$B$7:$B$125,'930E-980E'!$L$7:$L$125)</f>
        <v>44722.440000000061</v>
      </c>
      <c r="C50" s="65">
        <f>_xlfn.XLOOKUP(A50,'930E-980E'!$B$7:$B$125,'930E-980E'!$M$7:$M$125)</f>
        <v>45515</v>
      </c>
      <c r="D50" s="66">
        <f>_xlfn.XLOOKUP(A50,'930E-980E'!$B$7:$B$125,'930E-980E'!$N$7:$N$125)</f>
        <v>831.13999999994121</v>
      </c>
      <c r="E50" s="64">
        <f>_xlfn.XLOOKUP(A50,'930E-980E'!$B$7:$B$125,'930E-980E'!$AB$7:$AB$125)</f>
        <v>45553.58</v>
      </c>
      <c r="G50" s="77">
        <f t="shared" si="4"/>
        <v>45722.440000000061</v>
      </c>
      <c r="H50" s="66">
        <f t="shared" si="5"/>
        <v>168.86000000005879</v>
      </c>
      <c r="I50" s="69">
        <f t="shared" ca="1" si="6"/>
        <v>9.9710036816977663</v>
      </c>
      <c r="J50" s="78">
        <f t="shared" ca="1" si="7"/>
        <v>45579.971003681698</v>
      </c>
      <c r="K50" s="79" t="str" cm="1">
        <f t="array" aca="1" ref="K50" ca="1">_xlfn.IFS(I50&gt;=19,"Normal",I50&gt;11.999,"Proyectar",I50&gt;0,"Programar",TRUE,"Atrasado")</f>
        <v>Programar</v>
      </c>
    </row>
    <row r="51" spans="1:11" x14ac:dyDescent="0.35">
      <c r="A51" s="50" t="s">
        <v>56</v>
      </c>
      <c r="B51" s="64">
        <f>_xlfn.XLOOKUP(A51,'930E-980E'!$B$7:$B$125,'930E-980E'!$L$7:$L$125)</f>
        <v>44498.6</v>
      </c>
      <c r="C51" s="65">
        <f>_xlfn.XLOOKUP(A51,'930E-980E'!$B$7:$B$125,'930E-980E'!$M$7:$M$125)</f>
        <v>45543</v>
      </c>
      <c r="D51" s="66">
        <f>_xlfn.XLOOKUP(A51,'930E-980E'!$B$7:$B$125,'930E-980E'!$N$7:$N$125)</f>
        <v>293.54000000000087</v>
      </c>
      <c r="E51" s="64">
        <f>_xlfn.XLOOKUP(A51,'930E-980E'!$B$7:$B$125,'930E-980E'!$AB$7:$AB$125)</f>
        <v>44792.14</v>
      </c>
      <c r="G51" s="77">
        <f t="shared" si="4"/>
        <v>45498.6</v>
      </c>
      <c r="H51" s="66">
        <f t="shared" si="5"/>
        <v>706.45999999999913</v>
      </c>
      <c r="I51" s="69">
        <f t="shared" ca="1" si="6"/>
        <v>61.573959255976661</v>
      </c>
      <c r="J51" s="78">
        <f t="shared" ca="1" si="7"/>
        <v>45631.573959255977</v>
      </c>
      <c r="K51" s="79" t="str" cm="1">
        <f t="array" aca="1" ref="K51" ca="1">_xlfn.IFS(I51&gt;=19,"Normal",I51&gt;11.999,"Proyectar",I51&gt;0,"Programar",TRUE,"Atrasado")</f>
        <v>Normal</v>
      </c>
    </row>
    <row r="52" spans="1:11" x14ac:dyDescent="0.35">
      <c r="A52" s="50" t="s">
        <v>57</v>
      </c>
      <c r="B52" s="64">
        <f>_xlfn.XLOOKUP(A52,'930E-980E'!$B$7:$B$125,'930E-980E'!$L$7:$L$125)</f>
        <v>42262.8</v>
      </c>
      <c r="C52" s="65">
        <f>_xlfn.XLOOKUP(A52,'930E-980E'!$B$7:$B$125,'930E-980E'!$M$7:$M$125)</f>
        <v>45491</v>
      </c>
      <c r="D52" s="66">
        <f>_xlfn.XLOOKUP(A52,'930E-980E'!$B$7:$B$125,'930E-980E'!$N$7:$N$125)</f>
        <v>1125.9199999999983</v>
      </c>
      <c r="E52" s="64">
        <f>_xlfn.XLOOKUP(A52,'930E-980E'!$B$7:$B$125,'930E-980E'!$AB$7:$AB$125)</f>
        <v>43388.72</v>
      </c>
      <c r="G52" s="77">
        <f t="shared" si="4"/>
        <v>43262.8</v>
      </c>
      <c r="H52" s="66">
        <f t="shared" si="5"/>
        <v>-125.91999999999825</v>
      </c>
      <c r="I52" s="69">
        <f t="shared" ca="1" si="6"/>
        <v>-7.7233195964217884</v>
      </c>
      <c r="J52" s="78">
        <f t="shared" ca="1" si="7"/>
        <v>45560.276680403578</v>
      </c>
      <c r="K52" s="79" t="str" cm="1">
        <f t="array" aca="1" ref="K52" ca="1">_xlfn.IFS(I52&gt;=19,"Normal",I52&gt;11.999,"Proyectar",I52&gt;0,"Programar",TRUE,"Atrasado")</f>
        <v>Atrasado</v>
      </c>
    </row>
    <row r="53" spans="1:11" x14ac:dyDescent="0.35">
      <c r="A53" s="50" t="s">
        <v>58</v>
      </c>
      <c r="B53" s="64">
        <f>_xlfn.XLOOKUP(A53,'930E-980E'!$B$7:$B$125,'930E-980E'!$L$7:$L$125)</f>
        <v>42747</v>
      </c>
      <c r="C53" s="65">
        <f>_xlfn.XLOOKUP(A53,'930E-980E'!$B$7:$B$125,'930E-980E'!$M$7:$M$125)</f>
        <v>45549</v>
      </c>
      <c r="D53" s="66">
        <f>_xlfn.XLOOKUP(A53,'930E-980E'!$B$7:$B$125,'930E-980E'!$N$7:$N$125)</f>
        <v>303.31999999999971</v>
      </c>
      <c r="E53" s="64">
        <f>_xlfn.XLOOKUP(A53,'930E-980E'!$B$7:$B$125,'930E-980E'!$AB$7:$AB$125)</f>
        <v>43050.32</v>
      </c>
      <c r="G53" s="77">
        <f t="shared" si="4"/>
        <v>43747</v>
      </c>
      <c r="H53" s="66">
        <f t="shared" si="5"/>
        <v>696.68000000000029</v>
      </c>
      <c r="I53" s="69">
        <f t="shared" ca="1" si="6"/>
        <v>44.936964262167749</v>
      </c>
      <c r="J53" s="78">
        <f t="shared" ca="1" si="7"/>
        <v>45614.936964262168</v>
      </c>
      <c r="K53" s="79" t="str" cm="1">
        <f t="array" aca="1" ref="K53" ca="1">_xlfn.IFS(I53&gt;=19,"Normal",I53&gt;11.999,"Proyectar",I53&gt;0,"Programar",TRUE,"Atrasado")</f>
        <v>Normal</v>
      </c>
    </row>
    <row r="54" spans="1:11" x14ac:dyDescent="0.35">
      <c r="A54" s="50" t="s">
        <v>59</v>
      </c>
      <c r="B54" s="64">
        <f>_xlfn.XLOOKUP(A54,'930E-980E'!$B$7:$B$125,'930E-980E'!$L$7:$L$125)</f>
        <v>45452.310000000049</v>
      </c>
      <c r="C54" s="65">
        <f>_xlfn.XLOOKUP(A54,'930E-980E'!$B$7:$B$125,'930E-980E'!$M$7:$M$125)</f>
        <v>45534</v>
      </c>
      <c r="D54" s="66">
        <f>_xlfn.XLOOKUP(A54,'930E-980E'!$B$7:$B$125,'930E-980E'!$N$7:$N$125)</f>
        <v>601.86999999995169</v>
      </c>
      <c r="E54" s="64">
        <f>_xlfn.XLOOKUP(A54,'930E-980E'!$B$7:$B$125,'930E-980E'!$AB$7:$AB$125)</f>
        <v>46054.18</v>
      </c>
      <c r="G54" s="77">
        <f t="shared" si="4"/>
        <v>46452.310000000049</v>
      </c>
      <c r="H54" s="66">
        <f t="shared" si="5"/>
        <v>398.13000000004831</v>
      </c>
      <c r="I54" s="69">
        <f t="shared" ca="1" si="6"/>
        <v>22.152092644595541</v>
      </c>
      <c r="J54" s="78">
        <f t="shared" ca="1" si="7"/>
        <v>45592.152092644596</v>
      </c>
      <c r="K54" s="79" t="str" cm="1">
        <f t="array" aca="1" ref="K54" ca="1">_xlfn.IFS(I54&gt;=19,"Normal",I54&gt;11.999,"Proyectar",I54&gt;0,"Programar",TRUE,"Atrasado")</f>
        <v>Normal</v>
      </c>
    </row>
    <row r="55" spans="1:11" x14ac:dyDescent="0.35">
      <c r="A55" s="50" t="s">
        <v>60</v>
      </c>
      <c r="B55" s="64">
        <f>_xlfn.XLOOKUP(A55,'930E-980E'!$B$7:$B$125,'930E-980E'!$L$7:$L$125)</f>
        <v>44895.140000000181</v>
      </c>
      <c r="C55" s="65">
        <f>_xlfn.XLOOKUP(A55,'930E-980E'!$B$7:$B$125,'930E-980E'!$M$7:$M$125)</f>
        <v>45528</v>
      </c>
      <c r="D55" s="66">
        <f>_xlfn.XLOOKUP(A55,'930E-980E'!$B$7:$B$125,'930E-980E'!$N$7:$N$125)</f>
        <v>625.62999999981548</v>
      </c>
      <c r="E55" s="64">
        <f>_xlfn.XLOOKUP(A55,'930E-980E'!$B$7:$B$125,'930E-980E'!$AB$7:$AB$125)</f>
        <v>45520.77</v>
      </c>
      <c r="G55" s="77">
        <f t="shared" si="4"/>
        <v>45895.140000000181</v>
      </c>
      <c r="H55" s="66">
        <f t="shared" si="5"/>
        <v>374.37000000018452</v>
      </c>
      <c r="I55" s="69">
        <f t="shared" ca="1" si="6"/>
        <v>23.53394178669987</v>
      </c>
      <c r="J55" s="78">
        <f t="shared" ca="1" si="7"/>
        <v>45593.5339417867</v>
      </c>
      <c r="K55" s="79" t="str" cm="1">
        <f t="array" aca="1" ref="K55" ca="1">_xlfn.IFS(I55&gt;=19,"Normal",I55&gt;11.999,"Proyectar",I55&gt;0,"Programar",TRUE,"Atrasado")</f>
        <v>Normal</v>
      </c>
    </row>
    <row r="56" spans="1:11" x14ac:dyDescent="0.35">
      <c r="A56" s="50" t="s">
        <v>61</v>
      </c>
      <c r="B56" s="64">
        <f>_xlfn.XLOOKUP(A56,'930E-980E'!$B$7:$B$125,'930E-980E'!$L$7:$L$125)</f>
        <v>44327.8</v>
      </c>
      <c r="C56" s="65">
        <f>_xlfn.XLOOKUP(A56,'930E-980E'!$B$7:$B$125,'930E-980E'!$M$7:$M$125)</f>
        <v>45507</v>
      </c>
      <c r="D56" s="66">
        <f>_xlfn.XLOOKUP(A56,'930E-980E'!$B$7:$B$125,'930E-980E'!$N$7:$N$125)</f>
        <v>995.34999999999854</v>
      </c>
      <c r="E56" s="64">
        <f>_xlfn.XLOOKUP(A56,'930E-980E'!$B$7:$B$125,'930E-980E'!$AB$7:$AB$125)</f>
        <v>45323.15</v>
      </c>
      <c r="G56" s="77">
        <f t="shared" si="4"/>
        <v>45327.8</v>
      </c>
      <c r="H56" s="66">
        <f t="shared" si="5"/>
        <v>4.6500000000014552</v>
      </c>
      <c r="I56" s="69">
        <f t="shared" ca="1" si="6"/>
        <v>-0.71035314210894285</v>
      </c>
      <c r="J56" s="78">
        <f t="shared" ca="1" si="7"/>
        <v>45569.289646857891</v>
      </c>
      <c r="K56" s="79" t="str" cm="1">
        <f t="array" aca="1" ref="K56" ca="1">_xlfn.IFS(I56&gt;=19,"Normal",I56&gt;11.999,"Proyectar",I56&gt;0,"Programar",TRUE,"Atrasado")</f>
        <v>Atrasado</v>
      </c>
    </row>
    <row r="57" spans="1:11" x14ac:dyDescent="0.35">
      <c r="A57" s="50" t="s">
        <v>62</v>
      </c>
      <c r="B57" s="64">
        <f>_xlfn.XLOOKUP(A57,'930E-980E'!$B$7:$B$125,'930E-980E'!$L$7:$L$125)</f>
        <v>54696.570000000029</v>
      </c>
      <c r="C57" s="65">
        <f>_xlfn.XLOOKUP(A57,'930E-980E'!$B$7:$B$125,'930E-980E'!$M$7:$M$125)</f>
        <v>45541</v>
      </c>
      <c r="D57" s="66">
        <f>_xlfn.XLOOKUP(A57,'930E-980E'!$B$7:$B$125,'930E-980E'!$N$7:$N$125)</f>
        <v>430.52999999996973</v>
      </c>
      <c r="E57" s="64">
        <f>_xlfn.XLOOKUP(A57,'930E-980E'!$B$7:$B$125,'930E-980E'!$AB$7:$AB$125)</f>
        <v>55127.1</v>
      </c>
      <c r="G57" s="77">
        <f t="shared" si="4"/>
        <v>55696.570000000029</v>
      </c>
      <c r="H57" s="66">
        <f t="shared" si="5"/>
        <v>569.47000000003027</v>
      </c>
      <c r="I57" s="69">
        <f t="shared" ca="1" si="6"/>
        <v>36.036118272830208</v>
      </c>
      <c r="J57" s="78">
        <f t="shared" ca="1" si="7"/>
        <v>45606.03611827283</v>
      </c>
      <c r="K57" s="79" t="str" cm="1">
        <f t="array" aca="1" ref="K57" ca="1">_xlfn.IFS(I57&gt;=19,"Normal",I57&gt;11.999,"Proyectar",I57&gt;0,"Programar",TRUE,"Atrasado")</f>
        <v>Normal</v>
      </c>
    </row>
    <row r="58" spans="1:11" x14ac:dyDescent="0.35">
      <c r="A58" s="50" t="s">
        <v>63</v>
      </c>
      <c r="B58" s="64">
        <f>_xlfn.XLOOKUP(A58,'930E-980E'!$B$7:$B$125,'930E-980E'!$L$7:$L$125)</f>
        <v>21357.400000000012</v>
      </c>
      <c r="C58" s="65">
        <f>_xlfn.XLOOKUP(A58,'930E-980E'!$B$7:$B$125,'930E-980E'!$M$7:$M$125)</f>
        <v>45535</v>
      </c>
      <c r="D58" s="66">
        <f>_xlfn.XLOOKUP(A58,'930E-980E'!$B$7:$B$125,'930E-980E'!$N$7:$N$125)</f>
        <v>545.01999999998588</v>
      </c>
      <c r="E58" s="64">
        <f>_xlfn.XLOOKUP(A58,'930E-980E'!$B$7:$B$125,'930E-980E'!$AB$7:$AB$125)</f>
        <v>21902.42</v>
      </c>
      <c r="G58" s="77">
        <f t="shared" si="4"/>
        <v>22357.400000000012</v>
      </c>
      <c r="H58" s="66">
        <f t="shared" si="5"/>
        <v>454.98000000001412</v>
      </c>
      <c r="I58" s="69">
        <f t="shared" ca="1" si="6"/>
        <v>27.383031815348659</v>
      </c>
      <c r="J58" s="78">
        <f t="shared" ca="1" si="7"/>
        <v>45597.383031815349</v>
      </c>
      <c r="K58" s="79" t="str" cm="1">
        <f t="array" aca="1" ref="K58" ca="1">_xlfn.IFS(I58&gt;=19,"Normal",I58&gt;11.999,"Proyectar",I58&gt;0,"Programar",TRUE,"Atrasado")</f>
        <v>Normal</v>
      </c>
    </row>
    <row r="59" spans="1:11" x14ac:dyDescent="0.35">
      <c r="A59" s="50" t="s">
        <v>64</v>
      </c>
      <c r="B59" s="64">
        <f>_xlfn.XLOOKUP(A59,'930E-980E'!$B$7:$B$125,'930E-980E'!$L$7:$L$125)</f>
        <v>21542.920277600013</v>
      </c>
      <c r="C59" s="65">
        <f>_xlfn.XLOOKUP(A59,'930E-980E'!$B$7:$B$125,'930E-980E'!$M$7:$M$125)</f>
        <v>45509</v>
      </c>
      <c r="D59" s="66">
        <f>_xlfn.XLOOKUP(A59,'930E-980E'!$B$7:$B$125,'930E-980E'!$N$7:$N$125)</f>
        <v>1054.1097223999859</v>
      </c>
      <c r="E59" s="64">
        <f>_xlfn.XLOOKUP(A59,'930E-980E'!$B$7:$B$125,'930E-980E'!$AB$7:$AB$125)</f>
        <v>22597.03</v>
      </c>
      <c r="G59" s="77">
        <f t="shared" si="4"/>
        <v>22542.920277600013</v>
      </c>
      <c r="H59" s="66">
        <f t="shared" si="5"/>
        <v>-54.109722399985912</v>
      </c>
      <c r="I59" s="69">
        <f t="shared" ca="1" si="6"/>
        <v>-2.0799292284355033</v>
      </c>
      <c r="J59" s="78">
        <f t="shared" ca="1" si="7"/>
        <v>45565.920070771564</v>
      </c>
      <c r="K59" s="79" t="str" cm="1">
        <f t="array" aca="1" ref="K59" ca="1">_xlfn.IFS(I59&gt;=19,"Normal",I59&gt;11.999,"Proyectar",I59&gt;0,"Programar",TRUE,"Atrasado")</f>
        <v>Atrasado</v>
      </c>
    </row>
    <row r="60" spans="1:11" x14ac:dyDescent="0.35">
      <c r="A60" s="50" t="s">
        <v>65</v>
      </c>
      <c r="B60" s="64">
        <f>_xlfn.XLOOKUP(A60,'930E-980E'!$B$7:$B$125,'930E-980E'!$L$7:$L$125)</f>
        <v>29076.06</v>
      </c>
      <c r="C60" s="65">
        <f>_xlfn.XLOOKUP(A60,'930E-980E'!$B$7:$B$125,'930E-980E'!$M$7:$M$125)</f>
        <v>45564</v>
      </c>
      <c r="D60" s="66">
        <f>_xlfn.XLOOKUP(A60,'930E-980E'!$B$7:$B$125,'930E-980E'!$N$7:$N$125)</f>
        <v>38.409999999999854</v>
      </c>
      <c r="E60" s="64">
        <f>_xlfn.XLOOKUP(A60,'930E-980E'!$B$7:$B$125,'930E-980E'!$AB$7:$AB$125)</f>
        <v>29114.47</v>
      </c>
      <c r="G60" s="77">
        <f t="shared" si="4"/>
        <v>30076.06</v>
      </c>
      <c r="H60" s="66">
        <f t="shared" si="5"/>
        <v>961.59000000000015</v>
      </c>
      <c r="I60" s="69">
        <f t="shared" ca="1" si="6"/>
        <v>124.17443374121649</v>
      </c>
      <c r="J60" s="78">
        <f t="shared" ca="1" si="7"/>
        <v>45694.174433741216</v>
      </c>
      <c r="K60" s="79" t="str" cm="1">
        <f t="array" aca="1" ref="K60" ca="1">_xlfn.IFS(I60&gt;=19,"Normal",I60&gt;11.999,"Proyectar",I60&gt;0,"Programar",TRUE,"Atrasado")</f>
        <v>Normal</v>
      </c>
    </row>
    <row r="61" spans="1:11" x14ac:dyDescent="0.35">
      <c r="A61" s="50" t="s">
        <v>66</v>
      </c>
      <c r="B61" s="64">
        <f>_xlfn.XLOOKUP(A61,'930E-980E'!$B$7:$B$125,'930E-980E'!$L$7:$L$125)</f>
        <v>29502.41</v>
      </c>
      <c r="C61" s="65">
        <f>_xlfn.XLOOKUP(A61,'930E-980E'!$B$7:$B$125,'930E-980E'!$M$7:$M$125)</f>
        <v>45559</v>
      </c>
      <c r="D61" s="66">
        <f>_xlfn.XLOOKUP(A61,'930E-980E'!$B$7:$B$125,'930E-980E'!$N$7:$N$125)</f>
        <v>117.90999999999985</v>
      </c>
      <c r="E61" s="64">
        <f>_xlfn.XLOOKUP(A61,'930E-980E'!$B$7:$B$125,'930E-980E'!$AB$7:$AB$125)</f>
        <v>29620.32</v>
      </c>
      <c r="G61" s="77">
        <f t="shared" si="4"/>
        <v>30502.41</v>
      </c>
      <c r="H61" s="66">
        <f t="shared" si="5"/>
        <v>882.09000000000015</v>
      </c>
      <c r="I61" s="69">
        <f t="shared" ca="1" si="6"/>
        <v>73.810448647273006</v>
      </c>
      <c r="J61" s="78">
        <f t="shared" ca="1" si="7"/>
        <v>45643.810448647273</v>
      </c>
      <c r="K61" s="79" t="str" cm="1">
        <f t="array" aca="1" ref="K61" ca="1">_xlfn.IFS(I61&gt;=19,"Normal",I61&gt;11.999,"Proyectar",I61&gt;0,"Programar",TRUE,"Atrasado")</f>
        <v>Normal</v>
      </c>
    </row>
    <row r="62" spans="1:11" x14ac:dyDescent="0.35">
      <c r="A62" s="50" t="s">
        <v>67</v>
      </c>
      <c r="B62" s="64">
        <f>_xlfn.XLOOKUP(A62,'930E-980E'!$B$7:$B$125,'930E-980E'!$L$7:$L$125)</f>
        <v>30250.31</v>
      </c>
      <c r="C62" s="65">
        <f>_xlfn.XLOOKUP(A62,'930E-980E'!$B$7:$B$125,'930E-980E'!$M$7:$M$125)</f>
        <v>45562</v>
      </c>
      <c r="D62" s="66">
        <f>_xlfn.XLOOKUP(A62,'930E-980E'!$B$7:$B$125,'930E-980E'!$N$7:$N$125)</f>
        <v>61.619999999998981</v>
      </c>
      <c r="E62" s="64">
        <f>_xlfn.XLOOKUP(A62,'930E-980E'!$B$7:$B$125,'930E-980E'!$AB$7:$AB$125)</f>
        <v>30311.93</v>
      </c>
      <c r="G62" s="77">
        <f t="shared" si="4"/>
        <v>31250.31</v>
      </c>
      <c r="H62" s="66">
        <f t="shared" si="5"/>
        <v>938.38000000000102</v>
      </c>
      <c r="I62" s="69">
        <f t="shared" ca="1" si="6"/>
        <v>105.59948068809172</v>
      </c>
      <c r="J62" s="78">
        <f t="shared" ca="1" si="7"/>
        <v>45675.599480688092</v>
      </c>
      <c r="K62" s="79" t="str" cm="1">
        <f t="array" aca="1" ref="K62" ca="1">_xlfn.IFS(I62&gt;=19,"Normal",I62&gt;11.999,"Proyectar",I62&gt;0,"Programar",TRUE,"Atrasado")</f>
        <v>Normal</v>
      </c>
    </row>
    <row r="63" spans="1:11" x14ac:dyDescent="0.35">
      <c r="A63" s="50" t="s">
        <v>68</v>
      </c>
      <c r="B63" s="64">
        <f>_xlfn.XLOOKUP(A63,'930E-980E'!$B$7:$B$125,'930E-980E'!$L$7:$L$125)</f>
        <v>29365.380000000008</v>
      </c>
      <c r="C63" s="65">
        <f>_xlfn.XLOOKUP(A63,'930E-980E'!$B$7:$B$125,'930E-980E'!$M$7:$M$125)</f>
        <v>45516</v>
      </c>
      <c r="D63" s="66">
        <f>_xlfn.XLOOKUP(A63,'930E-980E'!$B$7:$B$125,'930E-980E'!$N$7:$N$125)</f>
        <v>849.799999999992</v>
      </c>
      <c r="E63" s="64">
        <f>_xlfn.XLOOKUP(A63,'930E-980E'!$B$7:$B$125,'930E-980E'!$AB$7:$AB$125)</f>
        <v>30215.18</v>
      </c>
      <c r="G63" s="77">
        <f t="shared" si="4"/>
        <v>30365.380000000008</v>
      </c>
      <c r="H63" s="66">
        <f t="shared" si="5"/>
        <v>150.200000000008</v>
      </c>
      <c r="I63" s="69">
        <f t="shared" ca="1" si="6"/>
        <v>8.3676159096285119</v>
      </c>
      <c r="J63" s="78">
        <f t="shared" ca="1" si="7"/>
        <v>45578.367615909629</v>
      </c>
      <c r="K63" s="79" t="str" cm="1">
        <f t="array" aca="1" ref="K63" ca="1">_xlfn.IFS(I63&gt;=19,"Normal",I63&gt;11.999,"Proyectar",I63&gt;0,"Programar",TRUE,"Atrasado")</f>
        <v>Programar</v>
      </c>
    </row>
    <row r="64" spans="1:11" x14ac:dyDescent="0.35">
      <c r="A64" s="50" t="s">
        <v>69</v>
      </c>
      <c r="B64" s="64">
        <f>_xlfn.XLOOKUP(A64,'930E-980E'!$B$7:$B$125,'930E-980E'!$L$7:$L$125)</f>
        <v>77031.619999999981</v>
      </c>
      <c r="C64" s="65">
        <f>_xlfn.XLOOKUP(A64,'930E-980E'!$B$7:$B$125,'930E-980E'!$M$7:$M$125)</f>
        <v>45529</v>
      </c>
      <c r="D64" s="66">
        <f>_xlfn.XLOOKUP(A64,'930E-980E'!$B$7:$B$125,'930E-980E'!$N$7:$N$125)</f>
        <v>1.4551915228366852E-11</v>
      </c>
      <c r="E64" s="64">
        <f>_xlfn.XLOOKUP(A64,'930E-980E'!$B$7:$B$125,'930E-980E'!$AB$7:$AB$125)</f>
        <v>77031.62</v>
      </c>
      <c r="G64" s="77">
        <f t="shared" si="4"/>
        <v>78031.619999999981</v>
      </c>
      <c r="H64" s="66">
        <f t="shared" si="5"/>
        <v>999.99999999998545</v>
      </c>
      <c r="I64" s="69" t="str">
        <f t="shared" ca="1" si="6"/>
        <v>MP-RECIENTE</v>
      </c>
      <c r="J64" s="78" t="str">
        <f t="shared" ca="1" si="7"/>
        <v>MP-RECIENTE</v>
      </c>
      <c r="K64" s="79" t="str" cm="1">
        <f t="array" aca="1" ref="K64" ca="1">_xlfn.IFS(I64&gt;=19,"Normal",I64&gt;11.999,"Proyectar",I64&gt;0,"Programar",TRUE,"Atrasado")</f>
        <v>Normal</v>
      </c>
    </row>
    <row r="65" spans="1:11" x14ac:dyDescent="0.35">
      <c r="A65" s="50" t="s">
        <v>70</v>
      </c>
      <c r="B65" s="64">
        <f>_xlfn.XLOOKUP(A65,'930E-980E'!$B$7:$B$125,'930E-980E'!$L$7:$L$125)</f>
        <v>86430.1</v>
      </c>
      <c r="C65" s="65">
        <f>_xlfn.XLOOKUP(A65,'930E-980E'!$B$7:$B$125,'930E-980E'!$M$7:$M$125)</f>
        <v>45522</v>
      </c>
      <c r="D65" s="66">
        <f>_xlfn.XLOOKUP(A65,'930E-980E'!$B$7:$B$125,'930E-980E'!$N$7:$N$125)</f>
        <v>16.970000000001164</v>
      </c>
      <c r="E65" s="64">
        <f>_xlfn.XLOOKUP(A65,'930E-980E'!$B$7:$B$125,'930E-980E'!$AB$7:$AB$125)</f>
        <v>86447.07</v>
      </c>
      <c r="G65" s="77">
        <f t="shared" si="4"/>
        <v>87430.1</v>
      </c>
      <c r="H65" s="66">
        <f t="shared" si="5"/>
        <v>983.02999999999884</v>
      </c>
      <c r="I65" s="69">
        <f t="shared" ca="1" si="6"/>
        <v>2721.5934001176647</v>
      </c>
      <c r="J65" s="78">
        <f t="shared" ca="1" si="7"/>
        <v>48291.593400117665</v>
      </c>
      <c r="K65" s="79" t="str" cm="1">
        <f t="array" aca="1" ref="K65" ca="1">_xlfn.IFS(I65&gt;=19,"Normal",I65&gt;11.999,"Proyectar",I65&gt;0,"Programar",TRUE,"Atrasado")</f>
        <v>Normal</v>
      </c>
    </row>
    <row r="66" spans="1:11" x14ac:dyDescent="0.35">
      <c r="A66" s="50" t="s">
        <v>71</v>
      </c>
      <c r="B66" s="64">
        <f>_xlfn.XLOOKUP(A66,'930E-980E'!$B$7:$B$125,'930E-980E'!$L$7:$L$125)</f>
        <v>84866.750000000029</v>
      </c>
      <c r="C66" s="65">
        <f>_xlfn.XLOOKUP(A66,'930E-980E'!$B$7:$B$125,'930E-980E'!$M$7:$M$125)</f>
        <v>45545</v>
      </c>
      <c r="D66" s="66">
        <f>_xlfn.XLOOKUP(A66,'930E-980E'!$B$7:$B$125,'930E-980E'!$N$7:$N$125)</f>
        <v>261.87999999997555</v>
      </c>
      <c r="E66" s="64">
        <f>_xlfn.XLOOKUP(A66,'930E-980E'!$B$7:$B$125,'930E-980E'!$AB$7:$AB$125)</f>
        <v>85128.63</v>
      </c>
      <c r="G66" s="77">
        <f t="shared" si="4"/>
        <v>85866.750000000029</v>
      </c>
      <c r="H66" s="66">
        <f t="shared" si="5"/>
        <v>738.12000000002445</v>
      </c>
      <c r="I66" s="69">
        <f t="shared" ca="1" si="6"/>
        <v>66.645028257225931</v>
      </c>
      <c r="J66" s="78">
        <f t="shared" ca="1" si="7"/>
        <v>45636.645028257226</v>
      </c>
      <c r="K66" s="79" t="str" cm="1">
        <f t="array" aca="1" ref="K66" ca="1">_xlfn.IFS(I66&gt;=19,"Normal",I66&gt;11.999,"Proyectar",I66&gt;0,"Programar",TRUE,"Atrasado")</f>
        <v>Normal</v>
      </c>
    </row>
    <row r="67" spans="1:11" x14ac:dyDescent="0.35">
      <c r="A67" s="50" t="s">
        <v>72</v>
      </c>
      <c r="B67" s="64">
        <f>_xlfn.XLOOKUP(A67,'930E-980E'!$B$7:$B$125,'930E-980E'!$L$7:$L$125)</f>
        <v>82154.020000000179</v>
      </c>
      <c r="C67" s="65">
        <f>_xlfn.XLOOKUP(A67,'930E-980E'!$B$7:$B$125,'930E-980E'!$M$7:$M$125)</f>
        <v>45472</v>
      </c>
      <c r="D67" s="66">
        <f>_xlfn.XLOOKUP(A67,'930E-980E'!$B$7:$B$125,'930E-980E'!$N$7:$N$125)</f>
        <v>1004.0099999998201</v>
      </c>
      <c r="E67" s="64">
        <f>_xlfn.XLOOKUP(A67,'930E-980E'!$B$7:$B$125,'930E-980E'!$AB$7:$AB$125)</f>
        <v>83158.03</v>
      </c>
      <c r="G67" s="77">
        <f t="shared" si="4"/>
        <v>83154.020000000179</v>
      </c>
      <c r="H67" s="66">
        <f t="shared" si="5"/>
        <v>-4.0099999998201383</v>
      </c>
      <c r="I67" s="69">
        <f t="shared" ca="1" si="6"/>
        <v>-1.3874164599765209</v>
      </c>
      <c r="J67" s="78">
        <f t="shared" ca="1" si="7"/>
        <v>45568.612583540023</v>
      </c>
      <c r="K67" s="79" t="str" cm="1">
        <f t="array" aca="1" ref="K67" ca="1">_xlfn.IFS(I67&gt;=19,"Normal",I67&gt;11.999,"Proyectar",I67&gt;0,"Programar",TRUE,"Atrasado")</f>
        <v>Atrasado</v>
      </c>
    </row>
    <row r="68" spans="1:11" x14ac:dyDescent="0.35">
      <c r="A68" s="50" t="s">
        <v>73</v>
      </c>
      <c r="B68" s="64">
        <f>_xlfn.XLOOKUP(A68,'930E-980E'!$B$7:$B$125,'930E-980E'!$L$7:$L$125)</f>
        <v>84531.309999999925</v>
      </c>
      <c r="C68" s="65">
        <f>_xlfn.XLOOKUP(A68,'930E-980E'!$B$7:$B$125,'930E-980E'!$M$7:$M$125)</f>
        <v>45468</v>
      </c>
      <c r="D68" s="66">
        <f>_xlfn.XLOOKUP(A68,'930E-980E'!$B$7:$B$125,'930E-980E'!$N$7:$N$125)</f>
        <v>1022.740000000078</v>
      </c>
      <c r="E68" s="64">
        <f>_xlfn.XLOOKUP(A68,'930E-980E'!$B$7:$B$125,'930E-980E'!$AB$7:$AB$125)</f>
        <v>85554.05</v>
      </c>
      <c r="G68" s="77">
        <f t="shared" si="4"/>
        <v>85531.309999999925</v>
      </c>
      <c r="H68" s="66">
        <f t="shared" si="5"/>
        <v>-22.740000000077998</v>
      </c>
      <c r="I68" s="69">
        <f t="shared" ca="1" si="6"/>
        <v>-1.2456733871804317</v>
      </c>
      <c r="J68" s="78">
        <f t="shared" ca="1" si="7"/>
        <v>45566.75432661282</v>
      </c>
      <c r="K68" s="79" t="str" cm="1">
        <f t="array" aca="1" ref="K68" ca="1">_xlfn.IFS(I68&gt;=19,"Normal",I68&gt;11.999,"Proyectar",I68&gt;0,"Programar",TRUE,"Atrasado")</f>
        <v>Atrasado</v>
      </c>
    </row>
    <row r="69" spans="1:11" x14ac:dyDescent="0.35">
      <c r="A69" s="50" t="s">
        <v>74</v>
      </c>
      <c r="B69" s="64">
        <f>_xlfn.XLOOKUP(A69,'930E-980E'!$B$7:$B$125,'930E-980E'!$L$7:$L$125)</f>
        <v>82508.049999999814</v>
      </c>
      <c r="C69" s="65">
        <f>_xlfn.XLOOKUP(A69,'930E-980E'!$B$7:$B$125,'930E-980E'!$M$7:$M$125)</f>
        <v>45474</v>
      </c>
      <c r="D69" s="66">
        <f>_xlfn.XLOOKUP(A69,'930E-980E'!$B$7:$B$125,'930E-980E'!$N$7:$N$125)</f>
        <v>1045.6300000001793</v>
      </c>
      <c r="E69" s="64">
        <f>_xlfn.XLOOKUP(A69,'930E-980E'!$B$7:$B$125,'930E-980E'!$AB$7:$AB$125)</f>
        <v>83553.679999999993</v>
      </c>
      <c r="G69" s="77">
        <f t="shared" ref="G69:G100" si="8">B69+1000</f>
        <v>83508.049999999814</v>
      </c>
      <c r="H69" s="66">
        <f t="shared" ref="H69:H100" si="9">1000-D69</f>
        <v>-45.63000000017928</v>
      </c>
      <c r="I69" s="69">
        <f t="shared" ref="I69:I100" ca="1" si="10">IF(D69&lt;1,"MP-RECIENTE",IF(J69&lt;TODAY()-1,-((TODAY()-1)-J69),J69-TODAY()-1))</f>
        <v>-3.1456825072091306</v>
      </c>
      <c r="J69" s="78">
        <f t="shared" ref="J69:J100" ca="1" si="11">IF(D69&lt;1,"MP-RECIENTE",TODAY()+((1000-D69)/(D69/(TODAY()-C69))))</f>
        <v>45564.854317492791</v>
      </c>
      <c r="K69" s="79" t="str" cm="1">
        <f t="array" aca="1" ref="K69" ca="1">_xlfn.IFS(I69&gt;=19,"Normal",I69&gt;11.999,"Proyectar",I69&gt;0,"Programar",TRUE,"Atrasado")</f>
        <v>Atrasado</v>
      </c>
    </row>
    <row r="70" spans="1:11" x14ac:dyDescent="0.35">
      <c r="A70" s="50" t="s">
        <v>75</v>
      </c>
      <c r="B70" s="64">
        <f>_xlfn.XLOOKUP(A70,'930E-980E'!$B$7:$B$125,'930E-980E'!$L$7:$L$125)</f>
        <v>86900.46</v>
      </c>
      <c r="C70" s="65">
        <f>_xlfn.XLOOKUP(A70,'930E-980E'!$B$7:$B$125,'930E-980E'!$M$7:$M$125)</f>
        <v>45558</v>
      </c>
      <c r="D70" s="66">
        <f>_xlfn.XLOOKUP(A70,'930E-980E'!$B$7:$B$125,'930E-980E'!$N$7:$N$125)</f>
        <v>91.159999999988941</v>
      </c>
      <c r="E70" s="64">
        <f>_xlfn.XLOOKUP(A70,'930E-980E'!$B$7:$B$125,'930E-980E'!$AB$7:$AB$125)</f>
        <v>86991.62</v>
      </c>
      <c r="G70" s="77">
        <f t="shared" si="8"/>
        <v>87900.46</v>
      </c>
      <c r="H70" s="66">
        <f t="shared" si="9"/>
        <v>908.84000000001106</v>
      </c>
      <c r="I70" s="69">
        <f t="shared" ca="1" si="10"/>
        <v>108.66695919264021</v>
      </c>
      <c r="J70" s="78">
        <f t="shared" ca="1" si="11"/>
        <v>45678.66695919264</v>
      </c>
      <c r="K70" s="79" t="str" cm="1">
        <f t="array" aca="1" ref="K70" ca="1">_xlfn.IFS(I70&gt;=19,"Normal",I70&gt;11.999,"Proyectar",I70&gt;0,"Programar",TRUE,"Atrasado")</f>
        <v>Normal</v>
      </c>
    </row>
    <row r="71" spans="1:11" x14ac:dyDescent="0.35">
      <c r="A71" s="50" t="s">
        <v>76</v>
      </c>
      <c r="B71" s="64">
        <f>_xlfn.XLOOKUP(A71,'930E-980E'!$B$7:$B$125,'930E-980E'!$L$7:$L$125)</f>
        <v>85735.34</v>
      </c>
      <c r="C71" s="65">
        <f>_xlfn.XLOOKUP(A71,'930E-980E'!$B$7:$B$125,'930E-980E'!$M$7:$M$125)</f>
        <v>45562</v>
      </c>
      <c r="D71" s="66">
        <f>_xlfn.XLOOKUP(A71,'930E-980E'!$B$7:$B$125,'930E-980E'!$N$7:$N$125)</f>
        <v>35.19999999999709</v>
      </c>
      <c r="E71" s="64">
        <f>_xlfn.XLOOKUP(A71,'930E-980E'!$B$7:$B$125,'930E-980E'!$AB$7:$AB$125)</f>
        <v>85770.54</v>
      </c>
      <c r="G71" s="77">
        <f t="shared" si="8"/>
        <v>86735.34</v>
      </c>
      <c r="H71" s="66">
        <f t="shared" si="9"/>
        <v>964.80000000000291</v>
      </c>
      <c r="I71" s="69">
        <f t="shared" ca="1" si="10"/>
        <v>190.86363636365422</v>
      </c>
      <c r="J71" s="78">
        <f t="shared" ca="1" si="11"/>
        <v>45760.863636363654</v>
      </c>
      <c r="K71" s="79" t="str" cm="1">
        <f t="array" aca="1" ref="K71" ca="1">_xlfn.IFS(I71&gt;=19,"Normal",I71&gt;11.999,"Proyectar",I71&gt;0,"Programar",TRUE,"Atrasado")</f>
        <v>Normal</v>
      </c>
    </row>
    <row r="72" spans="1:11" x14ac:dyDescent="0.35">
      <c r="A72" s="50" t="s">
        <v>77</v>
      </c>
      <c r="B72" s="64">
        <f>_xlfn.XLOOKUP(A72,'930E-980E'!$B$7:$B$125,'930E-980E'!$L$7:$L$125)</f>
        <v>74757.320000000065</v>
      </c>
      <c r="C72" s="65">
        <f>_xlfn.XLOOKUP(A72,'930E-980E'!$B$7:$B$125,'930E-980E'!$M$7:$M$125)</f>
        <v>45530</v>
      </c>
      <c r="D72" s="66">
        <f>_xlfn.XLOOKUP(A72,'930E-980E'!$B$7:$B$125,'930E-980E'!$N$7:$N$125)</f>
        <v>407.51999999993131</v>
      </c>
      <c r="E72" s="64">
        <f>_xlfn.XLOOKUP(A72,'930E-980E'!$B$7:$B$125,'930E-980E'!$AB$7:$AB$125)</f>
        <v>75164.84</v>
      </c>
      <c r="G72" s="77">
        <f t="shared" si="8"/>
        <v>75757.320000000065</v>
      </c>
      <c r="H72" s="66">
        <f t="shared" si="9"/>
        <v>592.48000000006869</v>
      </c>
      <c r="I72" s="69">
        <f t="shared" ca="1" si="10"/>
        <v>55.700824499428563</v>
      </c>
      <c r="J72" s="78">
        <f t="shared" ca="1" si="11"/>
        <v>45625.700824499429</v>
      </c>
      <c r="K72" s="79" t="str" cm="1">
        <f t="array" aca="1" ref="K72" ca="1">_xlfn.IFS(I72&gt;=19,"Normal",I72&gt;11.999,"Proyectar",I72&gt;0,"Programar",TRUE,"Atrasado")</f>
        <v>Normal</v>
      </c>
    </row>
    <row r="73" spans="1:11" x14ac:dyDescent="0.35">
      <c r="A73" s="50" t="s">
        <v>78</v>
      </c>
      <c r="B73" s="64">
        <f>_xlfn.XLOOKUP(A73,'930E-980E'!$B$7:$B$125,'930E-980E'!$L$7:$L$125)</f>
        <v>78177.7</v>
      </c>
      <c r="C73" s="65">
        <f>_xlfn.XLOOKUP(A73,'930E-980E'!$B$7:$B$125,'930E-980E'!$M$7:$M$125)</f>
        <v>45543</v>
      </c>
      <c r="D73" s="66">
        <f>_xlfn.XLOOKUP(A73,'930E-980E'!$B$7:$B$125,'930E-980E'!$N$7:$N$125)</f>
        <v>396</v>
      </c>
      <c r="E73" s="64">
        <f>_xlfn.XLOOKUP(A73,'930E-980E'!$B$7:$B$125,'930E-980E'!$AB$7:$AB$125)</f>
        <v>78573.7</v>
      </c>
      <c r="G73" s="77">
        <f t="shared" si="8"/>
        <v>79177.7</v>
      </c>
      <c r="H73" s="66">
        <f t="shared" si="9"/>
        <v>604</v>
      </c>
      <c r="I73" s="69">
        <f t="shared" ca="1" si="10"/>
        <v>38.656565656565363</v>
      </c>
      <c r="J73" s="78">
        <f t="shared" ca="1" si="11"/>
        <v>45608.656565656565</v>
      </c>
      <c r="K73" s="79" t="str" cm="1">
        <f t="array" aca="1" ref="K73" ca="1">_xlfn.IFS(I73&gt;=19,"Normal",I73&gt;11.999,"Proyectar",I73&gt;0,"Programar",TRUE,"Atrasado")</f>
        <v>Normal</v>
      </c>
    </row>
    <row r="74" spans="1:11" x14ac:dyDescent="0.35">
      <c r="A74" s="50" t="s">
        <v>79</v>
      </c>
      <c r="B74" s="64">
        <f>_xlfn.XLOOKUP(A74,'930E-980E'!$B$7:$B$125,'930E-980E'!$L$7:$L$125)</f>
        <v>80454.600000000006</v>
      </c>
      <c r="C74" s="65">
        <f>_xlfn.XLOOKUP(A74,'930E-980E'!$B$7:$B$125,'930E-980E'!$M$7:$M$125)</f>
        <v>45536</v>
      </c>
      <c r="D74" s="66">
        <f>_xlfn.XLOOKUP(A74,'930E-980E'!$B$7:$B$125,'930E-980E'!$N$7:$N$125)</f>
        <v>201.27999999999884</v>
      </c>
      <c r="E74" s="64">
        <f>_xlfn.XLOOKUP(A74,'930E-980E'!$B$7:$B$125,'930E-980E'!$AB$7:$AB$125)</f>
        <v>80655.88</v>
      </c>
      <c r="G74" s="77">
        <f t="shared" si="8"/>
        <v>81454.600000000006</v>
      </c>
      <c r="H74" s="66">
        <f t="shared" si="9"/>
        <v>798.72000000000116</v>
      </c>
      <c r="I74" s="69">
        <f t="shared" ca="1" si="10"/>
        <v>129.95071542130609</v>
      </c>
      <c r="J74" s="78">
        <f t="shared" ca="1" si="11"/>
        <v>45699.950715421306</v>
      </c>
      <c r="K74" s="79" t="str" cm="1">
        <f t="array" aca="1" ref="K74" ca="1">_xlfn.IFS(I74&gt;=19,"Normal",I74&gt;11.999,"Proyectar",I74&gt;0,"Programar",TRUE,"Atrasado")</f>
        <v>Normal</v>
      </c>
    </row>
    <row r="75" spans="1:11" x14ac:dyDescent="0.35">
      <c r="A75" s="50" t="s">
        <v>80</v>
      </c>
      <c r="B75" s="64">
        <f>_xlfn.XLOOKUP(A75,'930E-980E'!$B$7:$B$125,'930E-980E'!$L$7:$L$125)</f>
        <v>85538.179999999978</v>
      </c>
      <c r="C75" s="65">
        <f>_xlfn.XLOOKUP(A75,'930E-980E'!$B$7:$B$125,'930E-980E'!$M$7:$M$125)</f>
        <v>45526</v>
      </c>
      <c r="D75" s="66">
        <f>_xlfn.XLOOKUP(A75,'930E-980E'!$B$7:$B$125,'930E-980E'!$N$7:$N$125)</f>
        <v>657.07000000002154</v>
      </c>
      <c r="E75" s="64">
        <f>_xlfn.XLOOKUP(A75,'930E-980E'!$B$7:$B$125,'930E-980E'!$AB$7:$AB$125)</f>
        <v>86195.25</v>
      </c>
      <c r="G75" s="77">
        <f t="shared" si="8"/>
        <v>86538.179999999978</v>
      </c>
      <c r="H75" s="66">
        <f t="shared" si="9"/>
        <v>342.92999999997846</v>
      </c>
      <c r="I75" s="69">
        <f t="shared" ca="1" si="10"/>
        <v>21.442038139008218</v>
      </c>
      <c r="J75" s="78">
        <f t="shared" ca="1" si="11"/>
        <v>45591.442038139008</v>
      </c>
      <c r="K75" s="79" t="str" cm="1">
        <f t="array" aca="1" ref="K75" ca="1">_xlfn.IFS(I75&gt;=19,"Normal",I75&gt;11.999,"Proyectar",I75&gt;0,"Programar",TRUE,"Atrasado")</f>
        <v>Normal</v>
      </c>
    </row>
    <row r="76" spans="1:11" x14ac:dyDescent="0.35">
      <c r="A76" s="50" t="s">
        <v>81</v>
      </c>
      <c r="B76" s="64">
        <f>_xlfn.XLOOKUP(A76,'930E-980E'!$B$7:$B$125,'930E-980E'!$L$7:$L$125)</f>
        <v>84400.37999999983</v>
      </c>
      <c r="C76" s="65">
        <f>_xlfn.XLOOKUP(A76,'930E-980E'!$B$7:$B$125,'930E-980E'!$M$7:$M$125)</f>
        <v>45518</v>
      </c>
      <c r="D76" s="66">
        <f>_xlfn.XLOOKUP(A76,'930E-980E'!$B$7:$B$125,'930E-980E'!$N$7:$N$125)</f>
        <v>801.13000000016473</v>
      </c>
      <c r="E76" s="64">
        <f>_xlfn.XLOOKUP(A76,'930E-980E'!$B$7:$B$125,'930E-980E'!$AB$7:$AB$125)</f>
        <v>85201.51</v>
      </c>
      <c r="G76" s="77">
        <f t="shared" si="8"/>
        <v>85400.37999999983</v>
      </c>
      <c r="H76" s="66">
        <f t="shared" si="9"/>
        <v>198.86999999983527</v>
      </c>
      <c r="I76" s="69">
        <f t="shared" ca="1" si="10"/>
        <v>11.660080136796751</v>
      </c>
      <c r="J76" s="78">
        <f t="shared" ca="1" si="11"/>
        <v>45581.660080136797</v>
      </c>
      <c r="K76" s="79" t="str" cm="1">
        <f t="array" aca="1" ref="K76" ca="1">_xlfn.IFS(I76&gt;=19,"Normal",I76&gt;11.999,"Proyectar",I76&gt;0,"Programar",TRUE,"Atrasado")</f>
        <v>Programar</v>
      </c>
    </row>
    <row r="77" spans="1:11" x14ac:dyDescent="0.35">
      <c r="A77" s="50" t="s">
        <v>82</v>
      </c>
      <c r="B77" s="64">
        <f>_xlfn.XLOOKUP(A77,'930E-980E'!$B$7:$B$125,'930E-980E'!$L$7:$L$125)</f>
        <v>85227.33</v>
      </c>
      <c r="C77" s="65">
        <f>_xlfn.XLOOKUP(A77,'930E-980E'!$B$7:$B$125,'930E-980E'!$M$7:$M$125)</f>
        <v>45566</v>
      </c>
      <c r="D77" s="66">
        <f>_xlfn.XLOOKUP(A77,'930E-980E'!$B$7:$B$125,'930E-980E'!$N$7:$N$125)</f>
        <v>0</v>
      </c>
      <c r="E77" s="64">
        <f>_xlfn.XLOOKUP(A77,'930E-980E'!$B$7:$B$125,'930E-980E'!$AB$7:$AB$125)</f>
        <v>85227.33</v>
      </c>
      <c r="G77" s="77">
        <f t="shared" si="8"/>
        <v>86227.33</v>
      </c>
      <c r="H77" s="66">
        <f t="shared" si="9"/>
        <v>1000</v>
      </c>
      <c r="I77" s="69" t="str">
        <f t="shared" ca="1" si="10"/>
        <v>MP-RECIENTE</v>
      </c>
      <c r="J77" s="78" t="str">
        <f t="shared" ca="1" si="11"/>
        <v>MP-RECIENTE</v>
      </c>
      <c r="K77" s="79" t="str" cm="1">
        <f t="array" aca="1" ref="K77" ca="1">_xlfn.IFS(I77&gt;=19,"Normal",I77&gt;11.999,"Proyectar",I77&gt;0,"Programar",TRUE,"Atrasado")</f>
        <v>Normal</v>
      </c>
    </row>
    <row r="78" spans="1:11" x14ac:dyDescent="0.35">
      <c r="A78" s="50" t="s">
        <v>83</v>
      </c>
      <c r="B78" s="64">
        <f>_xlfn.XLOOKUP(A78,'930E-980E'!$B$7:$B$125,'930E-980E'!$L$7:$L$125)</f>
        <v>83804.249999999956</v>
      </c>
      <c r="C78" s="65">
        <f>_xlfn.XLOOKUP(A78,'930E-980E'!$B$7:$B$125,'930E-980E'!$M$7:$M$125)</f>
        <v>45530</v>
      </c>
      <c r="D78" s="66">
        <f>_xlfn.XLOOKUP(A78,'930E-980E'!$B$7:$B$125,'930E-980E'!$N$7:$N$125)</f>
        <v>613.86000000004424</v>
      </c>
      <c r="E78" s="64">
        <f>_xlfn.XLOOKUP(A78,'930E-980E'!$B$7:$B$125,'930E-980E'!$AB$7:$AB$125)</f>
        <v>84418.11</v>
      </c>
      <c r="G78" s="77">
        <f t="shared" si="8"/>
        <v>84804.249999999956</v>
      </c>
      <c r="H78" s="66">
        <f t="shared" si="9"/>
        <v>386.13999999995576</v>
      </c>
      <c r="I78" s="69">
        <f t="shared" ca="1" si="10"/>
        <v>23.532401524775196</v>
      </c>
      <c r="J78" s="78">
        <f t="shared" ca="1" si="11"/>
        <v>45593.532401524775</v>
      </c>
      <c r="K78" s="79" t="str" cm="1">
        <f t="array" aca="1" ref="K78" ca="1">_xlfn.IFS(I78&gt;=19,"Normal",I78&gt;11.999,"Proyectar",I78&gt;0,"Programar",TRUE,"Atrasado")</f>
        <v>Normal</v>
      </c>
    </row>
    <row r="79" spans="1:11" x14ac:dyDescent="0.35">
      <c r="A79" s="50" t="s">
        <v>84</v>
      </c>
      <c r="B79" s="64">
        <f>_xlfn.XLOOKUP(A79,'930E-980E'!$B$7:$B$125,'930E-980E'!$L$7:$L$125)</f>
        <v>86792.9</v>
      </c>
      <c r="C79" s="65">
        <f>_xlfn.XLOOKUP(A79,'930E-980E'!$B$7:$B$125,'930E-980E'!$M$7:$M$125)</f>
        <v>45549</v>
      </c>
      <c r="D79" s="66">
        <f>_xlfn.XLOOKUP(A79,'930E-980E'!$B$7:$B$125,'930E-980E'!$N$7:$N$125)</f>
        <v>163.81000000001222</v>
      </c>
      <c r="E79" s="64">
        <f>_xlfn.XLOOKUP(A79,'930E-980E'!$B$7:$B$125,'930E-980E'!$AB$7:$AB$125)</f>
        <v>86956.71</v>
      </c>
      <c r="G79" s="77">
        <f t="shared" si="8"/>
        <v>87792.9</v>
      </c>
      <c r="H79" s="66">
        <f t="shared" si="9"/>
        <v>836.18999999998778</v>
      </c>
      <c r="I79" s="69">
        <f t="shared" ca="1" si="10"/>
        <v>101.09266833525908</v>
      </c>
      <c r="J79" s="78">
        <f t="shared" ca="1" si="11"/>
        <v>45671.092668335259</v>
      </c>
      <c r="K79" s="79" t="str" cm="1">
        <f t="array" aca="1" ref="K79" ca="1">_xlfn.IFS(I79&gt;=19,"Normal",I79&gt;11.999,"Proyectar",I79&gt;0,"Programar",TRUE,"Atrasado")</f>
        <v>Normal</v>
      </c>
    </row>
    <row r="80" spans="1:11" x14ac:dyDescent="0.35">
      <c r="A80" s="50" t="s">
        <v>85</v>
      </c>
      <c r="B80" s="64">
        <f>_xlfn.XLOOKUP(A80,'930E-980E'!$B$7:$B$125,'930E-980E'!$L$7:$L$125)</f>
        <v>86970.1</v>
      </c>
      <c r="C80" s="65">
        <f>_xlfn.XLOOKUP(A80,'930E-980E'!$B$7:$B$125,'930E-980E'!$M$7:$M$125)</f>
        <v>45519</v>
      </c>
      <c r="D80" s="66">
        <f>_xlfn.XLOOKUP(A80,'930E-980E'!$B$7:$B$125,'930E-980E'!$N$7:$N$125)</f>
        <v>847.23999999999069</v>
      </c>
      <c r="E80" s="64">
        <f>_xlfn.XLOOKUP(A80,'930E-980E'!$B$7:$B$125,'930E-980E'!$AB$7:$AB$125)</f>
        <v>87817.34</v>
      </c>
      <c r="G80" s="77">
        <f t="shared" si="8"/>
        <v>87970.1</v>
      </c>
      <c r="H80" s="66">
        <f t="shared" si="9"/>
        <v>152.76000000000931</v>
      </c>
      <c r="I80" s="69">
        <f t="shared" ca="1" si="10"/>
        <v>8.0151550918308203</v>
      </c>
      <c r="J80" s="78">
        <f t="shared" ca="1" si="11"/>
        <v>45578.015155091831</v>
      </c>
      <c r="K80" s="79" t="str" cm="1">
        <f t="array" aca="1" ref="K80" ca="1">_xlfn.IFS(I80&gt;=19,"Normal",I80&gt;11.999,"Proyectar",I80&gt;0,"Programar",TRUE,"Atrasado")</f>
        <v>Programar</v>
      </c>
    </row>
    <row r="81" spans="1:11" x14ac:dyDescent="0.35">
      <c r="A81" s="50" t="s">
        <v>86</v>
      </c>
      <c r="B81" s="64">
        <f>_xlfn.XLOOKUP(A81,'930E-980E'!$B$7:$B$125,'930E-980E'!$L$7:$L$125)</f>
        <v>85103.3</v>
      </c>
      <c r="C81" s="65">
        <f>_xlfn.XLOOKUP(A81,'930E-980E'!$B$7:$B$125,'930E-980E'!$M$7:$M$125)</f>
        <v>45520</v>
      </c>
      <c r="D81" s="66">
        <f>_xlfn.XLOOKUP(A81,'930E-980E'!$B$7:$B$125,'930E-980E'!$N$7:$N$125)</f>
        <v>112.52999999999884</v>
      </c>
      <c r="E81" s="64">
        <f>_xlfn.XLOOKUP(A81,'930E-980E'!$B$7:$B$125,'930E-980E'!$AB$7:$AB$125)</f>
        <v>85215.83</v>
      </c>
      <c r="G81" s="77">
        <f t="shared" si="8"/>
        <v>86103.3</v>
      </c>
      <c r="H81" s="66">
        <f t="shared" si="9"/>
        <v>887.47000000000116</v>
      </c>
      <c r="I81" s="69">
        <f t="shared" ca="1" si="10"/>
        <v>385.43943837199186</v>
      </c>
      <c r="J81" s="78">
        <f t="shared" ca="1" si="11"/>
        <v>45955.439438371992</v>
      </c>
      <c r="K81" s="79" t="str" cm="1">
        <f t="array" aca="1" ref="K81" ca="1">_xlfn.IFS(I81&gt;=19,"Normal",I81&gt;11.999,"Proyectar",I81&gt;0,"Programar",TRUE,"Atrasado")</f>
        <v>Normal</v>
      </c>
    </row>
    <row r="82" spans="1:11" x14ac:dyDescent="0.35">
      <c r="A82" s="50" t="s">
        <v>87</v>
      </c>
      <c r="B82" s="64">
        <f>_xlfn.XLOOKUP(A82,'930E-980E'!$B$7:$B$125,'930E-980E'!$L$7:$L$125)</f>
        <v>84937.22000000019</v>
      </c>
      <c r="C82" s="65">
        <f>_xlfn.XLOOKUP(A82,'930E-980E'!$B$7:$B$125,'930E-980E'!$M$7:$M$125)</f>
        <v>45532</v>
      </c>
      <c r="D82" s="66">
        <f>_xlfn.XLOOKUP(A82,'930E-980E'!$B$7:$B$125,'930E-980E'!$N$7:$N$125)</f>
        <v>599.08999999980733</v>
      </c>
      <c r="E82" s="64">
        <f>_xlfn.XLOOKUP(A82,'930E-980E'!$B$7:$B$125,'930E-980E'!$AB$7:$AB$125)</f>
        <v>85536.31</v>
      </c>
      <c r="G82" s="77">
        <f t="shared" si="8"/>
        <v>85937.22000000019</v>
      </c>
      <c r="H82" s="66">
        <f t="shared" si="9"/>
        <v>400.91000000019267</v>
      </c>
      <c r="I82" s="69">
        <f t="shared" ca="1" si="10"/>
        <v>23.760336510393245</v>
      </c>
      <c r="J82" s="78">
        <f t="shared" ca="1" si="11"/>
        <v>45593.760336510393</v>
      </c>
      <c r="K82" s="79" t="str" cm="1">
        <f t="array" aca="1" ref="K82" ca="1">_xlfn.IFS(I82&gt;=19,"Normal",I82&gt;11.999,"Proyectar",I82&gt;0,"Programar",TRUE,"Atrasado")</f>
        <v>Normal</v>
      </c>
    </row>
    <row r="83" spans="1:11" x14ac:dyDescent="0.35">
      <c r="A83" s="50" t="s">
        <v>88</v>
      </c>
      <c r="B83" s="64">
        <f>_xlfn.XLOOKUP(A83,'930E-980E'!$B$7:$B$125,'930E-980E'!$L$7:$L$125)</f>
        <v>85372.099999999919</v>
      </c>
      <c r="C83" s="65">
        <f>_xlfn.XLOOKUP(A83,'930E-980E'!$B$7:$B$125,'930E-980E'!$M$7:$M$125)</f>
        <v>45528</v>
      </c>
      <c r="D83" s="66">
        <f>_xlfn.XLOOKUP(A83,'930E-980E'!$B$7:$B$125,'930E-980E'!$N$7:$N$125)</f>
        <v>683.58000000007451</v>
      </c>
      <c r="E83" s="64">
        <f>_xlfn.XLOOKUP(A83,'930E-980E'!$B$7:$B$125,'930E-980E'!$AB$7:$AB$125)</f>
        <v>86055.679999999993</v>
      </c>
      <c r="G83" s="77">
        <f t="shared" si="8"/>
        <v>86372.099999999919</v>
      </c>
      <c r="H83" s="66">
        <f t="shared" si="9"/>
        <v>316.41999999992549</v>
      </c>
      <c r="I83" s="69">
        <f t="shared" ca="1" si="10"/>
        <v>17.97834927879012</v>
      </c>
      <c r="J83" s="78">
        <f t="shared" ca="1" si="11"/>
        <v>45587.97834927879</v>
      </c>
      <c r="K83" s="79" t="str" cm="1">
        <f t="array" aca="1" ref="K83" ca="1">_xlfn.IFS(I83&gt;=19,"Normal",I83&gt;11.999,"Proyectar",I83&gt;0,"Programar",TRUE,"Atrasado")</f>
        <v>Proyectar</v>
      </c>
    </row>
    <row r="84" spans="1:11" x14ac:dyDescent="0.35">
      <c r="A84" s="50" t="s">
        <v>89</v>
      </c>
      <c r="B84" s="64">
        <f>_xlfn.XLOOKUP(A84,'930E-980E'!$B$7:$B$125,'930E-980E'!$L$7:$L$125)</f>
        <v>85636.800000000003</v>
      </c>
      <c r="C84" s="65">
        <f>_xlfn.XLOOKUP(A84,'930E-980E'!$B$7:$B$125,'930E-980E'!$M$7:$M$125)</f>
        <v>45552</v>
      </c>
      <c r="D84" s="66">
        <f>_xlfn.XLOOKUP(A84,'930E-980E'!$B$7:$B$125,'930E-980E'!$N$7:$N$125)</f>
        <v>204.7899999999936</v>
      </c>
      <c r="E84" s="64">
        <f>_xlfn.XLOOKUP(A84,'930E-980E'!$B$7:$B$125,'930E-980E'!$AB$7:$AB$125)</f>
        <v>85841.59</v>
      </c>
      <c r="G84" s="77">
        <f t="shared" si="8"/>
        <v>86636.800000000003</v>
      </c>
      <c r="H84" s="66">
        <f t="shared" si="9"/>
        <v>795.2100000000064</v>
      </c>
      <c r="I84" s="69">
        <f t="shared" ca="1" si="10"/>
        <v>65.011865813765326</v>
      </c>
      <c r="J84" s="78">
        <f t="shared" ca="1" si="11"/>
        <v>45635.011865813765</v>
      </c>
      <c r="K84" s="79" t="str" cm="1">
        <f t="array" aca="1" ref="K84" ca="1">_xlfn.IFS(I84&gt;=19,"Normal",I84&gt;11.999,"Proyectar",I84&gt;0,"Programar",TRUE,"Atrasado")</f>
        <v>Normal</v>
      </c>
    </row>
    <row r="85" spans="1:11" x14ac:dyDescent="0.35">
      <c r="A85" s="50" t="s">
        <v>90</v>
      </c>
      <c r="B85" s="64">
        <f>_xlfn.XLOOKUP(A85,'930E-980E'!$B$7:$B$125,'930E-980E'!$L$7:$L$125)</f>
        <v>85986.8</v>
      </c>
      <c r="C85" s="65">
        <f>_xlfn.XLOOKUP(A85,'930E-980E'!$B$7:$B$125,'930E-980E'!$M$7:$M$125)</f>
        <v>45522</v>
      </c>
      <c r="D85" s="66">
        <f>_xlfn.XLOOKUP(A85,'930E-980E'!$B$7:$B$125,'930E-980E'!$N$7:$N$125)</f>
        <v>721.17999999999302</v>
      </c>
      <c r="E85" s="64">
        <f>_xlfn.XLOOKUP(A85,'930E-980E'!$B$7:$B$125,'930E-980E'!$AB$7:$AB$125)</f>
        <v>86707.98</v>
      </c>
      <c r="G85" s="77">
        <f t="shared" si="8"/>
        <v>86986.8</v>
      </c>
      <c r="H85" s="66">
        <f t="shared" si="9"/>
        <v>278.82000000000698</v>
      </c>
      <c r="I85" s="69">
        <f t="shared" ca="1" si="10"/>
        <v>17.170969799495651</v>
      </c>
      <c r="J85" s="78">
        <f t="shared" ca="1" si="11"/>
        <v>45587.170969799496</v>
      </c>
      <c r="K85" s="79" t="str" cm="1">
        <f t="array" aca="1" ref="K85" ca="1">_xlfn.IFS(I85&gt;=19,"Normal",I85&gt;11.999,"Proyectar",I85&gt;0,"Programar",TRUE,"Atrasado")</f>
        <v>Proyectar</v>
      </c>
    </row>
    <row r="86" spans="1:11" x14ac:dyDescent="0.35">
      <c r="A86" s="50" t="s">
        <v>91</v>
      </c>
      <c r="B86" s="64">
        <f>_xlfn.XLOOKUP(A86,'930E-980E'!$B$7:$B$125,'930E-980E'!$L$7:$L$125)</f>
        <v>86636.9</v>
      </c>
      <c r="C86" s="65">
        <f>_xlfn.XLOOKUP(A86,'930E-980E'!$B$7:$B$125,'930E-980E'!$M$7:$M$125)</f>
        <v>45544</v>
      </c>
      <c r="D86" s="66">
        <f>_xlfn.XLOOKUP(A86,'930E-980E'!$B$7:$B$125,'930E-980E'!$N$7:$N$125)</f>
        <v>334.13000000000466</v>
      </c>
      <c r="E86" s="64">
        <f>_xlfn.XLOOKUP(A86,'930E-980E'!$B$7:$B$125,'930E-980E'!$AB$7:$AB$125)</f>
        <v>86971.03</v>
      </c>
      <c r="G86" s="77">
        <f t="shared" si="8"/>
        <v>87636.9</v>
      </c>
      <c r="H86" s="66">
        <f t="shared" si="9"/>
        <v>665.86999999999534</v>
      </c>
      <c r="I86" s="69">
        <f t="shared" ca="1" si="10"/>
        <v>48.821177386045747</v>
      </c>
      <c r="J86" s="78">
        <f t="shared" ca="1" si="11"/>
        <v>45618.821177386046</v>
      </c>
      <c r="K86" s="79" t="str" cm="1">
        <f t="array" aca="1" ref="K86" ca="1">_xlfn.IFS(I86&gt;=19,"Normal",I86&gt;11.999,"Proyectar",I86&gt;0,"Programar",TRUE,"Atrasado")</f>
        <v>Normal</v>
      </c>
    </row>
    <row r="87" spans="1:11" x14ac:dyDescent="0.35">
      <c r="A87" s="50" t="s">
        <v>92</v>
      </c>
      <c r="B87" s="64">
        <f>_xlfn.XLOOKUP(A87,'930E-980E'!$B$7:$B$125,'930E-980E'!$L$7:$L$125)</f>
        <v>87090.27</v>
      </c>
      <c r="C87" s="65">
        <f>_xlfn.XLOOKUP(A87,'930E-980E'!$B$7:$B$125,'930E-980E'!$M$7:$M$125)</f>
        <v>45554</v>
      </c>
      <c r="D87" s="66">
        <f>_xlfn.XLOOKUP(A87,'930E-980E'!$B$7:$B$125,'930E-980E'!$N$7:$N$125)</f>
        <v>140.61000000000058</v>
      </c>
      <c r="E87" s="64">
        <f>_xlfn.XLOOKUP(A87,'930E-980E'!$B$7:$B$125,'930E-980E'!$AB$7:$AB$125)</f>
        <v>87230.88</v>
      </c>
      <c r="G87" s="77">
        <f t="shared" si="8"/>
        <v>88090.27</v>
      </c>
      <c r="H87" s="66">
        <f t="shared" si="9"/>
        <v>859.38999999999942</v>
      </c>
      <c r="I87" s="69">
        <f t="shared" ca="1" si="10"/>
        <v>90.678045658205519</v>
      </c>
      <c r="J87" s="78">
        <f t="shared" ca="1" si="11"/>
        <v>45660.678045658206</v>
      </c>
      <c r="K87" s="79" t="str" cm="1">
        <f t="array" aca="1" ref="K87" ca="1">_xlfn.IFS(I87&gt;=19,"Normal",I87&gt;11.999,"Proyectar",I87&gt;0,"Programar",TRUE,"Atrasado")</f>
        <v>Normal</v>
      </c>
    </row>
    <row r="88" spans="1:11" x14ac:dyDescent="0.35">
      <c r="A88" s="50" t="s">
        <v>93</v>
      </c>
      <c r="B88" s="64">
        <f>_xlfn.XLOOKUP(A88,'930E-980E'!$B$7:$B$125,'930E-980E'!$L$7:$L$125)</f>
        <v>80854.820000000007</v>
      </c>
      <c r="C88" s="65">
        <f>_xlfn.XLOOKUP(A88,'930E-980E'!$B$7:$B$125,'930E-980E'!$M$7:$M$125)</f>
        <v>45568</v>
      </c>
      <c r="D88" s="66">
        <f>_xlfn.XLOOKUP(A88,'930E-980E'!$B$7:$B$125,'930E-980E'!$N$7:$N$125)</f>
        <v>0</v>
      </c>
      <c r="E88" s="64">
        <f>_xlfn.XLOOKUP(A88,'930E-980E'!$B$7:$B$125,'930E-980E'!$AB$7:$AB$125)</f>
        <v>80854.820000000007</v>
      </c>
      <c r="G88" s="77">
        <f t="shared" si="8"/>
        <v>81854.820000000007</v>
      </c>
      <c r="H88" s="66">
        <f t="shared" si="9"/>
        <v>1000</v>
      </c>
      <c r="I88" s="69" t="str">
        <f t="shared" ca="1" si="10"/>
        <v>MP-RECIENTE</v>
      </c>
      <c r="J88" s="78" t="str">
        <f t="shared" ca="1" si="11"/>
        <v>MP-RECIENTE</v>
      </c>
      <c r="K88" s="79" t="str" cm="1">
        <f t="array" aca="1" ref="K88" ca="1">_xlfn.IFS(I88&gt;=19,"Normal",I88&gt;11.999,"Proyectar",I88&gt;0,"Programar",TRUE,"Atrasado")</f>
        <v>Normal</v>
      </c>
    </row>
    <row r="89" spans="1:11" x14ac:dyDescent="0.35">
      <c r="A89" s="50" t="s">
        <v>94</v>
      </c>
      <c r="B89" s="64">
        <f>_xlfn.XLOOKUP(A89,'930E-980E'!$B$7:$B$125,'930E-980E'!$L$7:$L$125)</f>
        <v>88730.66</v>
      </c>
      <c r="C89" s="65">
        <f>_xlfn.XLOOKUP(A89,'930E-980E'!$B$7:$B$125,'930E-980E'!$M$7:$M$125)</f>
        <v>45563</v>
      </c>
      <c r="D89" s="66">
        <f>_xlfn.XLOOKUP(A89,'930E-980E'!$B$7:$B$125,'930E-980E'!$N$7:$N$125)</f>
        <v>26.179999999993015</v>
      </c>
      <c r="E89" s="64">
        <f>_xlfn.XLOOKUP(A89,'930E-980E'!$B$7:$B$125,'930E-980E'!$AB$7:$AB$125)</f>
        <v>88756.84</v>
      </c>
      <c r="G89" s="77">
        <f t="shared" si="8"/>
        <v>89730.66</v>
      </c>
      <c r="H89" s="66">
        <f t="shared" si="9"/>
        <v>973.82000000000698</v>
      </c>
      <c r="I89" s="69">
        <f t="shared" ca="1" si="10"/>
        <v>222.18258212381625</v>
      </c>
      <c r="J89" s="78">
        <f t="shared" ca="1" si="11"/>
        <v>45792.182582123816</v>
      </c>
      <c r="K89" s="79" t="str" cm="1">
        <f t="array" aca="1" ref="K89" ca="1">_xlfn.IFS(I89&gt;=19,"Normal",I89&gt;11.999,"Proyectar",I89&gt;0,"Programar",TRUE,"Atrasado")</f>
        <v>Normal</v>
      </c>
    </row>
    <row r="90" spans="1:11" x14ac:dyDescent="0.35">
      <c r="A90" s="50" t="s">
        <v>95</v>
      </c>
      <c r="B90" s="64">
        <f>_xlfn.XLOOKUP(A90,'930E-980E'!$B$7:$B$125,'930E-980E'!$L$7:$L$125)</f>
        <v>84123.989999999729</v>
      </c>
      <c r="C90" s="65">
        <f>_xlfn.XLOOKUP(A90,'930E-980E'!$B$7:$B$125,'930E-980E'!$M$7:$M$125)</f>
        <v>45523</v>
      </c>
      <c r="D90" s="66">
        <f>_xlfn.XLOOKUP(A90,'930E-980E'!$B$7:$B$125,'930E-980E'!$N$7:$N$125)</f>
        <v>517.46000000026834</v>
      </c>
      <c r="E90" s="64">
        <f>_xlfn.XLOOKUP(A90,'930E-980E'!$B$7:$B$125,'930E-980E'!$AB$7:$AB$125)</f>
        <v>84641.45</v>
      </c>
      <c r="G90" s="77">
        <f t="shared" si="8"/>
        <v>85123.989999999729</v>
      </c>
      <c r="H90" s="66">
        <f t="shared" si="9"/>
        <v>482.53999999973166</v>
      </c>
      <c r="I90" s="69">
        <f t="shared" ca="1" si="10"/>
        <v>41.895760058701853</v>
      </c>
      <c r="J90" s="78">
        <f t="shared" ca="1" si="11"/>
        <v>45611.895760058702</v>
      </c>
      <c r="K90" s="79" t="str" cm="1">
        <f t="array" aca="1" ref="K90" ca="1">_xlfn.IFS(I90&gt;=19,"Normal",I90&gt;11.999,"Proyectar",I90&gt;0,"Programar",TRUE,"Atrasado")</f>
        <v>Normal</v>
      </c>
    </row>
    <row r="91" spans="1:11" x14ac:dyDescent="0.35">
      <c r="A91" s="50" t="s">
        <v>96</v>
      </c>
      <c r="B91" s="64">
        <f>_xlfn.XLOOKUP(A91,'930E-980E'!$B$7:$B$125,'930E-980E'!$L$7:$L$125)</f>
        <v>85452.3</v>
      </c>
      <c r="C91" s="65">
        <f>_xlfn.XLOOKUP(A91,'930E-980E'!$B$7:$B$125,'930E-980E'!$M$7:$M$125)</f>
        <v>45522</v>
      </c>
      <c r="D91" s="66">
        <f>_xlfn.XLOOKUP(A91,'930E-980E'!$B$7:$B$125,'930E-980E'!$N$7:$N$125)</f>
        <v>812.72999999999593</v>
      </c>
      <c r="E91" s="64">
        <f>_xlfn.XLOOKUP(A91,'930E-980E'!$B$7:$B$125,'930E-980E'!$AB$7:$AB$125)</f>
        <v>86265.03</v>
      </c>
      <c r="G91" s="77">
        <f t="shared" si="8"/>
        <v>86452.3</v>
      </c>
      <c r="H91" s="66">
        <f t="shared" si="9"/>
        <v>187.27000000000407</v>
      </c>
      <c r="I91" s="69">
        <f t="shared" ca="1" si="10"/>
        <v>9.8297835689591011</v>
      </c>
      <c r="J91" s="78">
        <f t="shared" ca="1" si="11"/>
        <v>45579.829783568959</v>
      </c>
      <c r="K91" s="79" t="str" cm="1">
        <f t="array" aca="1" ref="K91" ca="1">_xlfn.IFS(I91&gt;=19,"Normal",I91&gt;11.999,"Proyectar",I91&gt;0,"Programar",TRUE,"Atrasado")</f>
        <v>Programar</v>
      </c>
    </row>
    <row r="92" spans="1:11" x14ac:dyDescent="0.35">
      <c r="A92" s="50" t="s">
        <v>97</v>
      </c>
      <c r="B92" s="64">
        <f>_xlfn.XLOOKUP(A92,'930E-980E'!$B$7:$B$125,'930E-980E'!$L$7:$L$125)</f>
        <v>87113.83</v>
      </c>
      <c r="C92" s="65">
        <f>_xlfn.XLOOKUP(A92,'930E-980E'!$B$7:$B$125,'930E-980E'!$M$7:$M$125)</f>
        <v>45568</v>
      </c>
      <c r="D92" s="66">
        <f>_xlfn.XLOOKUP(A92,'930E-980E'!$B$7:$B$125,'930E-980E'!$N$7:$N$125)</f>
        <v>0</v>
      </c>
      <c r="E92" s="64">
        <f>_xlfn.XLOOKUP(A92,'930E-980E'!$B$7:$B$125,'930E-980E'!$AB$7:$AB$125)</f>
        <v>87113.83</v>
      </c>
      <c r="G92" s="77">
        <f t="shared" si="8"/>
        <v>88113.83</v>
      </c>
      <c r="H92" s="66">
        <f t="shared" si="9"/>
        <v>1000</v>
      </c>
      <c r="I92" s="69" t="str">
        <f t="shared" ca="1" si="10"/>
        <v>MP-RECIENTE</v>
      </c>
      <c r="J92" s="78" t="str">
        <f t="shared" ca="1" si="11"/>
        <v>MP-RECIENTE</v>
      </c>
      <c r="K92" s="79" t="str" cm="1">
        <f t="array" aca="1" ref="K92" ca="1">_xlfn.IFS(I92&gt;=19,"Normal",I92&gt;11.999,"Proyectar",I92&gt;0,"Programar",TRUE,"Atrasado")</f>
        <v>Normal</v>
      </c>
    </row>
    <row r="93" spans="1:11" x14ac:dyDescent="0.35">
      <c r="A93" s="50" t="s">
        <v>98</v>
      </c>
      <c r="B93" s="64">
        <f>_xlfn.XLOOKUP(A93,'930E-980E'!$B$7:$B$125,'930E-980E'!$L$7:$L$125)</f>
        <v>86127.28</v>
      </c>
      <c r="C93" s="65">
        <f>_xlfn.XLOOKUP(A93,'930E-980E'!$B$7:$B$125,'930E-980E'!$M$7:$M$125)</f>
        <v>45561</v>
      </c>
      <c r="D93" s="66">
        <f>_xlfn.XLOOKUP(A93,'930E-980E'!$B$7:$B$125,'930E-980E'!$N$7:$N$125)</f>
        <v>6.6600000000034925</v>
      </c>
      <c r="E93" s="64">
        <f>_xlfn.XLOOKUP(A93,'930E-980E'!$B$7:$B$125,'930E-980E'!$AB$7:$AB$125)</f>
        <v>86133.94</v>
      </c>
      <c r="G93" s="77">
        <f t="shared" si="8"/>
        <v>87127.28</v>
      </c>
      <c r="H93" s="66">
        <f t="shared" si="9"/>
        <v>993.33999999999651</v>
      </c>
      <c r="I93" s="69">
        <f t="shared" ca="1" si="10"/>
        <v>1192.2012012005725</v>
      </c>
      <c r="J93" s="78">
        <f t="shared" ca="1" si="11"/>
        <v>46762.201201200573</v>
      </c>
      <c r="K93" s="79" t="str" cm="1">
        <f t="array" aca="1" ref="K93" ca="1">_xlfn.IFS(I93&gt;=19,"Normal",I93&gt;11.999,"Proyectar",I93&gt;0,"Programar",TRUE,"Atrasado")</f>
        <v>Normal</v>
      </c>
    </row>
    <row r="94" spans="1:11" x14ac:dyDescent="0.35">
      <c r="A94" s="50" t="s">
        <v>99</v>
      </c>
      <c r="B94" s="64">
        <f>_xlfn.XLOOKUP(A94,'930E-980E'!$B$7:$B$125,'930E-980E'!$L$7:$L$125)</f>
        <v>82725.27</v>
      </c>
      <c r="C94" s="65">
        <f>_xlfn.XLOOKUP(A94,'930E-980E'!$B$7:$B$125,'930E-980E'!$M$7:$M$125)</f>
        <v>45556</v>
      </c>
      <c r="D94" s="66">
        <f>_xlfn.XLOOKUP(A94,'930E-980E'!$B$7:$B$125,'930E-980E'!$N$7:$N$125)</f>
        <v>120.09999999999127</v>
      </c>
      <c r="E94" s="64">
        <f>_xlfn.XLOOKUP(A94,'930E-980E'!$B$7:$B$125,'930E-980E'!$AB$7:$AB$125)</f>
        <v>82845.37</v>
      </c>
      <c r="G94" s="77">
        <f t="shared" si="8"/>
        <v>83725.27</v>
      </c>
      <c r="H94" s="66">
        <f t="shared" si="9"/>
        <v>879.90000000000873</v>
      </c>
      <c r="I94" s="69">
        <f t="shared" ca="1" si="10"/>
        <v>94.243130724404182</v>
      </c>
      <c r="J94" s="78">
        <f t="shared" ca="1" si="11"/>
        <v>45664.243130724404</v>
      </c>
      <c r="K94" s="79" t="str" cm="1">
        <f t="array" aca="1" ref="K94" ca="1">_xlfn.IFS(I94&gt;=19,"Normal",I94&gt;11.999,"Proyectar",I94&gt;0,"Programar",TRUE,"Atrasado")</f>
        <v>Normal</v>
      </c>
    </row>
    <row r="95" spans="1:11" x14ac:dyDescent="0.35">
      <c r="A95" s="50" t="s">
        <v>100</v>
      </c>
      <c r="B95" s="64">
        <f>_xlfn.XLOOKUP(A95,'930E-980E'!$B$7:$B$125,'930E-980E'!$L$7:$L$125)</f>
        <v>80281.91</v>
      </c>
      <c r="C95" s="65">
        <f>_xlfn.XLOOKUP(A95,'930E-980E'!$B$7:$B$125,'930E-980E'!$M$7:$M$125)</f>
        <v>45289</v>
      </c>
      <c r="D95" s="66">
        <f>_xlfn.XLOOKUP(A95,'930E-980E'!$B$7:$B$125,'930E-980E'!$N$7:$N$125)</f>
        <v>995.70000000001164</v>
      </c>
      <c r="E95" s="64">
        <f>_xlfn.XLOOKUP(A95,'930E-980E'!$B$7:$B$125,'930E-980E'!$AB$7:$AB$125)</f>
        <v>81277.610000000015</v>
      </c>
      <c r="G95" s="77">
        <f t="shared" si="8"/>
        <v>81281.91</v>
      </c>
      <c r="H95" s="66">
        <f t="shared" si="9"/>
        <v>4.2999999999883585</v>
      </c>
      <c r="I95" s="69">
        <f t="shared" ca="1" si="10"/>
        <v>0.20919955809949897</v>
      </c>
      <c r="J95" s="78">
        <f t="shared" ca="1" si="11"/>
        <v>45570.209199558099</v>
      </c>
      <c r="K95" s="79" t="str" cm="1">
        <f t="array" aca="1" ref="K95" ca="1">_xlfn.IFS(I95&gt;=19,"Normal",I95&gt;11.999,"Proyectar",I95&gt;0,"Programar",TRUE,"Atrasado")</f>
        <v>Programar</v>
      </c>
    </row>
    <row r="96" spans="1:11" x14ac:dyDescent="0.35">
      <c r="A96" s="50" t="s">
        <v>101</v>
      </c>
      <c r="B96" s="64">
        <f>_xlfn.XLOOKUP(A96,'930E-980E'!$B$7:$B$125,'930E-980E'!$L$7:$L$125)</f>
        <v>83819.330000000016</v>
      </c>
      <c r="C96" s="65">
        <f>_xlfn.XLOOKUP(A96,'930E-980E'!$B$7:$B$125,'930E-980E'!$M$7:$M$125)</f>
        <v>45542</v>
      </c>
      <c r="D96" s="66">
        <f>_xlfn.XLOOKUP(A96,'930E-980E'!$B$7:$B$125,'930E-980E'!$N$7:$N$125)</f>
        <v>373.51999999998952</v>
      </c>
      <c r="E96" s="64">
        <f>_xlfn.XLOOKUP(A96,'930E-980E'!$B$7:$B$125,'930E-980E'!$AB$7:$AB$125)</f>
        <v>84192.85</v>
      </c>
      <c r="G96" s="77">
        <f t="shared" si="8"/>
        <v>84819.330000000016</v>
      </c>
      <c r="H96" s="66">
        <f t="shared" si="9"/>
        <v>626.48000000001048</v>
      </c>
      <c r="I96" s="69">
        <f t="shared" ca="1" si="10"/>
        <v>44.285285928468511</v>
      </c>
      <c r="J96" s="78">
        <f t="shared" ca="1" si="11"/>
        <v>45614.285285928469</v>
      </c>
      <c r="K96" s="79" t="str" cm="1">
        <f t="array" aca="1" ref="K96" ca="1">_xlfn.IFS(I96&gt;=19,"Normal",I96&gt;11.999,"Proyectar",I96&gt;0,"Programar",TRUE,"Atrasado")</f>
        <v>Normal</v>
      </c>
    </row>
    <row r="97" spans="1:13" x14ac:dyDescent="0.35">
      <c r="A97" s="50" t="s">
        <v>102</v>
      </c>
      <c r="B97" s="64">
        <f>_xlfn.XLOOKUP(A97,'930E-980E'!$B$7:$B$125,'930E-980E'!$L$7:$L$125)</f>
        <v>84965.5</v>
      </c>
      <c r="C97" s="65">
        <f>_xlfn.XLOOKUP(A97,'930E-980E'!$B$7:$B$125,'930E-980E'!$M$7:$M$125)</f>
        <v>45548</v>
      </c>
      <c r="D97" s="66">
        <f>_xlfn.XLOOKUP(A97,'930E-980E'!$B$7:$B$125,'930E-980E'!$N$7:$N$125)</f>
        <v>337.13999999999942</v>
      </c>
      <c r="E97" s="64">
        <f>_xlfn.XLOOKUP(A97,'930E-980E'!$B$7:$B$125,'930E-980E'!$AB$7:$AB$125)</f>
        <v>85302.64</v>
      </c>
      <c r="G97" s="77">
        <f t="shared" si="8"/>
        <v>85965.5</v>
      </c>
      <c r="H97" s="66">
        <f t="shared" si="9"/>
        <v>662.86000000000058</v>
      </c>
      <c r="I97" s="69">
        <f t="shared" ca="1" si="10"/>
        <v>40.288663463252306</v>
      </c>
      <c r="J97" s="78">
        <f t="shared" ca="1" si="11"/>
        <v>45610.288663463252</v>
      </c>
      <c r="K97" s="79" t="str" cm="1">
        <f t="array" aca="1" ref="K97" ca="1">_xlfn.IFS(I97&gt;=19,"Normal",I97&gt;11.999,"Proyectar",I97&gt;0,"Programar",TRUE,"Atrasado")</f>
        <v>Normal</v>
      </c>
    </row>
    <row r="98" spans="1:13" x14ac:dyDescent="0.35">
      <c r="A98" s="50" t="s">
        <v>103</v>
      </c>
      <c r="B98" s="64">
        <f>_xlfn.XLOOKUP(A98,'930E-980E'!$B$7:$B$125,'930E-980E'!$L$7:$L$125)</f>
        <v>85876.109999999768</v>
      </c>
      <c r="C98" s="65">
        <f>_xlfn.XLOOKUP(A98,'930E-980E'!$B$7:$B$125,'930E-980E'!$M$7:$M$125)</f>
        <v>45525</v>
      </c>
      <c r="D98" s="66">
        <f>_xlfn.XLOOKUP(A98,'930E-980E'!$B$7:$B$125,'930E-980E'!$N$7:$N$125)</f>
        <v>627.02000000023691</v>
      </c>
      <c r="E98" s="64">
        <f>_xlfn.XLOOKUP(A98,'930E-980E'!$B$7:$B$125,'930E-980E'!$AB$7:$AB$125)</f>
        <v>86503.13</v>
      </c>
      <c r="G98" s="77">
        <f t="shared" si="8"/>
        <v>86876.109999999768</v>
      </c>
      <c r="H98" s="66">
        <f t="shared" si="9"/>
        <v>372.97999999976309</v>
      </c>
      <c r="I98" s="69">
        <f t="shared" ca="1" si="10"/>
        <v>25.173200216871919</v>
      </c>
      <c r="J98" s="78">
        <f t="shared" ca="1" si="11"/>
        <v>45595.173200216872</v>
      </c>
      <c r="K98" s="79" t="str" cm="1">
        <f t="array" aca="1" ref="K98" ca="1">_xlfn.IFS(I98&gt;=19,"Normal",I98&gt;11.999,"Proyectar",I98&gt;0,"Programar",TRUE,"Atrasado")</f>
        <v>Normal</v>
      </c>
    </row>
    <row r="99" spans="1:13" x14ac:dyDescent="0.35">
      <c r="A99" s="50" t="s">
        <v>104</v>
      </c>
      <c r="B99" s="64">
        <f>_xlfn.XLOOKUP(A99,'930E-980E'!$B$7:$B$125,'930E-980E'!$L$7:$L$125)</f>
        <v>84454.390000000305</v>
      </c>
      <c r="C99" s="65">
        <f>_xlfn.XLOOKUP(A99,'930E-980E'!$B$7:$B$125,'930E-980E'!$M$7:$M$125)</f>
        <v>45545</v>
      </c>
      <c r="D99" s="66">
        <f>_xlfn.XLOOKUP(A99,'930E-980E'!$B$7:$B$125,'930E-980E'!$N$7:$N$125)</f>
        <v>426.18999999969674</v>
      </c>
      <c r="E99" s="64">
        <f>_xlfn.XLOOKUP(A99,'930E-980E'!$B$7:$B$125,'930E-980E'!$AB$7:$AB$125)</f>
        <v>84880.58</v>
      </c>
      <c r="G99" s="77">
        <f t="shared" si="8"/>
        <v>85454.390000000305</v>
      </c>
      <c r="H99" s="66">
        <f t="shared" si="9"/>
        <v>573.81000000030326</v>
      </c>
      <c r="I99" s="69">
        <f t="shared" ca="1" si="10"/>
        <v>31.312912081506511</v>
      </c>
      <c r="J99" s="78">
        <f t="shared" ca="1" si="11"/>
        <v>45601.312912081507</v>
      </c>
      <c r="K99" s="79" t="str" cm="1">
        <f t="array" aca="1" ref="K99" ca="1">_xlfn.IFS(I99&gt;=19,"Normal",I99&gt;11.999,"Proyectar",I99&gt;0,"Programar",TRUE,"Atrasado")</f>
        <v>Normal</v>
      </c>
    </row>
    <row r="100" spans="1:13" x14ac:dyDescent="0.35">
      <c r="A100" s="50" t="s">
        <v>105</v>
      </c>
      <c r="B100" s="64">
        <f>_xlfn.XLOOKUP(A100,'930E-980E'!$B$7:$B$125,'930E-980E'!$L$7:$L$125)</f>
        <v>82132.930000000008</v>
      </c>
      <c r="C100" s="65">
        <f>_xlfn.XLOOKUP(A100,'930E-980E'!$B$7:$B$125,'930E-980E'!$M$7:$M$125)</f>
        <v>45499</v>
      </c>
      <c r="D100" s="66">
        <f>_xlfn.XLOOKUP(A100,'930E-980E'!$B$7:$B$125,'930E-980E'!$N$7:$N$125)</f>
        <v>1076.7399999999907</v>
      </c>
      <c r="E100" s="64">
        <f>_xlfn.XLOOKUP(A100,'930E-980E'!$B$7:$B$125,'930E-980E'!$AB$7:$AB$125)</f>
        <v>83209.67</v>
      </c>
      <c r="G100" s="77">
        <f t="shared" si="8"/>
        <v>83132.930000000008</v>
      </c>
      <c r="H100" s="66">
        <f t="shared" si="9"/>
        <v>-76.739999999990687</v>
      </c>
      <c r="I100" s="69">
        <f t="shared" ca="1" si="10"/>
        <v>-3.9889481211794191</v>
      </c>
      <c r="J100" s="78">
        <f t="shared" ca="1" si="11"/>
        <v>45564.011051878821</v>
      </c>
      <c r="K100" s="79" t="str" cm="1">
        <f t="array" aca="1" ref="K100" ca="1">_xlfn.IFS(I100&gt;=19,"Normal",I100&gt;11.999,"Proyectar",I100&gt;0,"Programar",TRUE,"Atrasado")</f>
        <v>Atrasado</v>
      </c>
    </row>
    <row r="101" spans="1:13" x14ac:dyDescent="0.35">
      <c r="A101" s="50" t="s">
        <v>106</v>
      </c>
      <c r="B101" s="64">
        <f>_xlfn.XLOOKUP(A101,'930E-980E'!$B$7:$B$125,'930E-980E'!$L$7:$L$125)</f>
        <v>80626.660000000033</v>
      </c>
      <c r="C101" s="65">
        <f>_xlfn.XLOOKUP(A101,'930E-980E'!$B$7:$B$125,'930E-980E'!$M$7:$M$125)</f>
        <v>45527</v>
      </c>
      <c r="D101" s="66">
        <f>_xlfn.XLOOKUP(A101,'930E-980E'!$B$7:$B$125,'930E-980E'!$N$7:$N$125)</f>
        <v>593.89999999996508</v>
      </c>
      <c r="E101" s="64">
        <f>_xlfn.XLOOKUP(A101,'930E-980E'!$B$7:$B$125,'930E-980E'!$AB$7:$AB$125)</f>
        <v>81220.56</v>
      </c>
      <c r="G101" s="77">
        <f t="shared" ref="G101:G116" si="12">B101+1000</f>
        <v>81626.660000000033</v>
      </c>
      <c r="H101" s="66">
        <f t="shared" ref="H101:H116" si="13">1000-D101</f>
        <v>406.10000000003492</v>
      </c>
      <c r="I101" s="69">
        <f t="shared" ref="I101:I123" ca="1" si="14">IF(D101&lt;1,"MP-RECIENTE",IF(J101&lt;TODAY()-1,-((TODAY()-1)-J101),J101-TODAY()-1))</f>
        <v>27.718976258634939</v>
      </c>
      <c r="J101" s="78">
        <f t="shared" ref="J101:J116" ca="1" si="15">IF(D101&lt;1,"MP-RECIENTE",TODAY()+((1000-D101)/(D101/(TODAY()-C101))))</f>
        <v>45597.718976258635</v>
      </c>
      <c r="K101" s="79" t="str" cm="1">
        <f t="array" aca="1" ref="K101" ca="1">_xlfn.IFS(I101&gt;=19,"Normal",I101&gt;11.999,"Proyectar",I101&gt;0,"Programar",TRUE,"Atrasado")</f>
        <v>Normal</v>
      </c>
    </row>
    <row r="102" spans="1:13" x14ac:dyDescent="0.35">
      <c r="A102" s="50" t="s">
        <v>107</v>
      </c>
      <c r="B102" s="64">
        <f>_xlfn.XLOOKUP(A102,'930E-980E'!$B$7:$B$125,'930E-980E'!$L$7:$L$125)</f>
        <v>84034.37</v>
      </c>
      <c r="C102" s="65">
        <f>_xlfn.XLOOKUP(A102,'930E-980E'!$B$7:$B$125,'930E-980E'!$M$7:$M$125)</f>
        <v>45531</v>
      </c>
      <c r="D102" s="66">
        <f>_xlfn.XLOOKUP(A102,'930E-980E'!$B$7:$B$125,'930E-980E'!$N$7:$N$125)</f>
        <v>535.55999999999767</v>
      </c>
      <c r="E102" s="64">
        <f>_xlfn.XLOOKUP(A102,'930E-980E'!$B$7:$B$125,'930E-980E'!$AB$7:$AB$125)</f>
        <v>84569.93</v>
      </c>
      <c r="G102" s="77">
        <f t="shared" si="12"/>
        <v>85034.37</v>
      </c>
      <c r="H102" s="66">
        <f t="shared" si="13"/>
        <v>464.44000000000233</v>
      </c>
      <c r="I102" s="69">
        <f t="shared" ca="1" si="14"/>
        <v>31.953768018523988</v>
      </c>
      <c r="J102" s="78">
        <f t="shared" ca="1" si="15"/>
        <v>45601.953768018524</v>
      </c>
      <c r="K102" s="79" t="str" cm="1">
        <f t="array" aca="1" ref="K102" ca="1">_xlfn.IFS(I102&gt;=19,"Normal",I102&gt;11.999,"Proyectar",I102&gt;0,"Programar",TRUE,"Atrasado")</f>
        <v>Normal</v>
      </c>
    </row>
    <row r="103" spans="1:13" x14ac:dyDescent="0.35">
      <c r="A103" s="50" t="s">
        <v>108</v>
      </c>
      <c r="B103" s="64">
        <f>_xlfn.XLOOKUP(A103,'930E-980E'!$B$7:$B$125,'930E-980E'!$L$7:$L$125)</f>
        <v>84186.67</v>
      </c>
      <c r="C103" s="65">
        <f>_xlfn.XLOOKUP(A103,'930E-980E'!$B$7:$B$125,'930E-980E'!$M$7:$M$125)</f>
        <v>45512</v>
      </c>
      <c r="D103" s="66">
        <f>_xlfn.XLOOKUP(A103,'930E-980E'!$B$7:$B$125,'930E-980E'!$N$7:$N$125)</f>
        <v>1083.1399999999994</v>
      </c>
      <c r="E103" s="64">
        <f>_xlfn.XLOOKUP(A103,'930E-980E'!$B$7:$B$125,'930E-980E'!$AB$7:$AB$125)</f>
        <v>85269.81</v>
      </c>
      <c r="G103" s="77">
        <f t="shared" si="12"/>
        <v>85186.67</v>
      </c>
      <c r="H103" s="66">
        <f t="shared" si="13"/>
        <v>-83.139999999999418</v>
      </c>
      <c r="I103" s="69">
        <f t="shared" ca="1" si="14"/>
        <v>-3.3752238861125079</v>
      </c>
      <c r="J103" s="78">
        <f t="shared" ca="1" si="15"/>
        <v>45564.624776113887</v>
      </c>
      <c r="K103" s="79" t="str" cm="1">
        <f t="array" aca="1" ref="K103" ca="1">_xlfn.IFS(I103&gt;=19,"Normal",I103&gt;11.999,"Proyectar",I103&gt;0,"Programar",TRUE,"Atrasado")</f>
        <v>Atrasado</v>
      </c>
    </row>
    <row r="104" spans="1:13" x14ac:dyDescent="0.35">
      <c r="A104" s="50" t="s">
        <v>109</v>
      </c>
      <c r="B104" s="64">
        <f>_xlfn.XLOOKUP(A104,'930E-980E'!$B$7:$B$125,'930E-980E'!$L$7:$L$125)</f>
        <v>84206.74</v>
      </c>
      <c r="C104" s="65">
        <f>_xlfn.XLOOKUP(A104,'930E-980E'!$B$7:$B$125,'930E-980E'!$M$7:$M$125)</f>
        <v>45565</v>
      </c>
      <c r="D104" s="66">
        <f>_xlfn.XLOOKUP(A104,'930E-980E'!$B$7:$B$125,'930E-980E'!$N$7:$N$125)</f>
        <v>0</v>
      </c>
      <c r="E104" s="64">
        <f>_xlfn.XLOOKUP(A104,'930E-980E'!$B$7:$B$125,'930E-980E'!$AB$7:$AB$125)</f>
        <v>84206.74</v>
      </c>
      <c r="G104" s="77">
        <f t="shared" si="12"/>
        <v>85206.74</v>
      </c>
      <c r="H104" s="66">
        <f t="shared" si="13"/>
        <v>1000</v>
      </c>
      <c r="I104" s="69" t="str">
        <f t="shared" ca="1" si="14"/>
        <v>MP-RECIENTE</v>
      </c>
      <c r="J104" s="78" t="str">
        <f t="shared" ca="1" si="15"/>
        <v>MP-RECIENTE</v>
      </c>
      <c r="K104" s="79" t="str" cm="1">
        <f t="array" aca="1" ref="K104" ca="1">_xlfn.IFS(I104&gt;=19,"Normal",I104&gt;11.999,"Proyectar",I104&gt;0,"Programar",TRUE,"Atrasado")</f>
        <v>Normal</v>
      </c>
    </row>
    <row r="105" spans="1:13" x14ac:dyDescent="0.35">
      <c r="A105" s="50" t="s">
        <v>110</v>
      </c>
      <c r="B105" s="64">
        <f>_xlfn.XLOOKUP(A105,'930E-980E'!$B$7:$B$125,'930E-980E'!$L$7:$L$125)</f>
        <v>84552.370000000097</v>
      </c>
      <c r="C105" s="65">
        <f>_xlfn.XLOOKUP(A105,'930E-980E'!$B$7:$B$125,'930E-980E'!$M$7:$M$125)</f>
        <v>45514</v>
      </c>
      <c r="D105" s="66">
        <f>_xlfn.XLOOKUP(A105,'930E-980E'!$B$7:$B$125,'930E-980E'!$N$7:$N$125)</f>
        <v>902.38999999989755</v>
      </c>
      <c r="E105" s="64">
        <f>_xlfn.XLOOKUP(A105,'930E-980E'!$B$7:$B$125,'930E-980E'!$AB$7:$AB$125)</f>
        <v>85454.76</v>
      </c>
      <c r="G105" s="77">
        <f t="shared" si="12"/>
        <v>85552.370000000097</v>
      </c>
      <c r="H105" s="66">
        <f t="shared" si="13"/>
        <v>97.610000000102445</v>
      </c>
      <c r="I105" s="69">
        <f t="shared" ca="1" si="14"/>
        <v>4.9492569731592084</v>
      </c>
      <c r="J105" s="78">
        <f t="shared" ca="1" si="15"/>
        <v>45574.949256973159</v>
      </c>
      <c r="K105" s="79" t="str" cm="1">
        <f t="array" aca="1" ref="K105" ca="1">_xlfn.IFS(I105&gt;=19,"Normal",I105&gt;11.999,"Proyectar",I105&gt;0,"Programar",TRUE,"Atrasado")</f>
        <v>Programar</v>
      </c>
    </row>
    <row r="106" spans="1:13" x14ac:dyDescent="0.35">
      <c r="A106" s="50" t="s">
        <v>111</v>
      </c>
      <c r="B106" s="64">
        <f>_xlfn.XLOOKUP(A106,'930E-980E'!$B$7:$B$125,'930E-980E'!$L$7:$L$125)</f>
        <v>76233.5</v>
      </c>
      <c r="C106" s="65">
        <f>_xlfn.XLOOKUP(A106,'930E-980E'!$B$7:$B$125,'930E-980E'!$M$7:$M$125)</f>
        <v>45520</v>
      </c>
      <c r="D106" s="66">
        <f>_xlfn.XLOOKUP(A106,'930E-980E'!$B$7:$B$125,'930E-980E'!$N$7:$N$125)</f>
        <v>764.47999999999593</v>
      </c>
      <c r="E106" s="64">
        <f>_xlfn.XLOOKUP(A106,'930E-980E'!$B$7:$B$125,'930E-980E'!$AB$7:$AB$125)</f>
        <v>76997.98</v>
      </c>
      <c r="G106" s="77">
        <f t="shared" si="12"/>
        <v>77233.5</v>
      </c>
      <c r="H106" s="66">
        <f t="shared" si="13"/>
        <v>235.52000000000407</v>
      </c>
      <c r="I106" s="69">
        <f t="shared" ca="1" si="14"/>
        <v>14.095856006701069</v>
      </c>
      <c r="J106" s="78">
        <f t="shared" ca="1" si="15"/>
        <v>45584.095856006701</v>
      </c>
      <c r="K106" s="79" t="str" cm="1">
        <f t="array" aca="1" ref="K106" ca="1">_xlfn.IFS(I106&gt;=19,"Normal",I106&gt;11.999,"Proyectar",I106&gt;0,"Programar",TRUE,"Atrasado")</f>
        <v>Proyectar</v>
      </c>
    </row>
    <row r="107" spans="1:13" x14ac:dyDescent="0.35">
      <c r="A107" s="50" t="s">
        <v>112</v>
      </c>
      <c r="B107" s="64">
        <f>_xlfn.XLOOKUP(A107,'930E-980E'!$B$7:$B$125,'930E-980E'!$L$7:$L$125)</f>
        <v>84394.6</v>
      </c>
      <c r="C107" s="65">
        <f>_xlfn.XLOOKUP(A107,'930E-980E'!$B$7:$B$125,'930E-980E'!$M$7:$M$125)</f>
        <v>45520</v>
      </c>
      <c r="D107" s="66">
        <f>_xlfn.XLOOKUP(A107,'930E-980E'!$B$7:$B$125,'930E-980E'!$N$7:$N$125)</f>
        <v>738.47999999999593</v>
      </c>
      <c r="E107" s="64">
        <f>_xlfn.XLOOKUP(A107,'930E-980E'!$B$7:$B$125,'930E-980E'!$AB$7:$AB$125)</f>
        <v>85133.08</v>
      </c>
      <c r="G107" s="77">
        <f t="shared" si="12"/>
        <v>85394.6</v>
      </c>
      <c r="H107" s="66">
        <f t="shared" si="13"/>
        <v>261.52000000000407</v>
      </c>
      <c r="I107" s="69">
        <f t="shared" ca="1" si="14"/>
        <v>16.352507853967836</v>
      </c>
      <c r="J107" s="78">
        <f t="shared" ca="1" si="15"/>
        <v>45586.352507853968</v>
      </c>
      <c r="K107" s="79" t="str" cm="1">
        <f t="array" aca="1" ref="K107" ca="1">_xlfn.IFS(I107&gt;=19,"Normal",I107&gt;11.999,"Proyectar",I107&gt;0,"Programar",TRUE,"Atrasado")</f>
        <v>Proyectar</v>
      </c>
    </row>
    <row r="108" spans="1:13" x14ac:dyDescent="0.35">
      <c r="A108" s="50" t="s">
        <v>113</v>
      </c>
      <c r="B108" s="64">
        <f>_xlfn.XLOOKUP(A108,'930E-980E'!$B$7:$B$125,'930E-980E'!$L$7:$L$125)</f>
        <v>40373</v>
      </c>
      <c r="C108" s="65">
        <f>_xlfn.XLOOKUP(A108,'930E-980E'!$B$7:$B$125,'930E-980E'!$M$7:$M$125)</f>
        <v>45508</v>
      </c>
      <c r="D108" s="66">
        <f>_xlfn.XLOOKUP(A108,'930E-980E'!$B$7:$B$125,'930E-980E'!$N$7:$N$125)</f>
        <v>974.5</v>
      </c>
      <c r="E108" s="64">
        <f>_xlfn.XLOOKUP(A108,'930E-980E'!$B$7:$B$125,'930E-980E'!$AB$7:$AB$125)</f>
        <v>41347.5</v>
      </c>
      <c r="G108" s="77">
        <f t="shared" si="12"/>
        <v>41373</v>
      </c>
      <c r="H108" s="66">
        <f t="shared" si="13"/>
        <v>25.5</v>
      </c>
      <c r="I108" s="69">
        <f t="shared" ca="1" si="14"/>
        <v>0.59620318112138193</v>
      </c>
      <c r="J108" s="78">
        <f t="shared" ca="1" si="15"/>
        <v>45570.596203181121</v>
      </c>
      <c r="K108" s="79" t="str" cm="1">
        <f t="array" aca="1" ref="K108" ca="1">_xlfn.IFS(I108&gt;=19,"Normal",I108&gt;11.999,"Proyectar",I108&gt;0,"Programar",TRUE,"Atrasado")</f>
        <v>Programar</v>
      </c>
    </row>
    <row r="109" spans="1:13" x14ac:dyDescent="0.35">
      <c r="A109" s="50" t="s">
        <v>114</v>
      </c>
      <c r="B109" s="64">
        <f>_xlfn.XLOOKUP(A109,'930E-980E'!$B$7:$B$125,'930E-980E'!$L$7:$L$125)</f>
        <v>41268.699999999997</v>
      </c>
      <c r="C109" s="65">
        <f>_xlfn.XLOOKUP(A109,'930E-980E'!$B$7:$B$125,'930E-980E'!$M$7:$M$125)</f>
        <v>45546</v>
      </c>
      <c r="D109" s="66">
        <f>_xlfn.XLOOKUP(A109,'930E-980E'!$B$7:$B$125,'930E-980E'!$N$7:$N$125)</f>
        <v>301.75</v>
      </c>
      <c r="E109" s="64">
        <f>_xlfn.XLOOKUP(A109,'930E-980E'!$B$7:$B$125,'930E-980E'!$AB$7:$AB$125)</f>
        <v>41570.449999999997</v>
      </c>
      <c r="G109" s="77">
        <f t="shared" si="12"/>
        <v>42268.7</v>
      </c>
      <c r="H109" s="66">
        <f t="shared" si="13"/>
        <v>698.25</v>
      </c>
      <c r="I109" s="69">
        <f t="shared" ca="1" si="14"/>
        <v>52.222038111016445</v>
      </c>
      <c r="J109" s="78">
        <f t="shared" ca="1" si="15"/>
        <v>45622.222038111016</v>
      </c>
      <c r="K109" s="79" t="str" cm="1">
        <f t="array" aca="1" ref="K109" ca="1">_xlfn.IFS(I109&gt;=19,"Normal",I109&gt;11.999,"Proyectar",I109&gt;0,"Programar",TRUE,"Atrasado")</f>
        <v>Normal</v>
      </c>
    </row>
    <row r="110" spans="1:13" x14ac:dyDescent="0.35">
      <c r="A110" s="50" t="s">
        <v>115</v>
      </c>
      <c r="B110" s="64">
        <f>_xlfn.XLOOKUP(A110,'930E-980E'!$B$7:$B$125,'930E-980E'!$L$7:$L$125)</f>
        <v>36007.300000000003</v>
      </c>
      <c r="C110" s="65">
        <f>_xlfn.XLOOKUP(A110,'930E-980E'!$B$7:$B$125,'930E-980E'!$M$7:$M$125)</f>
        <v>45506</v>
      </c>
      <c r="D110" s="66">
        <f>_xlfn.XLOOKUP(A110,'930E-980E'!$B$7:$B$125,'930E-980E'!$N$7:$N$125)</f>
        <v>880.86000000000058</v>
      </c>
      <c r="E110" s="64">
        <f>_xlfn.XLOOKUP(A110,'930E-980E'!$B$7:$B$125,'930E-980E'!$AB$7:$AB$125)</f>
        <v>36888.160000000003</v>
      </c>
      <c r="G110" s="77">
        <f t="shared" si="12"/>
        <v>37007.300000000003</v>
      </c>
      <c r="H110" s="66">
        <f t="shared" si="13"/>
        <v>119.13999999999942</v>
      </c>
      <c r="I110" s="69">
        <f t="shared" ca="1" si="14"/>
        <v>7.5210135549350525</v>
      </c>
      <c r="J110" s="78">
        <f t="shared" ca="1" si="15"/>
        <v>45577.521013554935</v>
      </c>
      <c r="K110" s="79" t="str" cm="1">
        <f t="array" aca="1" ref="K110" ca="1">_xlfn.IFS(I110&gt;=19,"Normal",I110&gt;11.999,"Proyectar",I110&gt;0,"Programar",TRUE,"Atrasado")</f>
        <v>Programar</v>
      </c>
    </row>
    <row r="111" spans="1:13" x14ac:dyDescent="0.35">
      <c r="A111" s="50" t="s">
        <v>116</v>
      </c>
      <c r="B111" s="64">
        <f>_xlfn.XLOOKUP(A111,'930E-980E'!$B$7:$B$125,'930E-980E'!$L$7:$L$125)</f>
        <v>36009.259999999929</v>
      </c>
      <c r="C111" s="65">
        <f>_xlfn.XLOOKUP(A111,'930E-980E'!$B$7:$B$125,'930E-980E'!$M$7:$M$125)</f>
        <v>45513</v>
      </c>
      <c r="D111" s="66">
        <f>_xlfn.XLOOKUP(A111,'930E-980E'!$B$7:$B$125,'930E-980E'!$N$7:$N$125)</f>
        <v>941.96000000007189</v>
      </c>
      <c r="E111" s="64">
        <f>_xlfn.XLOOKUP(A111,'930E-980E'!$B$7:$B$125,'930E-980E'!$AB$7:$AB$125)</f>
        <v>36951.22</v>
      </c>
      <c r="G111" s="77">
        <f t="shared" si="12"/>
        <v>37009.259999999929</v>
      </c>
      <c r="H111" s="66">
        <f t="shared" si="13"/>
        <v>58.039999999928114</v>
      </c>
      <c r="I111" s="69">
        <f t="shared" ca="1" si="14"/>
        <v>2.4505074525441159</v>
      </c>
      <c r="J111" s="78">
        <f t="shared" ca="1" si="15"/>
        <v>45572.450507452544</v>
      </c>
      <c r="K111" s="79" t="str" cm="1">
        <f t="array" aca="1" ref="K111" ca="1">_xlfn.IFS(I111&gt;=19,"Normal",I111&gt;11.999,"Proyectar",I111&gt;0,"Programar",TRUE,"Atrasado")</f>
        <v>Programar</v>
      </c>
    </row>
    <row r="112" spans="1:13" x14ac:dyDescent="0.35">
      <c r="A112" s="50" t="s">
        <v>117</v>
      </c>
      <c r="B112" s="64">
        <f>_xlfn.XLOOKUP(A112,'930E-980E'!$B$7:$B$125,'930E-980E'!$L$7:$L$125)</f>
        <v>35201.1</v>
      </c>
      <c r="C112" s="65">
        <f>_xlfn.XLOOKUP(A112,'930E-980E'!$B$7:$B$125,'930E-980E'!$M$7:$M$125)</f>
        <v>45521</v>
      </c>
      <c r="D112" s="66">
        <f>_xlfn.XLOOKUP(A112,'930E-980E'!$B$7:$B$125,'930E-980E'!$N$7:$N$125)</f>
        <v>700.91999999999825</v>
      </c>
      <c r="E112" s="64">
        <f>_xlfn.XLOOKUP(A112,'930E-980E'!$B$7:$B$125,'930E-980E'!$AB$7:$AB$125)</f>
        <v>35902.019999999997</v>
      </c>
      <c r="G112" s="77">
        <f t="shared" si="12"/>
        <v>36201.1</v>
      </c>
      <c r="H112" s="66">
        <f t="shared" si="13"/>
        <v>299.08000000000175</v>
      </c>
      <c r="I112" s="69">
        <f t="shared" ca="1" si="14"/>
        <v>19.481424413628702</v>
      </c>
      <c r="J112" s="78">
        <f t="shared" ca="1" si="15"/>
        <v>45589.481424413629</v>
      </c>
      <c r="K112" s="79" t="str" cm="1">
        <f t="array" aca="1" ref="K112" ca="1">_xlfn.IFS(I112&gt;=19,"Normal",I112&gt;11.999,"Proyectar",I112&gt;0,"Programar",TRUE,"Atrasado")</f>
        <v>Normal</v>
      </c>
      <c r="M112" t="s">
        <v>550</v>
      </c>
    </row>
    <row r="113" spans="1:12" x14ac:dyDescent="0.35">
      <c r="A113" s="50" t="s">
        <v>118</v>
      </c>
      <c r="B113" s="64">
        <f>_xlfn.XLOOKUP(A113,'930E-980E'!$B$7:$B$125,'930E-980E'!$L$7:$L$125)</f>
        <v>27397.64</v>
      </c>
      <c r="C113" s="65">
        <f>_xlfn.XLOOKUP(A113,'930E-980E'!$B$7:$B$125,'930E-980E'!$M$7:$M$125)</f>
        <v>45558</v>
      </c>
      <c r="D113" s="66">
        <f>_xlfn.XLOOKUP(A113,'930E-980E'!$B$7:$B$125,'930E-980E'!$N$7:$N$125)</f>
        <v>125.61999999999898</v>
      </c>
      <c r="E113" s="64">
        <f>_xlfn.XLOOKUP(A113,'930E-980E'!$B$7:$B$125,'930E-980E'!$AB$7:$AB$125)</f>
        <v>27523.26</v>
      </c>
      <c r="G113" s="77">
        <f t="shared" si="12"/>
        <v>28397.64</v>
      </c>
      <c r="H113" s="66">
        <f t="shared" si="13"/>
        <v>874.38000000000102</v>
      </c>
      <c r="I113" s="69">
        <f t="shared" ca="1" si="14"/>
        <v>75.565674255689373</v>
      </c>
      <c r="J113" s="78">
        <f t="shared" ca="1" si="15"/>
        <v>45645.565674255689</v>
      </c>
      <c r="K113" s="79" t="str" cm="1">
        <f t="array" aca="1" ref="K113" ca="1">_xlfn.IFS(I113&gt;=19,"Normal",I113&gt;11.999,"Proyectar",I113&gt;0,"Programar",TRUE,"Atrasado")</f>
        <v>Normal</v>
      </c>
    </row>
    <row r="114" spans="1:12" x14ac:dyDescent="0.35">
      <c r="A114" s="50" t="s">
        <v>119</v>
      </c>
      <c r="B114" s="64">
        <f>_xlfn.XLOOKUP(A114,'930E-980E'!$B$7:$B$125,'930E-980E'!$L$7:$L$125)</f>
        <v>26324.98</v>
      </c>
      <c r="C114" s="65">
        <f>_xlfn.XLOOKUP(A114,'930E-980E'!$B$7:$B$125,'930E-980E'!$M$7:$M$125)</f>
        <v>45553</v>
      </c>
      <c r="D114" s="66">
        <f>_xlfn.XLOOKUP(A114,'930E-980E'!$B$7:$B$125,'930E-980E'!$N$7:$N$125)</f>
        <v>189.40999999999985</v>
      </c>
      <c r="E114" s="64">
        <f>_xlfn.XLOOKUP(A114,'930E-980E'!$B$7:$B$125,'930E-980E'!$AB$7:$AB$125)</f>
        <v>26514.39</v>
      </c>
      <c r="G114" s="77">
        <f t="shared" si="12"/>
        <v>27324.98</v>
      </c>
      <c r="H114" s="66">
        <f t="shared" si="13"/>
        <v>810.59000000000015</v>
      </c>
      <c r="I114" s="69">
        <f t="shared" ca="1" si="14"/>
        <v>67.472836703447683</v>
      </c>
      <c r="J114" s="78">
        <f t="shared" ca="1" si="15"/>
        <v>45637.472836703448</v>
      </c>
      <c r="K114" s="79" t="str" cm="1">
        <f t="array" aca="1" ref="K114" ca="1">_xlfn.IFS(I114&gt;=19,"Normal",I114&gt;11.999,"Proyectar",I114&gt;0,"Programar",TRUE,"Atrasado")</f>
        <v>Normal</v>
      </c>
    </row>
    <row r="115" spans="1:12" x14ac:dyDescent="0.35">
      <c r="A115" s="50" t="s">
        <v>120</v>
      </c>
      <c r="B115" s="64">
        <f>_xlfn.XLOOKUP(A115,'930E-980E'!$B$7:$B$125,'930E-980E'!$L$7:$L$125)</f>
        <v>25899.920000000031</v>
      </c>
      <c r="C115" s="65">
        <f>_xlfn.XLOOKUP(A115,'930E-980E'!$B$7:$B$125,'930E-980E'!$M$7:$M$125)</f>
        <v>45531</v>
      </c>
      <c r="D115" s="66">
        <f>_xlfn.XLOOKUP(A115,'930E-980E'!$B$7:$B$125,'930E-980E'!$N$7:$N$125)</f>
        <v>507.52999999996973</v>
      </c>
      <c r="E115" s="64">
        <f>_xlfn.XLOOKUP(A115,'930E-980E'!$B$7:$B$125,'930E-980E'!$AB$7:$AB$125)</f>
        <v>26407.45</v>
      </c>
      <c r="G115" s="77">
        <f t="shared" si="12"/>
        <v>26899.920000000031</v>
      </c>
      <c r="H115" s="66">
        <f t="shared" si="13"/>
        <v>492.47000000003027</v>
      </c>
      <c r="I115" s="69">
        <f t="shared" ca="1" si="14"/>
        <v>35.872421334701357</v>
      </c>
      <c r="J115" s="78">
        <f t="shared" ca="1" si="15"/>
        <v>45605.872421334701</v>
      </c>
      <c r="K115" s="79" t="str" cm="1">
        <f t="array" aca="1" ref="K115" ca="1">_xlfn.IFS(I115&gt;=19,"Normal",I115&gt;11.999,"Proyectar",I115&gt;0,"Programar",TRUE,"Atrasado")</f>
        <v>Normal</v>
      </c>
    </row>
    <row r="116" spans="1:12" x14ac:dyDescent="0.35">
      <c r="A116" s="50" t="s">
        <v>121</v>
      </c>
      <c r="B116" s="64">
        <f>_xlfn.XLOOKUP(A116,'930E-980E'!$B$7:$B$125,'930E-980E'!$L$7:$L$125)</f>
        <v>25221.8</v>
      </c>
      <c r="C116" s="65">
        <f>_xlfn.XLOOKUP(A116,'930E-980E'!$B$7:$B$125,'930E-980E'!$M$7:$M$125)</f>
        <v>45506</v>
      </c>
      <c r="D116" s="66">
        <f>_xlfn.XLOOKUP(A116,'930E-980E'!$B$7:$B$125,'930E-980E'!$N$7:$N$125)</f>
        <v>1062.2700000000004</v>
      </c>
      <c r="E116" s="64">
        <f>_xlfn.XLOOKUP(A116,'930E-980E'!$B$7:$B$125,'930E-980E'!$AB$7:$AB$125)</f>
        <v>26284.07</v>
      </c>
      <c r="G116" s="77">
        <f t="shared" si="12"/>
        <v>26221.8</v>
      </c>
      <c r="H116" s="66">
        <f t="shared" si="13"/>
        <v>-62.270000000000437</v>
      </c>
      <c r="I116" s="69">
        <f t="shared" ca="1" si="14"/>
        <v>-2.6930441413205699</v>
      </c>
      <c r="J116" s="78">
        <f t="shared" ca="1" si="15"/>
        <v>45565.306955858679</v>
      </c>
      <c r="K116" s="79" t="str" cm="1">
        <f t="array" aca="1" ref="K116" ca="1">_xlfn.IFS(I116&gt;=19,"Normal",I116&gt;11.999,"Proyectar",I116&gt;0,"Programar",TRUE,"Atrasado")</f>
        <v>Atrasado</v>
      </c>
    </row>
    <row r="117" spans="1:12" x14ac:dyDescent="0.35">
      <c r="A117" s="67" t="s">
        <v>122</v>
      </c>
      <c r="B117" s="64">
        <f>_xlfn.XLOOKUP(A117,'930E-980E'!$B$7:$B$125,'930E-980E'!$L$7:$L$125)</f>
        <v>8217.1299999999992</v>
      </c>
      <c r="C117" s="65">
        <f>_xlfn.XLOOKUP(A117,'930E-980E'!$B$7:$B$125,'930E-980E'!$M$7:$M$125)</f>
        <v>45563</v>
      </c>
      <c r="D117" s="66">
        <f>_xlfn.XLOOKUP(A117,'930E-980E'!$B$7:$B$125,'930E-980E'!$N$7:$N$125)</f>
        <v>55.600000000000364</v>
      </c>
      <c r="E117" s="64">
        <f>_xlfn.XLOOKUP(A117,'930E-980E'!$B$7:$B$125,'930E-980E'!$AB$7:$AB$125)</f>
        <v>8272.73</v>
      </c>
      <c r="G117" s="77">
        <f t="shared" ref="G117:G123" si="16">B117+500</f>
        <v>8717.1299999999992</v>
      </c>
      <c r="H117" s="66">
        <f t="shared" ref="H117:H123" si="17">500-D117</f>
        <v>444.39999999999964</v>
      </c>
      <c r="I117" s="69">
        <f t="shared" ca="1" si="14"/>
        <v>46.956834532371431</v>
      </c>
      <c r="J117" s="78">
        <f t="shared" ref="J117:J123" ca="1" si="18">IF(D117&lt;1,"MP-RECIENTE",TODAY()+((500-D117)/(D117/(TODAY()-C117))))</f>
        <v>45616.956834532371</v>
      </c>
      <c r="K117" s="79" t="str" cm="1">
        <f t="array" aca="1" ref="K117" ca="1">_xlfn.IFS(I117&gt;=19,"Normal",I117&gt;11.999,"Proyectar",I117&gt;0,"Programar",TRUE,"Atrasado")</f>
        <v>Normal</v>
      </c>
      <c r="L117" t="str" cm="1">
        <f t="array" ref="L117">_xlfn.IFS(D117&gt;=500,"tomar fecha 1000hrs",D117&gt;0,"tomar fecha 500hrs")</f>
        <v>tomar fecha 500hrs</v>
      </c>
    </row>
    <row r="118" spans="1:12" x14ac:dyDescent="0.35">
      <c r="A118" s="67" t="s">
        <v>123</v>
      </c>
      <c r="B118" s="64">
        <f>_xlfn.XLOOKUP(A118,'930E-980E'!$B$7:$B$125,'930E-980E'!$L$7:$L$125)</f>
        <v>8226.2000000000007</v>
      </c>
      <c r="C118" s="65">
        <f>_xlfn.XLOOKUP(A118,'930E-980E'!$B$7:$B$125,'930E-980E'!$M$7:$M$125)</f>
        <v>45546</v>
      </c>
      <c r="D118" s="66">
        <f>_xlfn.XLOOKUP(A118,'930E-980E'!$B$7:$B$125,'930E-980E'!$N$7:$N$125)</f>
        <v>380.01999999999862</v>
      </c>
      <c r="E118" s="64">
        <f>_xlfn.XLOOKUP(A118,'930E-980E'!$B$7:$B$125,'930E-980E'!$AB$7:$AB$125)</f>
        <v>8606.2199999999993</v>
      </c>
      <c r="G118" s="77">
        <f t="shared" si="16"/>
        <v>8726.2000000000007</v>
      </c>
      <c r="H118" s="66">
        <f t="shared" si="17"/>
        <v>119.98000000000138</v>
      </c>
      <c r="I118" s="69">
        <f t="shared" ca="1" si="14"/>
        <v>6.2615651807791437</v>
      </c>
      <c r="J118" s="78">
        <f t="shared" ca="1" si="18"/>
        <v>45576.261565180779</v>
      </c>
      <c r="K118" s="79" t="str" cm="1">
        <f t="array" aca="1" ref="K118" ca="1">_xlfn.IFS(I118&gt;=19,"Normal",I118&gt;11.999,"Proyectar",I118&gt;0,"Programar",TRUE,"Atrasado")</f>
        <v>Programar</v>
      </c>
      <c r="L118" t="str" cm="1">
        <f t="array" ref="L118">_xlfn.IFS(D118&gt;=500,"tomar fecha 1000hrs",D118&gt;0,"tomar fecha 500hrs")</f>
        <v>tomar fecha 500hrs</v>
      </c>
    </row>
    <row r="119" spans="1:12" x14ac:dyDescent="0.35">
      <c r="A119" s="67" t="s">
        <v>124</v>
      </c>
      <c r="B119" s="64">
        <f>_xlfn.XLOOKUP(A119,'930E-980E'!$B$7:$B$125,'930E-980E'!$L$7:$L$125)</f>
        <v>7969.46</v>
      </c>
      <c r="C119" s="65">
        <f>_xlfn.XLOOKUP(A119,'930E-980E'!$B$7:$B$125,'930E-980E'!$M$7:$M$125)</f>
        <v>45563</v>
      </c>
      <c r="D119" s="66">
        <f>_xlfn.XLOOKUP(A119,'930E-980E'!$B$7:$B$125,'930E-980E'!$N$7:$N$125)</f>
        <v>34.420000000000073</v>
      </c>
      <c r="E119" s="64">
        <f>_xlfn.XLOOKUP(A119,'930E-980E'!$B$7:$B$125,'930E-980E'!$AB$7:$AB$125)</f>
        <v>8003.88</v>
      </c>
      <c r="G119" s="77">
        <f t="shared" si="16"/>
        <v>8469.4599999999991</v>
      </c>
      <c r="H119" s="66">
        <f t="shared" si="17"/>
        <v>465.57999999999993</v>
      </c>
      <c r="I119" s="69">
        <f t="shared" ca="1" si="14"/>
        <v>80.15862870424462</v>
      </c>
      <c r="J119" s="78">
        <f t="shared" ca="1" si="18"/>
        <v>45650.158628704245</v>
      </c>
      <c r="K119" s="79" t="str" cm="1">
        <f t="array" aca="1" ref="K119" ca="1">_xlfn.IFS(I119&gt;=19,"Normal",I119&gt;11.999,"Proyectar",I119&gt;0,"Programar",TRUE,"Atrasado")</f>
        <v>Normal</v>
      </c>
      <c r="L119" t="str" cm="1">
        <f t="array" ref="L119">_xlfn.IFS(D119&gt;=500,"tomar fecha 1000hrs",D119&gt;0,"tomar fecha 500hrs")</f>
        <v>tomar fecha 500hrs</v>
      </c>
    </row>
    <row r="120" spans="1:12" x14ac:dyDescent="0.35">
      <c r="A120" s="67" t="s">
        <v>125</v>
      </c>
      <c r="B120" s="64">
        <f>_xlfn.XLOOKUP(A120,'930E-980E'!$B$7:$B$125,'930E-980E'!$L$7:$L$125)</f>
        <v>6325.7</v>
      </c>
      <c r="C120" s="65">
        <f>_xlfn.XLOOKUP(A120,'930E-980E'!$B$7:$B$125,'930E-980E'!$M$7:$M$125)</f>
        <v>45558</v>
      </c>
      <c r="D120" s="66">
        <f>_xlfn.XLOOKUP(A120,'930E-980E'!$B$7:$B$125,'930E-980E'!$N$7:$N$125)</f>
        <v>122.80000000000018</v>
      </c>
      <c r="E120" s="64">
        <f>_xlfn.XLOOKUP(A120,'930E-980E'!$B$7:$B$125,'930E-980E'!$AB$7:$AB$125)</f>
        <v>6448.5</v>
      </c>
      <c r="G120" s="77">
        <f t="shared" si="16"/>
        <v>6825.7</v>
      </c>
      <c r="H120" s="66">
        <f t="shared" si="17"/>
        <v>377.19999999999982</v>
      </c>
      <c r="I120" s="69">
        <f t="shared" ca="1" si="14"/>
        <v>32.788273615631624</v>
      </c>
      <c r="J120" s="78">
        <f t="shared" ca="1" si="18"/>
        <v>45602.788273615632</v>
      </c>
      <c r="K120" s="79" t="str" cm="1">
        <f t="array" aca="1" ref="K120" ca="1">_xlfn.IFS(I120&gt;=19,"Normal",I120&gt;11.999,"Proyectar",I120&gt;0,"Programar",TRUE,"Atrasado")</f>
        <v>Normal</v>
      </c>
      <c r="L120" t="str" cm="1">
        <f t="array" ref="L120">_xlfn.IFS(D120&gt;=500,"tomar fecha 1000hrs",D120&gt;0,"tomar fecha 500hrs")</f>
        <v>tomar fecha 500hrs</v>
      </c>
    </row>
    <row r="121" spans="1:12" x14ac:dyDescent="0.35">
      <c r="A121" s="67" t="s">
        <v>126</v>
      </c>
      <c r="B121" s="64">
        <f>_xlfn.XLOOKUP(A121,'930E-980E'!$B$7:$B$125,'930E-980E'!$L$7:$L$125)</f>
        <v>7045.5499999999984</v>
      </c>
      <c r="C121" s="65">
        <f>_xlfn.XLOOKUP(A121,'930E-980E'!$B$7:$B$125,'930E-980E'!$M$7:$M$125)</f>
        <v>45539</v>
      </c>
      <c r="D121" s="66">
        <f>_xlfn.XLOOKUP(A121,'930E-980E'!$B$7:$B$125,'930E-980E'!$N$7:$N$125)</f>
        <v>474.91000000000167</v>
      </c>
      <c r="E121" s="64">
        <f>_xlfn.XLOOKUP(A121,'930E-980E'!$B$7:$B$125,'930E-980E'!$AB$7:$AB$125)</f>
        <v>7520.46</v>
      </c>
      <c r="G121" s="77">
        <f t="shared" si="16"/>
        <v>7545.5499999999984</v>
      </c>
      <c r="H121" s="66">
        <f t="shared" si="17"/>
        <v>25.089999999998327</v>
      </c>
      <c r="I121" s="69">
        <f t="shared" ca="1" si="14"/>
        <v>0.58493188182910671</v>
      </c>
      <c r="J121" s="78">
        <f t="shared" ca="1" si="18"/>
        <v>45570.584931881829</v>
      </c>
      <c r="K121" s="79" t="str" cm="1">
        <f t="array" aca="1" ref="K121" ca="1">_xlfn.IFS(I121&gt;=19,"Normal",I121&gt;11.999,"Proyectar",I121&gt;0,"Programar",TRUE,"Atrasado")</f>
        <v>Programar</v>
      </c>
      <c r="L121" t="str" cm="1">
        <f t="array" ref="L121">_xlfn.IFS(D121&gt;=500,"tomar fecha 1000hrs",D121&gt;0,"tomar fecha 500hrs")</f>
        <v>tomar fecha 500hrs</v>
      </c>
    </row>
    <row r="122" spans="1:12" x14ac:dyDescent="0.35">
      <c r="A122" s="67" t="s">
        <v>127</v>
      </c>
      <c r="B122" s="64">
        <f>_xlfn.XLOOKUP(A122,'930E-980E'!$B$7:$B$125,'930E-980E'!$L$7:$L$125)</f>
        <v>7733.76</v>
      </c>
      <c r="C122" s="65">
        <f>_xlfn.XLOOKUP(A122,'930E-980E'!$B$7:$B$125,'930E-980E'!$M$7:$M$125)</f>
        <v>45564</v>
      </c>
      <c r="D122" s="66">
        <f>_xlfn.XLOOKUP(A122,'930E-980E'!$B$7:$B$125,'930E-980E'!$N$7:$N$125)</f>
        <v>35.889999999999418</v>
      </c>
      <c r="E122" s="64">
        <f>_xlfn.XLOOKUP(A122,'930E-980E'!$B$7:$B$125,'930E-980E'!$AB$7:$AB$125)</f>
        <v>7769.65</v>
      </c>
      <c r="G122" s="77">
        <f t="shared" si="16"/>
        <v>8233.76</v>
      </c>
      <c r="H122" s="66">
        <f t="shared" si="17"/>
        <v>464.11000000000058</v>
      </c>
      <c r="I122" s="69">
        <f t="shared" ca="1" si="14"/>
        <v>63.657286152134475</v>
      </c>
      <c r="J122" s="78">
        <f t="shared" ca="1" si="18"/>
        <v>45633.657286152134</v>
      </c>
      <c r="K122" s="79" t="str" cm="1">
        <f t="array" aca="1" ref="K122" ca="1">_xlfn.IFS(I122&gt;=19,"Normal",I122&gt;11.999,"Proyectar",I122&gt;0,"Programar",TRUE,"Atrasado")</f>
        <v>Normal</v>
      </c>
      <c r="L122" t="str" cm="1">
        <f t="array" ref="L122">_xlfn.IFS(D122&gt;=500,"tomar fecha 1000hrs",D122&gt;0,"tomar fecha 500hrs")</f>
        <v>tomar fecha 500hrs</v>
      </c>
    </row>
    <row r="123" spans="1:12" x14ac:dyDescent="0.35">
      <c r="A123" s="67" t="s">
        <v>128</v>
      </c>
      <c r="B123" s="64">
        <f>_xlfn.XLOOKUP(A123,'930E-980E'!$B$7:$B$125,'930E-980E'!$L$7:$L$125)</f>
        <v>7512.46</v>
      </c>
      <c r="C123" s="65">
        <f>_xlfn.XLOOKUP(A123,'930E-980E'!$B$7:$B$125,'930E-980E'!$M$7:$M$125)</f>
        <v>45565</v>
      </c>
      <c r="D123" s="66">
        <f>_xlfn.XLOOKUP(A123,'930E-980E'!$B$7:$B$125,'930E-980E'!$N$7:$N$125)</f>
        <v>21.3100000000004</v>
      </c>
      <c r="E123" s="64">
        <f>_xlfn.XLOOKUP(A123,'930E-980E'!$B$7:$B$125,'930E-980E'!$AB$7:$AB$125)</f>
        <v>7533.77</v>
      </c>
      <c r="G123" s="80">
        <f t="shared" si="16"/>
        <v>8012.46</v>
      </c>
      <c r="H123" s="72">
        <f t="shared" si="17"/>
        <v>478.6899999999996</v>
      </c>
      <c r="I123" s="81">
        <f t="shared" ca="1" si="14"/>
        <v>88.852651337401767</v>
      </c>
      <c r="J123" s="82">
        <f t="shared" ca="1" si="18"/>
        <v>45658.852651337402</v>
      </c>
      <c r="K123" s="83" t="str" cm="1">
        <f t="array" aca="1" ref="K123" ca="1">_xlfn.IFS(I123&gt;=19,"Normal",I123&gt;11.999,"Proyectar",I123&gt;0,"Programar",TRUE,"Atrasado")</f>
        <v>Normal</v>
      </c>
      <c r="L123" t="str" cm="1">
        <f t="array" ref="L123">_xlfn.IFS(D123&gt;=500,"tomar fecha 1000hrs",D123&gt;0,"tomar fecha 500hrs")</f>
        <v>tomar fecha 500hrs</v>
      </c>
    </row>
    <row r="125" spans="1:12" x14ac:dyDescent="0.35">
      <c r="B125" cm="1">
        <f t="array" ref="B125">_xlfn.IFS(D117&gt;=500,"BUSCARX(A117;'930E-980E'!$B$7:$B$125;'930E-980E'!$K$7:$K$125)",D117&gt;0,_xlfn.XLOOKUP(A117,'930E-980E'!$B$7:$B$125,'930E-980E'!$R$7:$R$125))</f>
        <v>8193.7900000000009</v>
      </c>
      <c r="C125" s="61" cm="1">
        <f t="array" ref="C125">_xlfn.IFS(D117&gt;=500,_xlfn.XLOOKUP(A117,'930E-980E'!$B$7:$B$125,'930E-980E'!$M$7:$M$125),D117&gt;0,_xlfn.XLOOKUP(A117,'930E-980E'!$B$7:$B$125,'930E-980E'!$S$7:$S$125))</f>
        <v>45561</v>
      </c>
      <c r="D125" s="57" cm="1">
        <f t="array" ref="D125">_xlfn.IFS(D117&gt;=500,_xlfn.XLOOKUP(A117,'930E-980E'!$B$7:$B$125,'930E-980E'!$N$7:$N$125),D117&gt;0,_xlfn.XLOOKUP(A117,'930E-980E'!$B$7:$B$125,'930E-980E'!$T$7:$T$125))</f>
        <v>78.93999999999869</v>
      </c>
      <c r="E125" s="39" cm="1">
        <f t="array" ref="E125">_xlfn.IFS(D117&gt;=500,_xlfn.XLOOKUP(A117,'930E-980E'!$B$7:$B$125,'930E-980E'!$AB$7:$AB$125),D117&gt;0,_xlfn.XLOOKUP(A117,'930E-980E'!$B$7:$B$125,'930E-980E'!$AB$7:$AB$125))</f>
        <v>8272.73</v>
      </c>
    </row>
    <row r="126" spans="1:12" x14ac:dyDescent="0.35">
      <c r="B126" cm="1">
        <f t="array" ref="B126">_xlfn.IFS(D118&gt;=500,_xlfn.XLOOKUP(A117,'930E-980E'!$B$7:$B$125,'930E-980E'!$L$7:$L$125),D118&gt;0,_xlfn.XLOOKUP(A118,'930E-980E'!$B$7:$B$125,'930E-980E'!$R$7:$R$125))</f>
        <v>8562.77</v>
      </c>
      <c r="C126" s="61" cm="1">
        <f t="array" ref="C126">_xlfn.IFS(D118&gt;=500,_xlfn.XLOOKUP(A118,'930E-980E'!$B$7:$B$125,'930E-980E'!$M$7:$M$125),D118&gt;0,_xlfn.XLOOKUP(A118,'930E-980E'!$B$7:$B$125,'930E-980E'!$S$7:$S$125))</f>
        <v>45564</v>
      </c>
      <c r="D126" s="57" cm="1">
        <f t="array" ref="D126">_xlfn.IFS(D118&gt;=500,_xlfn.XLOOKUP(A118,'930E-980E'!$B$7:$B$125,'930E-980E'!$N$7:$N$125),D118&gt;0,_xlfn.XLOOKUP(A118,'930E-980E'!$B$7:$B$125,'930E-980E'!$T$7:$T$125))</f>
        <v>43.449999999998909</v>
      </c>
      <c r="E126" s="39" cm="1">
        <f t="array" ref="E126">_xlfn.IFS(D118&gt;=500,_xlfn.XLOOKUP(A118,'930E-980E'!$B$7:$B$125,'930E-980E'!$AB$7:$AB$125),D118&gt;0,_xlfn.XLOOKUP(A118,'930E-980E'!$B$7:$B$125,'930E-980E'!$AB$7:$AB$125))</f>
        <v>8606.2199999999993</v>
      </c>
    </row>
    <row r="128" spans="1:12" ht="43.5" x14ac:dyDescent="0.35">
      <c r="A128" s="74" t="s">
        <v>1</v>
      </c>
      <c r="B128" s="75" t="s">
        <v>537</v>
      </c>
      <c r="C128" s="75" t="s">
        <v>538</v>
      </c>
      <c r="D128" s="75" t="s">
        <v>536</v>
      </c>
      <c r="E128" s="76" t="s">
        <v>539</v>
      </c>
      <c r="F128" s="1"/>
      <c r="G128" s="84" t="s">
        <v>543</v>
      </c>
      <c r="H128" s="84" t="s">
        <v>564</v>
      </c>
      <c r="I128" s="84" t="s">
        <v>540</v>
      </c>
      <c r="J128" s="84" t="s">
        <v>541</v>
      </c>
      <c r="K128" s="86" t="s">
        <v>542</v>
      </c>
    </row>
    <row r="129" spans="1:11" x14ac:dyDescent="0.35">
      <c r="A129" s="88" t="s">
        <v>304</v>
      </c>
      <c r="B129" s="2">
        <f>_xlfn.XLOOKUP(A129,'830E'!$B$7:$B$15,'830E'!$L$7:$L$15)</f>
        <v>87482</v>
      </c>
      <c r="C129" s="70">
        <f>_xlfn.XLOOKUP(A129,'830E'!$B$7:$B$15,'830E'!$M$7:$M$15)</f>
        <v>45330</v>
      </c>
      <c r="D129" s="66">
        <f>_xlfn.XLOOKUP(A129,'830E'!$B$7:$B$15,'830E'!$N$7:$N$15)</f>
        <v>222.19000000000233</v>
      </c>
      <c r="E129" s="55">
        <f>_xlfn.XLOOKUP(A129,'830E'!$B$7:$B$15,'830E'!$Z$7:$Z$15)</f>
        <v>87704.19</v>
      </c>
      <c r="G129" s="19">
        <f>B129+250</f>
        <v>87732</v>
      </c>
      <c r="H129" s="66">
        <f>250-D129</f>
        <v>27.809999999997672</v>
      </c>
      <c r="I129" s="69">
        <f ca="1">IF(D129&lt;1,"MP-RECIENTE",IF(J129&lt;TODAY()-1,-((TODAY()-1)-J129),J129-TODAY()-1))</f>
        <v>28.913992528912786</v>
      </c>
      <c r="J129" s="70">
        <f ca="1">IF(D129&lt;1,"MP-RECIENTE",TODAY()+((250-D129)/(D129/(TODAY()-C129))))</f>
        <v>45598.913992528913</v>
      </c>
      <c r="K129" s="79" t="str" cm="1">
        <f t="array" aca="1" ref="K129" ca="1">_xlfn.IFS(I129&gt;=19,"Normal",I129&gt;11.999,"Proyectar",I129&gt;0,"Programar",TRUE,"Atrasado")</f>
        <v>Normal</v>
      </c>
    </row>
    <row r="130" spans="1:11" x14ac:dyDescent="0.35">
      <c r="A130" s="88" t="s">
        <v>297</v>
      </c>
      <c r="B130" s="2">
        <f>_xlfn.XLOOKUP(A130,'830E'!$B$7:$B$15,'830E'!$L$7:$L$15)</f>
        <v>112524</v>
      </c>
      <c r="C130" s="70">
        <f>_xlfn.XLOOKUP(A130,'830E'!$B$7:$B$15,'830E'!$M$7:$M$15)</f>
        <v>45523</v>
      </c>
      <c r="D130" s="66">
        <f>_xlfn.XLOOKUP(A130,'830E'!$B$7:$B$15,'830E'!$N$7:$N$15)</f>
        <v>566.22000000000116</v>
      </c>
      <c r="E130" s="55">
        <f>_xlfn.XLOOKUP(A130,'830E'!$B$7:$B$15,'830E'!$Z$7:$Z$15)</f>
        <v>113090.22</v>
      </c>
      <c r="G130" s="19">
        <f t="shared" ref="G130:G137" si="19">B130+250</f>
        <v>112774</v>
      </c>
      <c r="H130" s="66">
        <f t="shared" ref="H130:H137" si="20">250-D130</f>
        <v>-316.22000000000116</v>
      </c>
      <c r="I130" s="69">
        <f t="shared" ref="I130:I137" ca="1" si="21">IF(D130&lt;1,"MP-RECIENTE",IF(J130&lt;TODAY()-1,-((TODAY()-1)-J130),J130-TODAY()-1))</f>
        <v>-24.689873194161919</v>
      </c>
      <c r="J130" s="70">
        <f t="shared" ref="J130:J137" ca="1" si="22">IF(D130&lt;1,"MP-RECIENTE",TODAY()+((250-D130)/(D130/(TODAY()-C130))))</f>
        <v>45543.310126805838</v>
      </c>
      <c r="K130" s="79" t="str" cm="1">
        <f t="array" aca="1" ref="K130" ca="1">_xlfn.IFS(I130&gt;=19,"Normal",I130&gt;11.999,"Proyectar",I130&gt;0,"Programar",TRUE,"Atrasado")</f>
        <v>Atrasado</v>
      </c>
    </row>
    <row r="131" spans="1:11" x14ac:dyDescent="0.35">
      <c r="A131" s="89" t="s">
        <v>271</v>
      </c>
      <c r="B131" s="2">
        <f>_xlfn.XLOOKUP(A131,'830E'!$B$7:$B$15,'830E'!$L$7:$L$15)</f>
        <v>104751</v>
      </c>
      <c r="C131" s="70">
        <f>_xlfn.XLOOKUP(A131,'830E'!$B$7:$B$15,'830E'!$M$7:$M$15)</f>
        <v>45522</v>
      </c>
      <c r="D131" s="66">
        <f>_xlfn.XLOOKUP(A131,'830E'!$B$7:$B$15,'830E'!$N$7:$N$15)</f>
        <v>484.64999999999418</v>
      </c>
      <c r="E131" s="55">
        <f>_xlfn.XLOOKUP(A131,'830E'!$B$7:$B$15,'830E'!$Z$7:$Z$15)</f>
        <v>105235.65</v>
      </c>
      <c r="G131" s="19">
        <f t="shared" si="19"/>
        <v>105001</v>
      </c>
      <c r="H131" s="66">
        <f t="shared" si="20"/>
        <v>-234.64999999999418</v>
      </c>
      <c r="I131" s="69">
        <f t="shared" ca="1" si="21"/>
        <v>-21.755699989684217</v>
      </c>
      <c r="J131" s="70">
        <f t="shared" ca="1" si="22"/>
        <v>45546.244300010316</v>
      </c>
      <c r="K131" s="79" t="str" cm="1">
        <f t="array" aca="1" ref="K131" ca="1">_xlfn.IFS(I131&gt;=19,"Normal",I131&gt;11.999,"Proyectar",I131&gt;0,"Programar",TRUE,"Atrasado")</f>
        <v>Atrasado</v>
      </c>
    </row>
    <row r="132" spans="1:11" x14ac:dyDescent="0.35">
      <c r="A132" s="89" t="s">
        <v>274</v>
      </c>
      <c r="B132" s="2">
        <f>_xlfn.XLOOKUP(A132,'830E'!$B$7:$B$15,'830E'!$L$7:$L$15)</f>
        <v>102811</v>
      </c>
      <c r="C132" s="70">
        <f>_xlfn.XLOOKUP(A132,'830E'!$B$7:$B$15,'830E'!$M$7:$M$15)</f>
        <v>45375</v>
      </c>
      <c r="D132" s="66">
        <f>_xlfn.XLOOKUP(A132,'830E'!$B$7:$B$15,'830E'!$N$7:$N$15)</f>
        <v>106.41000000000349</v>
      </c>
      <c r="E132" s="55">
        <f>_xlfn.XLOOKUP(A132,'830E'!$B$7:$B$15,'830E'!$Z$7:$Z$15)</f>
        <v>102917.41</v>
      </c>
      <c r="G132" s="19">
        <f t="shared" si="19"/>
        <v>103061</v>
      </c>
      <c r="H132" s="66">
        <f t="shared" si="20"/>
        <v>143.58999999999651</v>
      </c>
      <c r="I132" s="69">
        <f t="shared" ca="1" si="21"/>
        <v>260.78423080535867</v>
      </c>
      <c r="J132" s="70">
        <f t="shared" ca="1" si="22"/>
        <v>45830.784230805359</v>
      </c>
      <c r="K132" s="79" t="str" cm="1">
        <f t="array" aca="1" ref="K132" ca="1">_xlfn.IFS(I132&gt;=19,"Normal",I132&gt;11.999,"Proyectar",I132&gt;0,"Programar",TRUE,"Atrasado")</f>
        <v>Normal</v>
      </c>
    </row>
    <row r="133" spans="1:11" x14ac:dyDescent="0.35">
      <c r="A133" s="89" t="s">
        <v>272</v>
      </c>
      <c r="B133" s="2">
        <f>_xlfn.XLOOKUP(A133,'830E'!$B$7:$B$15,'830E'!$L$7:$L$15)</f>
        <v>102048</v>
      </c>
      <c r="C133" s="70">
        <f>_xlfn.XLOOKUP(A133,'830E'!$B$7:$B$15,'830E'!$M$7:$M$15)</f>
        <v>45491</v>
      </c>
      <c r="D133" s="66">
        <f>_xlfn.XLOOKUP(A133,'830E'!$B$7:$B$15,'830E'!$N$7:$N$15)</f>
        <v>198.75999999999476</v>
      </c>
      <c r="E133" s="55">
        <f>_xlfn.XLOOKUP(A133,'830E'!$B$7:$B$15,'830E'!$Z$7:$Z$15)</f>
        <v>102246.76</v>
      </c>
      <c r="G133" s="19">
        <f t="shared" si="19"/>
        <v>102298</v>
      </c>
      <c r="H133" s="66">
        <f t="shared" si="20"/>
        <v>51.240000000005239</v>
      </c>
      <c r="I133" s="69">
        <f t="shared" ca="1" si="21"/>
        <v>19.108271281947964</v>
      </c>
      <c r="J133" s="70">
        <f t="shared" ca="1" si="22"/>
        <v>45589.108271281948</v>
      </c>
      <c r="K133" s="79" t="str" cm="1">
        <f t="array" aca="1" ref="K133" ca="1">_xlfn.IFS(I133&gt;=19,"Normal",I133&gt;11.999,"Proyectar",I133&gt;0,"Programar",TRUE,"Atrasado")</f>
        <v>Normal</v>
      </c>
    </row>
    <row r="134" spans="1:11" x14ac:dyDescent="0.35">
      <c r="A134" s="89" t="s">
        <v>285</v>
      </c>
      <c r="B134" s="2">
        <f>_xlfn.XLOOKUP(A134,'830E'!$B$7:$B$15,'830E'!$L$7:$L$15)</f>
        <v>101306</v>
      </c>
      <c r="C134" s="70">
        <f>_xlfn.XLOOKUP(A134,'830E'!$B$7:$B$15,'830E'!$M$7:$M$15)</f>
        <v>44788</v>
      </c>
      <c r="D134" s="66">
        <f>_xlfn.XLOOKUP(A134,'830E'!$B$7:$B$15,'830E'!$N$7:$N$15)</f>
        <v>170.39999999999418</v>
      </c>
      <c r="E134" s="55">
        <f>_xlfn.XLOOKUP(A134,'830E'!$B$7:$B$15,'830E'!$Z$7:$Z$15)</f>
        <v>101476.4</v>
      </c>
      <c r="G134" s="19">
        <f t="shared" si="19"/>
        <v>101556</v>
      </c>
      <c r="H134" s="66">
        <f t="shared" si="20"/>
        <v>79.600000000005821</v>
      </c>
      <c r="I134" s="69">
        <f t="shared" ca="1" si="21"/>
        <v>363.83333333337214</v>
      </c>
      <c r="J134" s="70">
        <f t="shared" ca="1" si="22"/>
        <v>45933.833333333372</v>
      </c>
      <c r="K134" s="79" t="str" cm="1">
        <f t="array" aca="1" ref="K134" ca="1">_xlfn.IFS(I134&gt;=19,"Normal",I134&gt;11.999,"Proyectar",I134&gt;0,"Programar",TRUE,"Atrasado")</f>
        <v>Normal</v>
      </c>
    </row>
    <row r="135" spans="1:11" x14ac:dyDescent="0.35">
      <c r="A135" s="89" t="s">
        <v>306</v>
      </c>
      <c r="B135" s="2">
        <f>_xlfn.XLOOKUP(A135,'830E'!$B$7:$B$15,'830E'!$L$7:$L$15)</f>
        <v>100000</v>
      </c>
      <c r="C135" s="70">
        <f>_xlfn.XLOOKUP(A135,'830E'!$B$7:$B$15,'830E'!$M$7:$M$15)</f>
        <v>0</v>
      </c>
      <c r="D135" s="66">
        <f>_xlfn.XLOOKUP(A135,'830E'!$B$7:$B$15,'830E'!$N$7:$N$15)</f>
        <v>0</v>
      </c>
      <c r="E135" s="55">
        <f>_xlfn.XLOOKUP(A135,'830E'!$B$7:$B$15,'830E'!$Z$7:$Z$15)</f>
        <v>100000</v>
      </c>
      <c r="G135" s="19">
        <f t="shared" si="19"/>
        <v>100250</v>
      </c>
      <c r="H135" s="66">
        <f t="shared" si="20"/>
        <v>250</v>
      </c>
      <c r="I135" s="69" t="str">
        <f t="shared" ca="1" si="21"/>
        <v>MP-RECIENTE</v>
      </c>
      <c r="J135" s="70" t="str">
        <f t="shared" ca="1" si="22"/>
        <v>MP-RECIENTE</v>
      </c>
      <c r="K135" s="79" t="str" cm="1">
        <f t="array" aca="1" ref="K135" ca="1">_xlfn.IFS(I135&gt;=19,"Normal",I135&gt;11.999,"Proyectar",I135&gt;0,"Programar",TRUE,"Atrasado")</f>
        <v>Normal</v>
      </c>
    </row>
    <row r="136" spans="1:11" x14ac:dyDescent="0.35">
      <c r="A136" s="89" t="s">
        <v>308</v>
      </c>
      <c r="B136" s="2">
        <f>_xlfn.XLOOKUP(A136,'830E'!$B$7:$B$15,'830E'!$L$7:$L$15)</f>
        <v>100000</v>
      </c>
      <c r="C136" s="70">
        <f>_xlfn.XLOOKUP(A136,'830E'!$B$7:$B$15,'830E'!$M$7:$M$15)</f>
        <v>0</v>
      </c>
      <c r="D136" s="66">
        <f>_xlfn.XLOOKUP(A136,'830E'!$B$7:$B$15,'830E'!$N$7:$N$15)</f>
        <v>0</v>
      </c>
      <c r="E136" s="55">
        <f>_xlfn.XLOOKUP(A136,'830E'!$B$7:$B$15,'830E'!$Z$7:$Z$15)</f>
        <v>100000</v>
      </c>
      <c r="G136" s="19">
        <f t="shared" si="19"/>
        <v>100250</v>
      </c>
      <c r="H136" s="66">
        <f t="shared" si="20"/>
        <v>250</v>
      </c>
      <c r="I136" s="69" t="str">
        <f t="shared" ca="1" si="21"/>
        <v>MP-RECIENTE</v>
      </c>
      <c r="J136" s="70" t="str">
        <f t="shared" ca="1" si="22"/>
        <v>MP-RECIENTE</v>
      </c>
      <c r="K136" s="79" t="str" cm="1">
        <f t="array" aca="1" ref="K136" ca="1">_xlfn.IFS(I136&gt;=19,"Normal",I136&gt;11.999,"Proyectar",I136&gt;0,"Programar",TRUE,"Atrasado")</f>
        <v>Normal</v>
      </c>
    </row>
    <row r="137" spans="1:11" x14ac:dyDescent="0.35">
      <c r="A137" s="90" t="s">
        <v>307</v>
      </c>
      <c r="B137" s="24">
        <f>_xlfn.XLOOKUP(A137,'830E'!$B$7:$B$15,'830E'!$L$7:$L$15)</f>
        <v>101964</v>
      </c>
      <c r="C137" s="71">
        <f>_xlfn.XLOOKUP(A137,'830E'!$B$7:$B$15,'830E'!$M$7:$M$15)</f>
        <v>44763</v>
      </c>
      <c r="D137" s="72">
        <f>_xlfn.XLOOKUP(A137,'830E'!$B$7:$B$15,'830E'!$N$7:$N$15)</f>
        <v>311.73000000001048</v>
      </c>
      <c r="E137" s="73">
        <f>_xlfn.XLOOKUP(A137,'830E'!$B$7:$B$15,'830E'!$Z$7:$Z$15)</f>
        <v>102275.73000000001</v>
      </c>
      <c r="G137" s="23">
        <f t="shared" si="19"/>
        <v>102214</v>
      </c>
      <c r="H137" s="72">
        <f t="shared" si="20"/>
        <v>-61.730000000010477</v>
      </c>
      <c r="I137" s="81">
        <f t="shared" ca="1" si="21"/>
        <v>-158.60728835853661</v>
      </c>
      <c r="J137" s="71">
        <f t="shared" ca="1" si="22"/>
        <v>45409.392711641463</v>
      </c>
      <c r="K137" s="83" t="str" cm="1">
        <f t="array" aca="1" ref="K137" ca="1">_xlfn.IFS(I137&gt;=19,"Normal",I137&gt;11.999,"Proyectar",I137&gt;0,"Programar",TRUE,"Atrasado")</f>
        <v>Atrasado</v>
      </c>
    </row>
  </sheetData>
  <pageMargins left="0.7" right="0.7" top="0.75" bottom="0.75" header="0.3" footer="0.3"/>
  <ignoredErrors>
    <ignoredError sqref="G5:G123 H5:H123 J5:J123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08C1-C045-4C78-9BD5-3A9D91C07612}">
  <dimension ref="A1:AH163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8" sqref="E8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>
        <v>45566</v>
      </c>
      <c r="B1" s="6" t="s">
        <v>0</v>
      </c>
      <c r="G1" s="39"/>
      <c r="L1" s="39"/>
      <c r="T1" s="39"/>
      <c r="AF1" s="39"/>
      <c r="AG1" s="39"/>
    </row>
    <row r="2" spans="1:34" ht="15" thickBot="1" x14ac:dyDescent="0.4">
      <c r="O2" s="39"/>
      <c r="AF2" s="39"/>
      <c r="AG2" s="39"/>
    </row>
    <row r="3" spans="1:34" ht="15" thickBot="1" x14ac:dyDescent="0.4">
      <c r="A3" s="17" t="s">
        <v>270</v>
      </c>
      <c r="B3" s="45">
        <v>45566</v>
      </c>
      <c r="C3" s="46">
        <v>45567</v>
      </c>
      <c r="D3" s="46">
        <v>45568</v>
      </c>
      <c r="E3" s="46">
        <v>45569</v>
      </c>
      <c r="F3" s="46">
        <v>45570</v>
      </c>
      <c r="G3" s="46">
        <v>45571</v>
      </c>
      <c r="H3" s="46">
        <v>45572</v>
      </c>
      <c r="I3" s="46">
        <v>45573</v>
      </c>
      <c r="J3" s="46">
        <v>45574</v>
      </c>
      <c r="K3" s="46">
        <v>45575</v>
      </c>
      <c r="L3" s="46">
        <v>45576</v>
      </c>
      <c r="M3" s="46">
        <v>45577</v>
      </c>
      <c r="N3" s="46">
        <v>45578</v>
      </c>
      <c r="O3" s="46">
        <v>45579</v>
      </c>
      <c r="P3" s="46">
        <v>45580</v>
      </c>
      <c r="Q3" s="46">
        <v>45581</v>
      </c>
      <c r="R3" s="46">
        <v>45582</v>
      </c>
      <c r="S3" s="46">
        <v>45583</v>
      </c>
      <c r="T3" s="46">
        <v>45584</v>
      </c>
      <c r="U3" s="46">
        <v>45585</v>
      </c>
      <c r="V3" s="46">
        <v>45586</v>
      </c>
      <c r="W3" s="46">
        <v>45587</v>
      </c>
      <c r="X3" s="46">
        <v>45588</v>
      </c>
      <c r="Y3" s="46">
        <v>45589</v>
      </c>
      <c r="Z3" s="46">
        <v>45590</v>
      </c>
      <c r="AA3" s="46">
        <v>45591</v>
      </c>
      <c r="AB3" s="46">
        <v>45592</v>
      </c>
      <c r="AC3" s="46">
        <v>45593</v>
      </c>
      <c r="AD3" s="46">
        <v>45594</v>
      </c>
      <c r="AE3" s="46">
        <v>45595</v>
      </c>
      <c r="AF3" s="48">
        <v>45596</v>
      </c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220">
        <v>83471.679999999993</v>
      </c>
      <c r="C4" s="221">
        <v>83493.27</v>
      </c>
      <c r="D4" s="221">
        <v>83511.89</v>
      </c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64"/>
      <c r="AA4" s="221"/>
      <c r="AB4" s="221"/>
      <c r="AC4" s="221"/>
      <c r="AD4" s="221"/>
      <c r="AE4" s="221"/>
      <c r="AF4" s="222"/>
      <c r="AG4" s="51">
        <f t="shared" ref="AG4:AG35" si="0">MAX(B4:AF4)</f>
        <v>83511.89</v>
      </c>
      <c r="AH4" s="44">
        <v>83450.19</v>
      </c>
    </row>
    <row r="5" spans="1:34" x14ac:dyDescent="0.35">
      <c r="A5" s="33" t="s">
        <v>11</v>
      </c>
      <c r="B5" s="223">
        <v>83113.960000000006</v>
      </c>
      <c r="C5" s="64">
        <v>83135.399999999994</v>
      </c>
      <c r="D5" s="64">
        <v>83155.92</v>
      </c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AA5" s="64"/>
      <c r="AB5" s="64"/>
      <c r="AC5" s="64"/>
      <c r="AD5" s="64"/>
      <c r="AE5" s="64"/>
      <c r="AF5" s="224"/>
      <c r="AG5" s="51">
        <f t="shared" si="0"/>
        <v>83155.92</v>
      </c>
      <c r="AH5" s="44">
        <v>83100.69</v>
      </c>
    </row>
    <row r="6" spans="1:34" x14ac:dyDescent="0.35">
      <c r="A6" s="33" t="s">
        <v>12</v>
      </c>
      <c r="B6" s="223">
        <v>84026.54</v>
      </c>
      <c r="C6" s="64">
        <v>84048.31</v>
      </c>
      <c r="D6" s="64">
        <v>84059.95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224"/>
      <c r="AG6" s="51">
        <f t="shared" si="0"/>
        <v>84059.95</v>
      </c>
      <c r="AH6" s="44">
        <v>84009.46</v>
      </c>
    </row>
    <row r="7" spans="1:34" x14ac:dyDescent="0.35">
      <c r="A7" s="33" t="s">
        <v>13</v>
      </c>
      <c r="B7" s="223">
        <v>84503.57</v>
      </c>
      <c r="C7" s="64">
        <v>84524.73</v>
      </c>
      <c r="D7" s="64">
        <v>84543.77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224"/>
      <c r="AG7" s="51">
        <f t="shared" si="0"/>
        <v>84543.77</v>
      </c>
      <c r="AH7" s="44">
        <v>84489.94</v>
      </c>
    </row>
    <row r="8" spans="1:34" x14ac:dyDescent="0.35">
      <c r="A8" s="33" t="s">
        <v>14</v>
      </c>
      <c r="B8" s="223">
        <v>79731.63</v>
      </c>
      <c r="C8">
        <v>79750.98</v>
      </c>
      <c r="D8" s="64">
        <v>79771.89</v>
      </c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224"/>
      <c r="AG8" s="51">
        <f t="shared" si="0"/>
        <v>79771.89</v>
      </c>
      <c r="AH8" s="44">
        <v>79724.13</v>
      </c>
    </row>
    <row r="9" spans="1:34" x14ac:dyDescent="0.35">
      <c r="A9" s="33" t="s">
        <v>15</v>
      </c>
      <c r="B9" s="223">
        <v>81693.52</v>
      </c>
      <c r="C9" s="64">
        <v>81711.67</v>
      </c>
      <c r="D9" s="64">
        <v>81729.83</v>
      </c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224"/>
      <c r="AG9" s="51">
        <f t="shared" si="0"/>
        <v>81729.83</v>
      </c>
      <c r="AH9" s="44">
        <v>81680.83</v>
      </c>
    </row>
    <row r="10" spans="1:34" x14ac:dyDescent="0.35">
      <c r="A10" s="33" t="s">
        <v>16</v>
      </c>
      <c r="B10" s="223">
        <v>81344.759999999995</v>
      </c>
      <c r="C10" s="64">
        <v>81364.100000000006</v>
      </c>
      <c r="D10" s="64">
        <v>81385.64</v>
      </c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224"/>
      <c r="AG10" s="51">
        <f t="shared" si="0"/>
        <v>81385.64</v>
      </c>
      <c r="AH10" s="44">
        <v>81324.399999999994</v>
      </c>
    </row>
    <row r="11" spans="1:34" x14ac:dyDescent="0.35">
      <c r="A11" s="33" t="s">
        <v>17</v>
      </c>
      <c r="B11" s="223">
        <v>79373.69</v>
      </c>
      <c r="C11" s="64">
        <v>79390.58</v>
      </c>
      <c r="D11" s="64">
        <v>79410.22</v>
      </c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224"/>
      <c r="AG11" s="51">
        <f t="shared" si="0"/>
        <v>79410.22</v>
      </c>
      <c r="AH11" s="44">
        <v>79352.36</v>
      </c>
    </row>
    <row r="12" spans="1:34" x14ac:dyDescent="0.35">
      <c r="A12" s="33" t="s">
        <v>18</v>
      </c>
      <c r="B12" s="223">
        <v>79737.31</v>
      </c>
      <c r="C12" s="64">
        <v>79758.960000000006</v>
      </c>
      <c r="D12" s="64">
        <v>79780.350000000006</v>
      </c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224"/>
      <c r="AG12" s="51">
        <f t="shared" si="0"/>
        <v>79780.350000000006</v>
      </c>
      <c r="AH12" s="44">
        <v>79717.429999999993</v>
      </c>
    </row>
    <row r="13" spans="1:34" x14ac:dyDescent="0.35">
      <c r="A13" s="33" t="s">
        <v>19</v>
      </c>
      <c r="B13" s="223">
        <v>76457.13</v>
      </c>
      <c r="C13" s="64">
        <v>76476.490000000005</v>
      </c>
      <c r="D13" s="64">
        <v>76496.570000000007</v>
      </c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224"/>
      <c r="AG13" s="51">
        <f t="shared" si="0"/>
        <v>76496.570000000007</v>
      </c>
      <c r="AH13" s="44">
        <v>76437.66</v>
      </c>
    </row>
    <row r="14" spans="1:34" x14ac:dyDescent="0.35">
      <c r="A14" s="33" t="s">
        <v>20</v>
      </c>
      <c r="B14" s="223">
        <v>75096.479999999996</v>
      </c>
      <c r="C14" s="64">
        <v>75096.89</v>
      </c>
      <c r="D14" s="64">
        <v>75096.89</v>
      </c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224"/>
      <c r="AG14" s="51">
        <f t="shared" si="0"/>
        <v>75096.89</v>
      </c>
      <c r="AH14" s="44">
        <v>75076.34</v>
      </c>
    </row>
    <row r="15" spans="1:34" x14ac:dyDescent="0.35">
      <c r="A15" s="33" t="s">
        <v>21</v>
      </c>
      <c r="B15" s="223">
        <v>75798.39</v>
      </c>
      <c r="C15" s="64">
        <v>75814.210000000006</v>
      </c>
      <c r="D15" s="64">
        <v>75835.78</v>
      </c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224"/>
      <c r="AG15" s="51">
        <f t="shared" si="0"/>
        <v>75835.78</v>
      </c>
      <c r="AH15" s="44">
        <v>75776.81</v>
      </c>
    </row>
    <row r="16" spans="1:34" x14ac:dyDescent="0.35">
      <c r="A16" s="33" t="s">
        <v>22</v>
      </c>
      <c r="B16" s="223">
        <v>73690.59</v>
      </c>
      <c r="C16" s="64">
        <v>73711.94</v>
      </c>
      <c r="D16" s="64">
        <v>73733.31</v>
      </c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224"/>
      <c r="AG16" s="51">
        <f t="shared" si="0"/>
        <v>73733.31</v>
      </c>
      <c r="AH16" s="44">
        <v>73669.72</v>
      </c>
    </row>
    <row r="17" spans="1:34" x14ac:dyDescent="0.35">
      <c r="A17" s="33" t="s">
        <v>23</v>
      </c>
      <c r="B17" s="223">
        <v>75448.429999999993</v>
      </c>
      <c r="C17" s="64">
        <v>75469.94</v>
      </c>
      <c r="D17" s="64">
        <v>75487.77</v>
      </c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224"/>
      <c r="AG17" s="51">
        <f t="shared" si="0"/>
        <v>75487.77</v>
      </c>
      <c r="AH17" s="44">
        <v>75426.84</v>
      </c>
    </row>
    <row r="18" spans="1:34" x14ac:dyDescent="0.35">
      <c r="A18" s="33" t="s">
        <v>24</v>
      </c>
      <c r="B18" s="223">
        <v>75890.289999999994</v>
      </c>
      <c r="C18" s="64">
        <v>75911.86</v>
      </c>
      <c r="D18" s="64">
        <v>75933.009999999995</v>
      </c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224"/>
      <c r="AG18" s="51">
        <f t="shared" si="0"/>
        <v>75933.009999999995</v>
      </c>
      <c r="AH18" s="44">
        <v>75868.38</v>
      </c>
    </row>
    <row r="19" spans="1:34" x14ac:dyDescent="0.35">
      <c r="A19" s="33" t="s">
        <v>25</v>
      </c>
      <c r="B19" s="223">
        <v>73893.429999999993</v>
      </c>
      <c r="C19" s="64">
        <v>73912.09</v>
      </c>
      <c r="D19" s="64">
        <v>73933.320000000007</v>
      </c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224"/>
      <c r="AG19" s="51">
        <f t="shared" si="0"/>
        <v>73933.320000000007</v>
      </c>
      <c r="AH19" s="44">
        <v>73872.929999999993</v>
      </c>
    </row>
    <row r="20" spans="1:34" x14ac:dyDescent="0.35">
      <c r="A20" s="33" t="s">
        <v>26</v>
      </c>
      <c r="B20" s="223">
        <v>74953.78</v>
      </c>
      <c r="C20" s="64">
        <v>74974.86</v>
      </c>
      <c r="D20" s="64">
        <v>74994.38</v>
      </c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224"/>
      <c r="AG20" s="51">
        <f t="shared" si="0"/>
        <v>74994.38</v>
      </c>
      <c r="AH20" s="44">
        <v>74935.199999999997</v>
      </c>
    </row>
    <row r="21" spans="1:34" x14ac:dyDescent="0.35">
      <c r="A21" s="33" t="s">
        <v>27</v>
      </c>
      <c r="B21" s="223">
        <v>76313.149999999994</v>
      </c>
      <c r="C21" s="64">
        <v>76334.559999999998</v>
      </c>
      <c r="D21" s="64">
        <v>76351.11</v>
      </c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224"/>
      <c r="AG21" s="51">
        <f t="shared" si="0"/>
        <v>76351.11</v>
      </c>
      <c r="AH21" s="44">
        <v>76304.87</v>
      </c>
    </row>
    <row r="22" spans="1:34" x14ac:dyDescent="0.35">
      <c r="A22" s="33" t="s">
        <v>28</v>
      </c>
      <c r="B22" s="223">
        <v>72499.22</v>
      </c>
      <c r="C22" s="64">
        <v>72509.350000000006</v>
      </c>
      <c r="D22" s="64">
        <v>72511.199999999997</v>
      </c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224"/>
      <c r="AG22" s="51">
        <f t="shared" si="0"/>
        <v>72511.199999999997</v>
      </c>
      <c r="AH22" s="44">
        <v>72499.22</v>
      </c>
    </row>
    <row r="23" spans="1:34" x14ac:dyDescent="0.35">
      <c r="A23" s="33" t="s">
        <v>29</v>
      </c>
      <c r="B23" s="223">
        <v>69668.38</v>
      </c>
      <c r="C23" s="64">
        <v>69687.86</v>
      </c>
      <c r="D23" s="64">
        <v>69708.67</v>
      </c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224"/>
      <c r="AG23" s="51">
        <f t="shared" si="0"/>
        <v>69708.67</v>
      </c>
      <c r="AH23" s="44">
        <v>69649.399999999994</v>
      </c>
    </row>
    <row r="24" spans="1:34" x14ac:dyDescent="0.35">
      <c r="A24" s="33" t="s">
        <v>30</v>
      </c>
      <c r="B24" s="223">
        <v>68386.14</v>
      </c>
      <c r="C24" s="64">
        <v>68407.649999999994</v>
      </c>
      <c r="D24" s="64">
        <v>68424.460000000006</v>
      </c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224"/>
      <c r="AG24" s="51">
        <f t="shared" si="0"/>
        <v>68424.460000000006</v>
      </c>
      <c r="AH24" s="44">
        <v>68364.95</v>
      </c>
    </row>
    <row r="25" spans="1:34" x14ac:dyDescent="0.35">
      <c r="A25" s="33" t="s">
        <v>31</v>
      </c>
      <c r="B25" s="223">
        <v>68411.960000000006</v>
      </c>
      <c r="C25" s="64">
        <v>68433.710000000006</v>
      </c>
      <c r="D25" s="64">
        <v>68445.56</v>
      </c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224"/>
      <c r="AG25" s="51">
        <f t="shared" si="0"/>
        <v>68445.56</v>
      </c>
      <c r="AH25" s="44">
        <v>68390.67</v>
      </c>
    </row>
    <row r="26" spans="1:34" x14ac:dyDescent="0.35">
      <c r="A26" s="33" t="s">
        <v>32</v>
      </c>
      <c r="B26" s="223">
        <v>69225.19</v>
      </c>
      <c r="C26" s="64">
        <v>69246.75</v>
      </c>
      <c r="D26" s="64">
        <v>69267.850000000006</v>
      </c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224"/>
      <c r="AG26" s="51">
        <f t="shared" si="0"/>
        <v>69267.850000000006</v>
      </c>
      <c r="AH26" s="44">
        <v>69207.22</v>
      </c>
    </row>
    <row r="27" spans="1:34" x14ac:dyDescent="0.35">
      <c r="A27" s="33" t="s">
        <v>33</v>
      </c>
      <c r="B27" s="223">
        <v>69671.259999999995</v>
      </c>
      <c r="C27" s="64">
        <v>69692.42</v>
      </c>
      <c r="D27" s="64">
        <v>69712.289999999994</v>
      </c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224"/>
      <c r="AG27" s="51">
        <f t="shared" si="0"/>
        <v>69712.289999999994</v>
      </c>
      <c r="AH27" s="44">
        <v>69649.820000000007</v>
      </c>
    </row>
    <row r="28" spans="1:34" x14ac:dyDescent="0.35">
      <c r="A28" s="33" t="s">
        <v>34</v>
      </c>
      <c r="B28" s="223">
        <v>67348.83</v>
      </c>
      <c r="C28" s="64">
        <v>67369.75</v>
      </c>
      <c r="D28" s="64">
        <v>67392.039999999994</v>
      </c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224"/>
      <c r="AG28" s="51">
        <f t="shared" si="0"/>
        <v>67392.039999999994</v>
      </c>
      <c r="AH28" s="44">
        <v>67327.350000000006</v>
      </c>
    </row>
    <row r="29" spans="1:34" x14ac:dyDescent="0.35">
      <c r="A29" s="33" t="s">
        <v>35</v>
      </c>
      <c r="B29" s="223">
        <v>68791.03</v>
      </c>
      <c r="C29" s="64">
        <v>68811.820000000007</v>
      </c>
      <c r="D29" s="64">
        <v>68833.119999999995</v>
      </c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224"/>
      <c r="AG29" s="51">
        <f t="shared" si="0"/>
        <v>68833.119999999995</v>
      </c>
      <c r="AH29" s="44">
        <v>68773.63</v>
      </c>
    </row>
    <row r="30" spans="1:34" x14ac:dyDescent="0.35">
      <c r="A30" s="33" t="s">
        <v>36</v>
      </c>
      <c r="B30" s="223">
        <v>68319.399999999994</v>
      </c>
      <c r="C30" s="64">
        <v>68339.31</v>
      </c>
      <c r="D30" s="64">
        <v>68360.81</v>
      </c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224"/>
      <c r="AG30" s="51">
        <f t="shared" si="0"/>
        <v>68360.81</v>
      </c>
      <c r="AH30" s="44">
        <v>68303.990000000005</v>
      </c>
    </row>
    <row r="31" spans="1:34" x14ac:dyDescent="0.35">
      <c r="A31" s="33" t="s">
        <v>37</v>
      </c>
      <c r="B31" s="223">
        <v>68108.649999999994</v>
      </c>
      <c r="C31" s="64">
        <v>68113.929999999993</v>
      </c>
      <c r="D31" s="64">
        <v>68122.47</v>
      </c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224"/>
      <c r="AG31" s="51">
        <f t="shared" si="0"/>
        <v>68122.47</v>
      </c>
      <c r="AH31" s="44">
        <v>68103.58</v>
      </c>
    </row>
    <row r="32" spans="1:34" x14ac:dyDescent="0.35">
      <c r="A32" s="33" t="s">
        <v>38</v>
      </c>
      <c r="B32" s="223">
        <v>68723.88</v>
      </c>
      <c r="C32" s="64">
        <v>68745.3</v>
      </c>
      <c r="D32" s="64">
        <v>68766.64</v>
      </c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224"/>
      <c r="AG32" s="51">
        <f t="shared" si="0"/>
        <v>68766.64</v>
      </c>
      <c r="AH32" s="44">
        <v>68702.490000000005</v>
      </c>
    </row>
    <row r="33" spans="1:34" x14ac:dyDescent="0.35">
      <c r="A33" s="33" t="s">
        <v>39</v>
      </c>
      <c r="B33" s="223">
        <v>67884.61</v>
      </c>
      <c r="C33" s="64">
        <v>67906.210000000006</v>
      </c>
      <c r="D33" s="64">
        <v>67908.490000000005</v>
      </c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224"/>
      <c r="AG33" s="51">
        <f t="shared" si="0"/>
        <v>67908.490000000005</v>
      </c>
      <c r="AH33" s="44">
        <v>67867.199999999997</v>
      </c>
    </row>
    <row r="34" spans="1:34" x14ac:dyDescent="0.35">
      <c r="A34" s="33" t="s">
        <v>40</v>
      </c>
      <c r="B34" s="223">
        <v>50424.41</v>
      </c>
      <c r="C34" s="64">
        <v>50440.91</v>
      </c>
      <c r="D34" s="64">
        <v>50462.34</v>
      </c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224"/>
      <c r="AG34" s="51">
        <f t="shared" si="0"/>
        <v>50462.34</v>
      </c>
      <c r="AH34" s="44">
        <v>50405.35</v>
      </c>
    </row>
    <row r="35" spans="1:34" x14ac:dyDescent="0.35">
      <c r="A35" s="33" t="s">
        <v>41</v>
      </c>
      <c r="B35" s="223">
        <v>53012.480000000003</v>
      </c>
      <c r="C35" s="64">
        <v>53033.73</v>
      </c>
      <c r="D35" s="64">
        <v>53054.16</v>
      </c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224"/>
      <c r="AG35" s="51">
        <f t="shared" si="0"/>
        <v>53054.16</v>
      </c>
      <c r="AH35" s="44">
        <v>52991.37</v>
      </c>
    </row>
    <row r="36" spans="1:34" x14ac:dyDescent="0.35">
      <c r="A36" s="33" t="s">
        <v>42</v>
      </c>
      <c r="B36" s="223">
        <v>47515.76</v>
      </c>
      <c r="C36" s="64">
        <v>47536.89</v>
      </c>
      <c r="D36" s="64">
        <v>47558.25</v>
      </c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224"/>
      <c r="AG36" s="51">
        <f t="shared" ref="AG36:AG67" si="1">MAX(B36:AF36)</f>
        <v>47558.25</v>
      </c>
      <c r="AH36" s="44">
        <v>47494.28</v>
      </c>
    </row>
    <row r="37" spans="1:34" x14ac:dyDescent="0.35">
      <c r="A37" s="33" t="s">
        <v>43</v>
      </c>
      <c r="B37" s="223">
        <v>52823.53</v>
      </c>
      <c r="C37" s="64">
        <v>52845.08</v>
      </c>
      <c r="D37" s="64">
        <v>52866.86</v>
      </c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224"/>
      <c r="AG37" s="51">
        <f t="shared" si="1"/>
        <v>52866.86</v>
      </c>
      <c r="AH37" s="44">
        <v>52803.41</v>
      </c>
    </row>
    <row r="38" spans="1:34" x14ac:dyDescent="0.35">
      <c r="A38" s="33" t="s">
        <v>44</v>
      </c>
      <c r="B38" s="223">
        <v>53404.91</v>
      </c>
      <c r="C38" s="64">
        <v>53418.62</v>
      </c>
      <c r="D38" s="64">
        <v>53440.41</v>
      </c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224"/>
      <c r="AG38" s="51">
        <f t="shared" si="1"/>
        <v>53440.41</v>
      </c>
      <c r="AH38" s="44">
        <v>53385.66</v>
      </c>
    </row>
    <row r="39" spans="1:34" x14ac:dyDescent="0.35">
      <c r="A39" s="33" t="s">
        <v>45</v>
      </c>
      <c r="B39" s="223">
        <v>51845.54</v>
      </c>
      <c r="C39" s="64">
        <v>51867.65</v>
      </c>
      <c r="D39" s="64">
        <v>51888.49</v>
      </c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224"/>
      <c r="AG39" s="51">
        <f t="shared" si="1"/>
        <v>51888.49</v>
      </c>
      <c r="AH39" s="44">
        <v>51824.52</v>
      </c>
    </row>
    <row r="40" spans="1:34" x14ac:dyDescent="0.35">
      <c r="A40" s="33" t="s">
        <v>46</v>
      </c>
      <c r="B40" s="223">
        <v>53125.9</v>
      </c>
      <c r="C40" s="64">
        <v>53138.74</v>
      </c>
      <c r="D40" s="64">
        <v>53147.49</v>
      </c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224"/>
      <c r="AG40" s="51">
        <f t="shared" si="1"/>
        <v>53147.49</v>
      </c>
      <c r="AH40" s="44">
        <v>53109.72</v>
      </c>
    </row>
    <row r="41" spans="1:34" x14ac:dyDescent="0.35">
      <c r="A41" s="33" t="s">
        <v>47</v>
      </c>
      <c r="B41" s="223">
        <v>50785.83</v>
      </c>
      <c r="C41" s="64">
        <v>50808</v>
      </c>
      <c r="D41" s="64">
        <v>50828.34</v>
      </c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224"/>
      <c r="AG41" s="51">
        <f t="shared" si="1"/>
        <v>50828.34</v>
      </c>
      <c r="AH41" s="44">
        <v>50763.8</v>
      </c>
    </row>
    <row r="42" spans="1:34" x14ac:dyDescent="0.35">
      <c r="A42" s="33" t="s">
        <v>48</v>
      </c>
      <c r="B42" s="223">
        <v>43490.29</v>
      </c>
      <c r="C42" s="64">
        <v>43504.76</v>
      </c>
      <c r="D42" s="64">
        <v>43522.43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224"/>
      <c r="AG42" s="51">
        <f t="shared" si="1"/>
        <v>43522.43</v>
      </c>
      <c r="AH42" s="44">
        <v>43481.59</v>
      </c>
    </row>
    <row r="43" spans="1:34" x14ac:dyDescent="0.35">
      <c r="A43" s="33" t="s">
        <v>49</v>
      </c>
      <c r="B43" s="223">
        <v>53189.53</v>
      </c>
      <c r="C43" s="64">
        <v>53210.879999999997</v>
      </c>
      <c r="D43" s="64">
        <v>53232.06</v>
      </c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224"/>
      <c r="AG43" s="51">
        <f t="shared" si="1"/>
        <v>53232.06</v>
      </c>
      <c r="AH43" s="44">
        <v>53171.23</v>
      </c>
    </row>
    <row r="44" spans="1:34" x14ac:dyDescent="0.35">
      <c r="A44" s="33" t="s">
        <v>50</v>
      </c>
      <c r="B44" s="223">
        <v>53058.2</v>
      </c>
      <c r="C44" s="64">
        <v>53068.87</v>
      </c>
      <c r="D44" s="64">
        <v>53089.82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224"/>
      <c r="AG44" s="51">
        <f t="shared" si="1"/>
        <v>53089.82</v>
      </c>
      <c r="AH44" s="44">
        <v>53058.2</v>
      </c>
    </row>
    <row r="45" spans="1:34" x14ac:dyDescent="0.35">
      <c r="A45" s="33" t="s">
        <v>51</v>
      </c>
      <c r="B45" s="223">
        <v>52879.89</v>
      </c>
      <c r="C45" s="64">
        <v>52901.42</v>
      </c>
      <c r="D45" s="64">
        <v>52912.13</v>
      </c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224"/>
      <c r="AG45" s="51">
        <f t="shared" si="1"/>
        <v>52912.13</v>
      </c>
      <c r="AH45" s="44">
        <v>52858.14</v>
      </c>
    </row>
    <row r="46" spans="1:34" x14ac:dyDescent="0.35">
      <c r="A46" s="33" t="s">
        <v>52</v>
      </c>
      <c r="B46" s="223">
        <v>45029.56</v>
      </c>
      <c r="C46" s="64">
        <v>45051.24</v>
      </c>
      <c r="D46" s="64">
        <v>45073.07</v>
      </c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224"/>
      <c r="AG46" s="51">
        <f t="shared" si="1"/>
        <v>45073.07</v>
      </c>
      <c r="AH46" s="44">
        <v>45007.78</v>
      </c>
    </row>
    <row r="47" spans="1:34" x14ac:dyDescent="0.35">
      <c r="A47" s="33" t="s">
        <v>53</v>
      </c>
      <c r="B47" s="223">
        <v>47031.56</v>
      </c>
      <c r="C47" s="64">
        <v>47039.24</v>
      </c>
      <c r="D47" s="64">
        <v>47043.91</v>
      </c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224"/>
      <c r="AG47" s="51">
        <f t="shared" si="1"/>
        <v>47043.91</v>
      </c>
      <c r="AH47" s="44">
        <v>47011.97</v>
      </c>
    </row>
    <row r="48" spans="1:34" x14ac:dyDescent="0.35">
      <c r="A48" s="33" t="s">
        <v>54</v>
      </c>
      <c r="B48" s="223">
        <v>45614.29</v>
      </c>
      <c r="C48" s="64">
        <v>45625.8</v>
      </c>
      <c r="D48" s="64">
        <v>45644.89</v>
      </c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224"/>
      <c r="AG48" s="51">
        <f t="shared" si="1"/>
        <v>45644.89</v>
      </c>
      <c r="AH48" s="44">
        <v>45603.58</v>
      </c>
    </row>
    <row r="49" spans="1:34" x14ac:dyDescent="0.35">
      <c r="A49" s="33" t="s">
        <v>55</v>
      </c>
      <c r="B49" s="223">
        <v>45564.92</v>
      </c>
      <c r="C49" s="64">
        <v>45564.92</v>
      </c>
      <c r="D49" s="64">
        <v>45564.92</v>
      </c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224"/>
      <c r="AG49" s="51">
        <f t="shared" si="1"/>
        <v>45564.92</v>
      </c>
      <c r="AH49" s="44">
        <v>45553.58</v>
      </c>
    </row>
    <row r="50" spans="1:34" x14ac:dyDescent="0.35">
      <c r="A50" s="33" t="s">
        <v>56</v>
      </c>
      <c r="B50" s="223">
        <v>44806.38</v>
      </c>
      <c r="C50" s="64">
        <v>44828.05</v>
      </c>
      <c r="D50" s="64">
        <v>44845.42</v>
      </c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224"/>
      <c r="AG50" s="51">
        <f t="shared" si="1"/>
        <v>44845.42</v>
      </c>
      <c r="AH50" s="44">
        <v>44792.14</v>
      </c>
    </row>
    <row r="51" spans="1:34" x14ac:dyDescent="0.35">
      <c r="A51" s="33" t="s">
        <v>57</v>
      </c>
      <c r="B51" s="223">
        <v>43397.24</v>
      </c>
      <c r="C51" s="64">
        <v>43415.47</v>
      </c>
      <c r="D51" s="64">
        <v>43433.99</v>
      </c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224"/>
      <c r="AG51" s="51">
        <f t="shared" si="1"/>
        <v>43433.99</v>
      </c>
      <c r="AH51" s="44">
        <v>43388.72</v>
      </c>
    </row>
    <row r="52" spans="1:34" x14ac:dyDescent="0.35">
      <c r="A52" s="33" t="s">
        <v>58</v>
      </c>
      <c r="B52" s="223">
        <v>43067.75</v>
      </c>
      <c r="C52" s="64">
        <v>43087.74</v>
      </c>
      <c r="D52" s="64">
        <v>43087.74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224"/>
      <c r="AG52" s="51">
        <f t="shared" si="1"/>
        <v>43087.74</v>
      </c>
      <c r="AH52" s="44">
        <v>43050.32</v>
      </c>
    </row>
    <row r="53" spans="1:34" x14ac:dyDescent="0.35">
      <c r="A53" s="33" t="s">
        <v>59</v>
      </c>
      <c r="B53" s="223">
        <v>46075.53</v>
      </c>
      <c r="C53" s="64">
        <v>46097.52</v>
      </c>
      <c r="D53" s="64">
        <v>46119.43</v>
      </c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224"/>
      <c r="AG53" s="51">
        <f t="shared" si="1"/>
        <v>46119.43</v>
      </c>
      <c r="AH53" s="44">
        <v>46054.18</v>
      </c>
    </row>
    <row r="54" spans="1:34" x14ac:dyDescent="0.35">
      <c r="A54" s="33" t="s">
        <v>60</v>
      </c>
      <c r="B54" s="223">
        <v>45537.5</v>
      </c>
      <c r="C54" s="64">
        <v>45558.400000000001</v>
      </c>
      <c r="D54" s="64">
        <v>45576.53</v>
      </c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224"/>
      <c r="AG54" s="51">
        <f t="shared" si="1"/>
        <v>45576.53</v>
      </c>
      <c r="AH54" s="44">
        <v>45520.77</v>
      </c>
    </row>
    <row r="55" spans="1:34" x14ac:dyDescent="0.35">
      <c r="A55" s="33" t="s">
        <v>61</v>
      </c>
      <c r="B55" s="223">
        <v>45344.18</v>
      </c>
      <c r="C55" s="64">
        <v>45365.8</v>
      </c>
      <c r="D55" s="64">
        <v>45386.97</v>
      </c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224"/>
      <c r="AG55" s="51">
        <f t="shared" si="1"/>
        <v>45386.97</v>
      </c>
      <c r="AH55" s="44">
        <v>45323.15</v>
      </c>
    </row>
    <row r="56" spans="1:34" x14ac:dyDescent="0.35">
      <c r="A56" s="33" t="s">
        <v>62</v>
      </c>
      <c r="B56" s="223">
        <v>55139.92</v>
      </c>
      <c r="C56" s="64">
        <v>55139.92</v>
      </c>
      <c r="D56" s="64">
        <v>55148.37</v>
      </c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224"/>
      <c r="AG56" s="51">
        <f t="shared" si="1"/>
        <v>55148.37</v>
      </c>
      <c r="AH56" s="44">
        <v>55127.1</v>
      </c>
    </row>
    <row r="57" spans="1:34" x14ac:dyDescent="0.35">
      <c r="A57" s="33" t="s">
        <v>63</v>
      </c>
      <c r="B57" s="223">
        <v>21923.96</v>
      </c>
      <c r="C57" s="64">
        <v>21940.02</v>
      </c>
      <c r="D57" s="64">
        <v>21962.880000000001</v>
      </c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224"/>
      <c r="AG57" s="51">
        <f t="shared" si="1"/>
        <v>21962.880000000001</v>
      </c>
      <c r="AH57" s="44">
        <v>21902.42</v>
      </c>
    </row>
    <row r="58" spans="1:34" x14ac:dyDescent="0.35">
      <c r="A58" s="33" t="s">
        <v>64</v>
      </c>
      <c r="B58" s="223">
        <v>22618.57</v>
      </c>
      <c r="C58" s="64">
        <v>22634.62</v>
      </c>
      <c r="D58" s="64">
        <v>22657.48</v>
      </c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224"/>
      <c r="AG58" s="51">
        <f t="shared" si="1"/>
        <v>22657.48</v>
      </c>
      <c r="AH58" s="44">
        <v>22597.03</v>
      </c>
    </row>
    <row r="59" spans="1:34" x14ac:dyDescent="0.35">
      <c r="A59" s="33" t="s">
        <v>65</v>
      </c>
      <c r="B59" s="223">
        <v>29136.01</v>
      </c>
      <c r="C59" s="64">
        <v>29152.07</v>
      </c>
      <c r="D59" s="64">
        <v>29174.93</v>
      </c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224"/>
      <c r="AG59" s="51">
        <f t="shared" si="1"/>
        <v>29174.93</v>
      </c>
      <c r="AH59" s="44">
        <v>29114.47</v>
      </c>
    </row>
    <row r="60" spans="1:34" x14ac:dyDescent="0.35">
      <c r="A60" s="33" t="s">
        <v>66</v>
      </c>
      <c r="B60" s="223">
        <v>29641.85</v>
      </c>
      <c r="C60" s="64">
        <v>29657.91</v>
      </c>
      <c r="D60" s="64">
        <v>29680.77</v>
      </c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224"/>
      <c r="AG60" s="51">
        <f t="shared" si="1"/>
        <v>29680.77</v>
      </c>
      <c r="AH60" s="44">
        <v>29620.32</v>
      </c>
    </row>
    <row r="61" spans="1:34" x14ac:dyDescent="0.35">
      <c r="A61" s="33" t="s">
        <v>67</v>
      </c>
      <c r="B61" s="223">
        <v>30333.46</v>
      </c>
      <c r="C61" s="64">
        <v>30347.23</v>
      </c>
      <c r="D61" s="64">
        <v>30370.1</v>
      </c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224"/>
      <c r="AG61" s="51">
        <f t="shared" si="1"/>
        <v>30370.1</v>
      </c>
      <c r="AH61" s="44">
        <v>30311.93</v>
      </c>
    </row>
    <row r="62" spans="1:34" x14ac:dyDescent="0.35">
      <c r="A62" s="33" t="s">
        <v>68</v>
      </c>
      <c r="B62" s="223">
        <v>30236.71</v>
      </c>
      <c r="C62" s="64">
        <v>30252.77</v>
      </c>
      <c r="D62" s="64">
        <v>30275.64</v>
      </c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224"/>
      <c r="AG62" s="51">
        <f t="shared" si="1"/>
        <v>30275.64</v>
      </c>
      <c r="AH62" s="44">
        <v>30215.18</v>
      </c>
    </row>
    <row r="63" spans="1:34" x14ac:dyDescent="0.35">
      <c r="A63" s="33" t="s">
        <v>69</v>
      </c>
      <c r="B63" s="223">
        <v>77031.62</v>
      </c>
      <c r="C63" s="64">
        <v>77031.62</v>
      </c>
      <c r="D63" s="64">
        <v>77031.62</v>
      </c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224"/>
      <c r="AG63" s="51">
        <f t="shared" si="1"/>
        <v>77031.62</v>
      </c>
      <c r="AH63" s="44">
        <v>77031.62</v>
      </c>
    </row>
    <row r="64" spans="1:34" x14ac:dyDescent="0.35">
      <c r="A64" s="33" t="s">
        <v>70</v>
      </c>
      <c r="B64" s="223">
        <v>86447.07</v>
      </c>
      <c r="C64" s="64">
        <v>86453.95</v>
      </c>
      <c r="D64" s="64">
        <v>86457.12</v>
      </c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224"/>
      <c r="AG64" s="51">
        <f t="shared" si="1"/>
        <v>86457.12</v>
      </c>
      <c r="AH64" s="44">
        <v>86447.07</v>
      </c>
    </row>
    <row r="65" spans="1:34" x14ac:dyDescent="0.35">
      <c r="A65" s="33" t="s">
        <v>71</v>
      </c>
      <c r="B65" s="223">
        <v>85139.98</v>
      </c>
      <c r="C65" s="64">
        <v>85161.67</v>
      </c>
      <c r="D65" s="64">
        <v>85170.29</v>
      </c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224"/>
      <c r="AG65" s="51">
        <f t="shared" si="1"/>
        <v>85170.29</v>
      </c>
      <c r="AH65" s="44">
        <v>85128.63</v>
      </c>
    </row>
    <row r="66" spans="1:34" x14ac:dyDescent="0.35">
      <c r="A66" s="33" t="s">
        <v>72</v>
      </c>
      <c r="B66" s="223">
        <v>83158.58</v>
      </c>
      <c r="C66" s="64">
        <v>83173</v>
      </c>
      <c r="D66" s="64">
        <v>83178.02</v>
      </c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224"/>
      <c r="AG66" s="51">
        <f t="shared" si="1"/>
        <v>83178.02</v>
      </c>
      <c r="AH66" s="44">
        <v>83158.03</v>
      </c>
    </row>
    <row r="67" spans="1:34" x14ac:dyDescent="0.35">
      <c r="A67" s="33" t="s">
        <v>73</v>
      </c>
      <c r="B67" s="223">
        <v>85563.95</v>
      </c>
      <c r="C67" s="64">
        <v>85574.99</v>
      </c>
      <c r="D67" s="64">
        <v>85594.36</v>
      </c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224"/>
      <c r="AG67" s="51">
        <f t="shared" si="1"/>
        <v>85594.36</v>
      </c>
      <c r="AH67" s="44">
        <v>85554.05</v>
      </c>
    </row>
    <row r="68" spans="1:34" x14ac:dyDescent="0.35">
      <c r="A68" s="33" t="s">
        <v>74</v>
      </c>
      <c r="B68" s="223">
        <v>83566.399999999994</v>
      </c>
      <c r="C68" s="64">
        <v>83571.59</v>
      </c>
      <c r="D68" s="64">
        <v>83584.19</v>
      </c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224"/>
      <c r="AG68" s="51">
        <f t="shared" ref="AG68:AG99" si="2">MAX(B68:AF68)</f>
        <v>83584.19</v>
      </c>
      <c r="AH68" s="44">
        <v>83553.679999999993</v>
      </c>
    </row>
    <row r="69" spans="1:34" x14ac:dyDescent="0.35">
      <c r="A69" s="33" t="s">
        <v>75</v>
      </c>
      <c r="B69" s="223">
        <v>87006.42</v>
      </c>
      <c r="C69" s="64">
        <v>87017.35</v>
      </c>
      <c r="D69" s="64">
        <v>87034.240000000005</v>
      </c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224"/>
      <c r="AG69" s="51">
        <f t="shared" si="2"/>
        <v>87034.240000000005</v>
      </c>
      <c r="AH69" s="44">
        <v>86991.62</v>
      </c>
    </row>
    <row r="70" spans="1:34" x14ac:dyDescent="0.35">
      <c r="A70" s="33" t="s">
        <v>76</v>
      </c>
      <c r="B70" s="223">
        <v>85770.54</v>
      </c>
      <c r="C70" s="64">
        <v>85789.13</v>
      </c>
      <c r="D70" s="64">
        <v>85809.66</v>
      </c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224"/>
      <c r="AG70" s="51">
        <f t="shared" si="2"/>
        <v>85809.66</v>
      </c>
      <c r="AH70" s="44">
        <v>85770.54</v>
      </c>
    </row>
    <row r="71" spans="1:34" x14ac:dyDescent="0.35">
      <c r="A71" s="33" t="s">
        <v>77</v>
      </c>
      <c r="B71" s="223">
        <v>75164.84</v>
      </c>
      <c r="C71" s="64">
        <v>75164.84</v>
      </c>
      <c r="D71" s="64">
        <v>75164.84</v>
      </c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224"/>
      <c r="AG71" s="51">
        <f t="shared" si="2"/>
        <v>75164.84</v>
      </c>
      <c r="AH71" s="44">
        <v>75164.84</v>
      </c>
    </row>
    <row r="72" spans="1:34" x14ac:dyDescent="0.35">
      <c r="A72" s="33" t="s">
        <v>78</v>
      </c>
      <c r="B72" s="223">
        <v>78594.559999999998</v>
      </c>
      <c r="C72" s="64">
        <v>78612.87</v>
      </c>
      <c r="D72" s="64">
        <v>78634.11</v>
      </c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224"/>
      <c r="AG72" s="51">
        <f t="shared" si="2"/>
        <v>78634.11</v>
      </c>
      <c r="AH72" s="44">
        <v>78573.7</v>
      </c>
    </row>
    <row r="73" spans="1:34" x14ac:dyDescent="0.35">
      <c r="A73" s="33" t="s">
        <v>79</v>
      </c>
      <c r="B73" s="223">
        <v>80655.88</v>
      </c>
      <c r="C73" s="64">
        <v>80655.88</v>
      </c>
      <c r="D73" s="64">
        <v>80655.88</v>
      </c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224"/>
      <c r="AG73" s="51">
        <f t="shared" si="2"/>
        <v>80655.88</v>
      </c>
      <c r="AH73" s="44">
        <v>80655.88</v>
      </c>
    </row>
    <row r="74" spans="1:34" x14ac:dyDescent="0.35">
      <c r="A74" s="33" t="s">
        <v>80</v>
      </c>
      <c r="B74" s="223">
        <v>86199.56</v>
      </c>
      <c r="C74" s="64">
        <v>86212.02</v>
      </c>
      <c r="D74" s="64">
        <v>86228.800000000003</v>
      </c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224"/>
      <c r="AG74" s="51">
        <f t="shared" si="2"/>
        <v>86228.800000000003</v>
      </c>
      <c r="AH74" s="44">
        <v>86195.25</v>
      </c>
    </row>
    <row r="75" spans="1:34" x14ac:dyDescent="0.35">
      <c r="A75" s="33" t="s">
        <v>81</v>
      </c>
      <c r="B75" s="223">
        <v>85222.26</v>
      </c>
      <c r="C75" s="64">
        <v>85243.43</v>
      </c>
      <c r="D75" s="64">
        <v>85264.56</v>
      </c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224"/>
      <c r="AG75" s="51">
        <f t="shared" si="2"/>
        <v>85264.56</v>
      </c>
      <c r="AH75" s="44">
        <v>85201.51</v>
      </c>
    </row>
    <row r="76" spans="1:34" x14ac:dyDescent="0.35">
      <c r="A76" s="33" t="s">
        <v>82</v>
      </c>
      <c r="B76" s="223">
        <v>85240.5</v>
      </c>
      <c r="C76" s="64">
        <v>85261.75</v>
      </c>
      <c r="D76" s="64">
        <v>85281.95</v>
      </c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224"/>
      <c r="AG76" s="51">
        <f t="shared" si="2"/>
        <v>85281.95</v>
      </c>
      <c r="AH76" s="44">
        <v>85227.33</v>
      </c>
    </row>
    <row r="77" spans="1:34" x14ac:dyDescent="0.35">
      <c r="A77" s="33" t="s">
        <v>83</v>
      </c>
      <c r="B77" s="223">
        <v>84419.13</v>
      </c>
      <c r="C77" s="64">
        <v>84423.16</v>
      </c>
      <c r="D77" s="64">
        <v>84434.81</v>
      </c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224"/>
      <c r="AG77" s="51">
        <f t="shared" si="2"/>
        <v>84434.81</v>
      </c>
      <c r="AH77" s="44">
        <v>84418.11</v>
      </c>
    </row>
    <row r="78" spans="1:34" x14ac:dyDescent="0.35">
      <c r="A78" s="33" t="s">
        <v>84</v>
      </c>
      <c r="B78" s="223">
        <v>86970.75</v>
      </c>
      <c r="C78" s="64">
        <v>86988.03</v>
      </c>
      <c r="D78" s="64">
        <v>87005.89</v>
      </c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224"/>
      <c r="AG78" s="51">
        <f t="shared" si="2"/>
        <v>87005.89</v>
      </c>
      <c r="AH78" s="44">
        <v>86956.71</v>
      </c>
    </row>
    <row r="79" spans="1:34" x14ac:dyDescent="0.35">
      <c r="A79" s="33" t="s">
        <v>85</v>
      </c>
      <c r="B79" s="223">
        <v>87829.73</v>
      </c>
      <c r="C79" s="64">
        <v>87840.54</v>
      </c>
      <c r="D79" s="64">
        <v>87848.17</v>
      </c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224"/>
      <c r="AG79" s="51">
        <f t="shared" si="2"/>
        <v>87848.17</v>
      </c>
      <c r="AH79" s="44">
        <v>87817.34</v>
      </c>
    </row>
    <row r="80" spans="1:34" x14ac:dyDescent="0.35">
      <c r="A80" s="33" t="s">
        <v>86</v>
      </c>
      <c r="B80" s="223">
        <v>85215.83</v>
      </c>
      <c r="C80" s="64">
        <v>85215.83</v>
      </c>
      <c r="D80" s="64">
        <v>85215.83</v>
      </c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224"/>
      <c r="AG80" s="51">
        <f t="shared" si="2"/>
        <v>85215.83</v>
      </c>
      <c r="AH80" s="44">
        <v>85215.83</v>
      </c>
    </row>
    <row r="81" spans="1:34" x14ac:dyDescent="0.35">
      <c r="A81" s="33" t="s">
        <v>87</v>
      </c>
      <c r="B81" s="223">
        <v>85549.07</v>
      </c>
      <c r="C81" s="64">
        <v>85565</v>
      </c>
      <c r="D81" s="64">
        <v>85584.87</v>
      </c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224"/>
      <c r="AG81" s="51">
        <f t="shared" si="2"/>
        <v>85584.87</v>
      </c>
      <c r="AH81" s="44">
        <v>85536.31</v>
      </c>
    </row>
    <row r="82" spans="1:34" x14ac:dyDescent="0.35">
      <c r="A82" s="33" t="s">
        <v>88</v>
      </c>
      <c r="B82" s="223">
        <v>86077.41</v>
      </c>
      <c r="C82" s="64">
        <v>86098.9</v>
      </c>
      <c r="D82" s="64">
        <v>86120.63</v>
      </c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224"/>
      <c r="AG82" s="51">
        <f t="shared" si="2"/>
        <v>86120.63</v>
      </c>
      <c r="AH82" s="44">
        <v>86055.679999999993</v>
      </c>
    </row>
    <row r="83" spans="1:34" x14ac:dyDescent="0.35">
      <c r="A83" s="33" t="s">
        <v>89</v>
      </c>
      <c r="B83" s="223">
        <v>85860.99</v>
      </c>
      <c r="C83" s="64">
        <v>85877.62</v>
      </c>
      <c r="D83" s="64">
        <v>85898.67</v>
      </c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224"/>
      <c r="AG83" s="51">
        <f t="shared" si="2"/>
        <v>85898.67</v>
      </c>
      <c r="AH83" s="44">
        <v>85841.59</v>
      </c>
    </row>
    <row r="84" spans="1:34" x14ac:dyDescent="0.35">
      <c r="A84" s="33" t="s">
        <v>90</v>
      </c>
      <c r="B84" s="223">
        <v>86718.94</v>
      </c>
      <c r="C84" s="64">
        <v>86739.88</v>
      </c>
      <c r="D84" s="64">
        <v>86761.21</v>
      </c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224"/>
      <c r="AG84" s="51">
        <f t="shared" si="2"/>
        <v>86761.21</v>
      </c>
      <c r="AH84" s="44">
        <v>86707.98</v>
      </c>
    </row>
    <row r="85" spans="1:34" x14ac:dyDescent="0.35">
      <c r="A85" s="33" t="s">
        <v>91</v>
      </c>
      <c r="B85" s="223">
        <v>86989.77</v>
      </c>
      <c r="C85" s="64">
        <v>87011.13</v>
      </c>
      <c r="D85" s="64">
        <v>87032.37</v>
      </c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224"/>
      <c r="AG85" s="51">
        <f t="shared" si="2"/>
        <v>87032.37</v>
      </c>
      <c r="AH85" s="44">
        <v>86971.03</v>
      </c>
    </row>
    <row r="86" spans="1:34" x14ac:dyDescent="0.35">
      <c r="A86" s="33" t="s">
        <v>92</v>
      </c>
      <c r="B86" s="223">
        <v>87251.96</v>
      </c>
      <c r="C86" s="64">
        <v>87262.399999999994</v>
      </c>
      <c r="D86" s="64">
        <v>87283.51</v>
      </c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224"/>
      <c r="AG86" s="51">
        <f t="shared" si="2"/>
        <v>87283.51</v>
      </c>
      <c r="AH86" s="44">
        <v>87230.88</v>
      </c>
    </row>
    <row r="87" spans="1:34" x14ac:dyDescent="0.35">
      <c r="A87" s="33" t="s">
        <v>93</v>
      </c>
      <c r="B87" s="223">
        <v>80871.820000000007</v>
      </c>
      <c r="C87" s="64">
        <v>80871.820000000007</v>
      </c>
      <c r="D87" s="64">
        <v>80871.820000000007</v>
      </c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224"/>
      <c r="AG87" s="51">
        <f t="shared" si="2"/>
        <v>80871.820000000007</v>
      </c>
      <c r="AH87" s="44">
        <v>80854.820000000007</v>
      </c>
    </row>
    <row r="88" spans="1:34" x14ac:dyDescent="0.35">
      <c r="A88" s="33" t="s">
        <v>94</v>
      </c>
      <c r="B88" s="223">
        <v>88772.88</v>
      </c>
      <c r="C88" s="64">
        <v>88772.88</v>
      </c>
      <c r="D88" s="64">
        <v>88782.26</v>
      </c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224"/>
      <c r="AG88" s="51">
        <f t="shared" si="2"/>
        <v>88782.26</v>
      </c>
      <c r="AH88" s="44">
        <v>88756.84</v>
      </c>
    </row>
    <row r="89" spans="1:34" x14ac:dyDescent="0.35">
      <c r="A89" s="33" t="s">
        <v>95</v>
      </c>
      <c r="B89" s="223">
        <v>84662.44</v>
      </c>
      <c r="C89" s="64">
        <v>84680.05</v>
      </c>
      <c r="D89" s="64">
        <v>84701.06</v>
      </c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224"/>
      <c r="AG89" s="51">
        <f t="shared" si="2"/>
        <v>84701.06</v>
      </c>
      <c r="AH89" s="44">
        <v>84641.45</v>
      </c>
    </row>
    <row r="90" spans="1:34" x14ac:dyDescent="0.35">
      <c r="A90" s="33" t="s">
        <v>96</v>
      </c>
      <c r="B90" s="223">
        <v>86286.87</v>
      </c>
      <c r="C90" s="64">
        <v>86307.53</v>
      </c>
      <c r="D90" s="64">
        <v>86329.24</v>
      </c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224"/>
      <c r="AG90" s="51">
        <f t="shared" si="2"/>
        <v>86329.24</v>
      </c>
      <c r="AH90" s="44">
        <v>86265.03</v>
      </c>
    </row>
    <row r="91" spans="1:34" x14ac:dyDescent="0.35">
      <c r="A91" s="33" t="s">
        <v>97</v>
      </c>
      <c r="B91" s="223">
        <v>87128.74</v>
      </c>
      <c r="C91" s="64">
        <v>87128.74</v>
      </c>
      <c r="D91" s="64">
        <v>87142.68</v>
      </c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224"/>
      <c r="AG91" s="51">
        <f t="shared" si="2"/>
        <v>87142.68</v>
      </c>
      <c r="AH91" s="44">
        <v>87113.83</v>
      </c>
    </row>
    <row r="92" spans="1:34" x14ac:dyDescent="0.35">
      <c r="A92" s="33" t="s">
        <v>98</v>
      </c>
      <c r="B92" s="223">
        <v>86154.93</v>
      </c>
      <c r="C92" s="64">
        <v>86162.92</v>
      </c>
      <c r="D92" s="64">
        <v>86173.84</v>
      </c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224"/>
      <c r="AG92" s="51">
        <f t="shared" si="2"/>
        <v>86173.84</v>
      </c>
      <c r="AH92" s="44">
        <v>86133.94</v>
      </c>
    </row>
    <row r="93" spans="1:34" x14ac:dyDescent="0.35">
      <c r="A93" s="33" t="s">
        <v>99</v>
      </c>
      <c r="B93" s="223">
        <v>82859.600000000006</v>
      </c>
      <c r="C93" s="64">
        <v>82878.25</v>
      </c>
      <c r="D93" s="64">
        <v>82893.899999999994</v>
      </c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224"/>
      <c r="AG93" s="51">
        <f t="shared" si="2"/>
        <v>82893.899999999994</v>
      </c>
      <c r="AH93" s="44">
        <v>82845.37</v>
      </c>
    </row>
    <row r="94" spans="1:34" x14ac:dyDescent="0.35">
      <c r="A94" s="293" t="s">
        <v>100</v>
      </c>
      <c r="B94" s="223">
        <v>81277.61</v>
      </c>
      <c r="C94" s="64">
        <v>81277.61</v>
      </c>
      <c r="D94" s="64">
        <v>81277.61</v>
      </c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224"/>
      <c r="AG94" s="51">
        <f t="shared" si="2"/>
        <v>81277.61</v>
      </c>
      <c r="AH94" s="44">
        <v>81277.61</v>
      </c>
    </row>
    <row r="95" spans="1:34" x14ac:dyDescent="0.35">
      <c r="A95" s="33" t="s">
        <v>101</v>
      </c>
      <c r="B95" s="223">
        <v>84213.68</v>
      </c>
      <c r="C95" s="64">
        <v>84234.85</v>
      </c>
      <c r="D95" s="64">
        <v>84241.36</v>
      </c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224"/>
      <c r="AG95" s="51">
        <f t="shared" si="2"/>
        <v>84241.36</v>
      </c>
      <c r="AH95" s="44">
        <v>84192.85</v>
      </c>
    </row>
    <row r="96" spans="1:34" x14ac:dyDescent="0.35">
      <c r="A96" s="33" t="s">
        <v>102</v>
      </c>
      <c r="B96" s="223">
        <v>85308.67</v>
      </c>
      <c r="C96" s="64">
        <v>85322.22</v>
      </c>
      <c r="D96" s="64">
        <v>85341.72</v>
      </c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224"/>
      <c r="AG96" s="51">
        <f t="shared" si="2"/>
        <v>85341.72</v>
      </c>
      <c r="AH96" s="44">
        <v>85302.64</v>
      </c>
    </row>
    <row r="97" spans="1:34" x14ac:dyDescent="0.35">
      <c r="A97" s="33" t="s">
        <v>103</v>
      </c>
      <c r="B97" s="223">
        <v>86524.6</v>
      </c>
      <c r="C97" s="64">
        <v>86546.19</v>
      </c>
      <c r="D97" s="64">
        <v>86567.69</v>
      </c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224"/>
      <c r="AG97" s="51">
        <f t="shared" si="2"/>
        <v>86567.69</v>
      </c>
      <c r="AH97" s="44">
        <v>86503.13</v>
      </c>
    </row>
    <row r="98" spans="1:34" x14ac:dyDescent="0.35">
      <c r="A98" s="33" t="s">
        <v>104</v>
      </c>
      <c r="B98" s="223">
        <v>84901.26</v>
      </c>
      <c r="C98" s="64">
        <v>84921.4</v>
      </c>
      <c r="D98" s="64">
        <v>84935.13</v>
      </c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224"/>
      <c r="AG98" s="51">
        <f t="shared" si="2"/>
        <v>84935.13</v>
      </c>
      <c r="AH98" s="44">
        <v>84880.58</v>
      </c>
    </row>
    <row r="99" spans="1:34" x14ac:dyDescent="0.35">
      <c r="A99" s="33" t="s">
        <v>105</v>
      </c>
      <c r="B99" s="223">
        <v>83229.69</v>
      </c>
      <c r="C99" s="64">
        <v>83251.5</v>
      </c>
      <c r="D99" s="64">
        <v>83268.39</v>
      </c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224"/>
      <c r="AG99" s="51">
        <f t="shared" si="2"/>
        <v>83268.39</v>
      </c>
      <c r="AH99" s="44">
        <v>83209.67</v>
      </c>
    </row>
    <row r="100" spans="1:34" x14ac:dyDescent="0.35">
      <c r="A100" s="33" t="s">
        <v>106</v>
      </c>
      <c r="B100" s="223">
        <v>81235.509999999995</v>
      </c>
      <c r="C100" s="64">
        <v>81253.210000000006</v>
      </c>
      <c r="D100" s="64">
        <v>81261.19</v>
      </c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224"/>
      <c r="AG100" s="51">
        <f t="shared" ref="AG100:AG106" si="3">MAX(B100:AF100)</f>
        <v>81261.19</v>
      </c>
      <c r="AH100" s="44">
        <v>81220.56</v>
      </c>
    </row>
    <row r="101" spans="1:34" x14ac:dyDescent="0.35">
      <c r="A101" s="33" t="s">
        <v>107</v>
      </c>
      <c r="B101" s="223">
        <v>84569.93</v>
      </c>
      <c r="C101" s="64">
        <v>84569.93</v>
      </c>
      <c r="D101" s="64">
        <v>84569.93</v>
      </c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224"/>
      <c r="AG101" s="51">
        <f t="shared" si="3"/>
        <v>84569.93</v>
      </c>
      <c r="AH101" s="44">
        <v>84569.93</v>
      </c>
    </row>
    <row r="102" spans="1:34" x14ac:dyDescent="0.35">
      <c r="A102" s="33" t="s">
        <v>108</v>
      </c>
      <c r="B102" s="223">
        <v>85290.46</v>
      </c>
      <c r="C102" s="64">
        <v>85307.68</v>
      </c>
      <c r="D102" s="64">
        <v>85324.45</v>
      </c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224"/>
      <c r="AG102" s="51">
        <f t="shared" si="3"/>
        <v>85324.45</v>
      </c>
      <c r="AH102" s="44">
        <v>85269.81</v>
      </c>
    </row>
    <row r="103" spans="1:34" x14ac:dyDescent="0.35">
      <c r="A103" s="33" t="s">
        <v>109</v>
      </c>
      <c r="B103" s="223">
        <v>84206.74</v>
      </c>
      <c r="C103" s="64">
        <v>84206.74</v>
      </c>
      <c r="D103" s="64">
        <v>84211.75</v>
      </c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224"/>
      <c r="AG103" s="51">
        <f t="shared" si="3"/>
        <v>84211.75</v>
      </c>
      <c r="AH103" s="44">
        <v>84206.74</v>
      </c>
    </row>
    <row r="104" spans="1:34" x14ac:dyDescent="0.35">
      <c r="A104" s="33" t="s">
        <v>110</v>
      </c>
      <c r="B104" s="223">
        <v>85475.15</v>
      </c>
      <c r="C104" s="64">
        <v>85495.13</v>
      </c>
      <c r="D104" s="64">
        <v>85516.18</v>
      </c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224"/>
      <c r="AG104" s="51">
        <f t="shared" si="3"/>
        <v>85516.18</v>
      </c>
      <c r="AH104" s="44">
        <v>85454.76</v>
      </c>
    </row>
    <row r="105" spans="1:34" x14ac:dyDescent="0.35">
      <c r="A105" s="33" t="s">
        <v>111</v>
      </c>
      <c r="B105" s="223">
        <v>77019.34</v>
      </c>
      <c r="C105" s="64">
        <v>77040.490000000005</v>
      </c>
      <c r="D105" s="64">
        <v>77050.55</v>
      </c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224"/>
      <c r="AG105" s="51">
        <f t="shared" si="3"/>
        <v>77050.55</v>
      </c>
      <c r="AH105" s="44">
        <v>76997.98</v>
      </c>
    </row>
    <row r="106" spans="1:34" ht="15" thickBot="1" x14ac:dyDescent="0.4">
      <c r="A106" s="34" t="s">
        <v>112</v>
      </c>
      <c r="B106" s="225">
        <v>85154.75</v>
      </c>
      <c r="C106" s="226">
        <v>85173.119999999995</v>
      </c>
      <c r="D106" s="226">
        <v>85194.37</v>
      </c>
      <c r="E106" s="226"/>
      <c r="F106" s="226"/>
      <c r="G106" s="226"/>
      <c r="H106" s="226"/>
      <c r="I106" s="226"/>
      <c r="J106" s="226"/>
      <c r="K106" s="226"/>
      <c r="L106" s="226"/>
      <c r="M106" s="226"/>
      <c r="N106" s="226"/>
      <c r="O106" s="226"/>
      <c r="P106" s="226"/>
      <c r="Q106" s="226"/>
      <c r="R106" s="226"/>
      <c r="S106" s="226"/>
      <c r="T106" s="226"/>
      <c r="U106" s="226"/>
      <c r="V106" s="226"/>
      <c r="W106" s="226"/>
      <c r="X106" s="226"/>
      <c r="Y106" s="226"/>
      <c r="Z106" s="226"/>
      <c r="AA106" s="226"/>
      <c r="AB106" s="226"/>
      <c r="AC106" s="226"/>
      <c r="AD106" s="64"/>
      <c r="AE106" s="226"/>
      <c r="AF106" s="227"/>
      <c r="AG106" s="52">
        <f t="shared" si="3"/>
        <v>85194.37</v>
      </c>
      <c r="AH106" s="44">
        <v>85133.08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45566</v>
      </c>
      <c r="C108" s="46">
        <v>45567</v>
      </c>
      <c r="D108" s="46">
        <v>45568</v>
      </c>
      <c r="E108" s="46">
        <v>45569</v>
      </c>
      <c r="F108" s="46">
        <v>45570</v>
      </c>
      <c r="G108" s="46">
        <v>45571</v>
      </c>
      <c r="H108" s="46">
        <v>45572</v>
      </c>
      <c r="I108" s="46">
        <v>45573</v>
      </c>
      <c r="J108" s="46">
        <v>45574</v>
      </c>
      <c r="K108" s="46">
        <v>45575</v>
      </c>
      <c r="L108" s="46">
        <v>45576</v>
      </c>
      <c r="M108" s="46">
        <v>45577</v>
      </c>
      <c r="N108" s="46">
        <v>45578</v>
      </c>
      <c r="O108" s="46">
        <v>45579</v>
      </c>
      <c r="P108" s="46">
        <v>45580</v>
      </c>
      <c r="Q108" s="46">
        <v>45581</v>
      </c>
      <c r="R108" s="46">
        <v>45582</v>
      </c>
      <c r="S108" s="46">
        <v>45583</v>
      </c>
      <c r="T108" s="46">
        <v>45584</v>
      </c>
      <c r="U108" s="46">
        <v>45585</v>
      </c>
      <c r="V108" s="46">
        <v>45586</v>
      </c>
      <c r="W108" s="46">
        <v>45587</v>
      </c>
      <c r="X108" s="46">
        <v>45588</v>
      </c>
      <c r="Y108" s="46">
        <v>45589</v>
      </c>
      <c r="Z108" s="46">
        <v>45590</v>
      </c>
      <c r="AA108" s="46">
        <v>45591</v>
      </c>
      <c r="AB108" s="46">
        <v>45592</v>
      </c>
      <c r="AC108" s="46">
        <v>45593</v>
      </c>
      <c r="AD108" s="46">
        <v>45594</v>
      </c>
      <c r="AE108" s="46">
        <v>45595</v>
      </c>
      <c r="AF108" s="49">
        <v>45596</v>
      </c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228">
        <v>41368.019999999997</v>
      </c>
      <c r="C109" s="221">
        <v>41381.019999999997</v>
      </c>
      <c r="D109" s="221">
        <v>41402.03</v>
      </c>
      <c r="E109" s="221"/>
      <c r="F109" s="221"/>
      <c r="G109" s="221"/>
      <c r="H109" s="221"/>
      <c r="I109" s="221"/>
      <c r="J109" s="221"/>
      <c r="K109" s="221"/>
      <c r="L109" s="221"/>
      <c r="M109" s="221"/>
      <c r="N109" s="221"/>
      <c r="O109" s="221"/>
      <c r="P109" s="221"/>
      <c r="Q109" s="221"/>
      <c r="R109" s="221"/>
      <c r="S109" s="221"/>
      <c r="T109" s="221"/>
      <c r="U109" s="221"/>
      <c r="V109" s="221"/>
      <c r="W109" s="221"/>
      <c r="X109" s="221"/>
      <c r="Y109" s="221"/>
      <c r="Z109" s="221"/>
      <c r="AA109" s="221"/>
      <c r="AB109" s="221"/>
      <c r="AC109" s="221"/>
      <c r="AD109" s="221"/>
      <c r="AE109" s="221"/>
      <c r="AF109" s="229"/>
      <c r="AG109" s="51">
        <f t="shared" ref="AG109:AG124" si="4">MAX(B109:AF109)</f>
        <v>41402.03</v>
      </c>
      <c r="AH109" s="44">
        <v>41347.5</v>
      </c>
    </row>
    <row r="110" spans="1:34" x14ac:dyDescent="0.35">
      <c r="A110" s="26" t="s">
        <v>114</v>
      </c>
      <c r="B110" s="77">
        <v>41582.370000000003</v>
      </c>
      <c r="C110" s="64">
        <v>41585.949999999997</v>
      </c>
      <c r="D110" s="64">
        <v>41607.440000000002</v>
      </c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55"/>
      <c r="AG110" s="51">
        <f t="shared" si="4"/>
        <v>41607.440000000002</v>
      </c>
      <c r="AH110" s="44">
        <v>41570.449999999997</v>
      </c>
    </row>
    <row r="111" spans="1:34" x14ac:dyDescent="0.35">
      <c r="A111" s="26" t="s">
        <v>115</v>
      </c>
      <c r="B111" s="77">
        <v>36909.33</v>
      </c>
      <c r="C111" s="64">
        <v>36928.36</v>
      </c>
      <c r="D111" s="64">
        <v>36949.949999999997</v>
      </c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55"/>
      <c r="AG111" s="51">
        <f t="shared" si="4"/>
        <v>36949.949999999997</v>
      </c>
      <c r="AH111" s="44">
        <v>36888.160000000003</v>
      </c>
    </row>
    <row r="112" spans="1:34" x14ac:dyDescent="0.35">
      <c r="A112" s="26" t="s">
        <v>116</v>
      </c>
      <c r="B112" s="77">
        <v>36971.35</v>
      </c>
      <c r="C112" s="64">
        <v>36991.86</v>
      </c>
      <c r="D112" s="64">
        <v>37009.370000000003</v>
      </c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55"/>
      <c r="AG112" s="51">
        <f t="shared" si="4"/>
        <v>37009.370000000003</v>
      </c>
      <c r="AH112" s="44">
        <v>36951.22</v>
      </c>
    </row>
    <row r="113" spans="1:34" x14ac:dyDescent="0.35">
      <c r="A113" s="26" t="s">
        <v>117</v>
      </c>
      <c r="B113" s="77">
        <v>35920.61</v>
      </c>
      <c r="C113" s="64">
        <v>35941.51</v>
      </c>
      <c r="D113" s="64">
        <v>35959.519999999997</v>
      </c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55"/>
      <c r="AG113" s="51">
        <f t="shared" si="4"/>
        <v>35959.519999999997</v>
      </c>
      <c r="AH113" s="44">
        <v>35902.019999999997</v>
      </c>
    </row>
    <row r="114" spans="1:34" x14ac:dyDescent="0.35">
      <c r="A114" s="26" t="s">
        <v>118</v>
      </c>
      <c r="B114" s="77">
        <v>27544.1</v>
      </c>
      <c r="C114" s="64">
        <v>27559.39</v>
      </c>
      <c r="D114" s="64">
        <v>27578.85</v>
      </c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55"/>
      <c r="AG114" s="51">
        <f t="shared" si="4"/>
        <v>27578.85</v>
      </c>
      <c r="AH114" s="44">
        <v>27523.26</v>
      </c>
    </row>
    <row r="115" spans="1:34" x14ac:dyDescent="0.35">
      <c r="A115" s="26" t="s">
        <v>119</v>
      </c>
      <c r="B115" s="77">
        <v>26514.39</v>
      </c>
      <c r="C115" s="64">
        <v>26514.39</v>
      </c>
      <c r="D115" s="64">
        <v>26514.39</v>
      </c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55"/>
      <c r="AG115" s="51">
        <f t="shared" si="4"/>
        <v>26514.39</v>
      </c>
      <c r="AH115" s="44">
        <v>26514.39</v>
      </c>
    </row>
    <row r="116" spans="1:34" x14ac:dyDescent="0.35">
      <c r="A116" s="26" t="s">
        <v>120</v>
      </c>
      <c r="B116" s="77">
        <v>26428.38</v>
      </c>
      <c r="C116" s="64">
        <v>26449.64</v>
      </c>
      <c r="D116" s="64">
        <v>26470.47</v>
      </c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55"/>
      <c r="AG116" s="51">
        <f t="shared" si="4"/>
        <v>26470.47</v>
      </c>
      <c r="AH116" s="44">
        <v>26407.45</v>
      </c>
    </row>
    <row r="117" spans="1:34" x14ac:dyDescent="0.35">
      <c r="A117" s="26" t="s">
        <v>121</v>
      </c>
      <c r="B117" s="77">
        <v>26305.23</v>
      </c>
      <c r="C117" s="64">
        <v>26326.080000000002</v>
      </c>
      <c r="D117" s="64">
        <v>26347.08</v>
      </c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55"/>
      <c r="AG117" s="51">
        <f t="shared" si="4"/>
        <v>26347.08</v>
      </c>
      <c r="AH117" s="44">
        <v>26284.07</v>
      </c>
    </row>
    <row r="118" spans="1:34" x14ac:dyDescent="0.35">
      <c r="A118" s="26" t="s">
        <v>122</v>
      </c>
      <c r="B118" s="77">
        <v>8281.77</v>
      </c>
      <c r="C118" s="64">
        <v>8303.16</v>
      </c>
      <c r="D118" s="64">
        <v>8320.65</v>
      </c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55"/>
      <c r="AG118" s="51">
        <f t="shared" si="4"/>
        <v>8320.65</v>
      </c>
      <c r="AH118" s="44">
        <v>8272.73</v>
      </c>
    </row>
    <row r="119" spans="1:34" x14ac:dyDescent="0.35">
      <c r="A119" s="26" t="s">
        <v>123</v>
      </c>
      <c r="B119" s="77">
        <v>8627.26</v>
      </c>
      <c r="C119" s="64">
        <v>8648.64</v>
      </c>
      <c r="D119" s="64">
        <v>8670.14</v>
      </c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55"/>
      <c r="AG119" s="51">
        <f t="shared" si="4"/>
        <v>8670.14</v>
      </c>
      <c r="AH119" s="44">
        <v>8606.2199999999993</v>
      </c>
    </row>
    <row r="120" spans="1:34" x14ac:dyDescent="0.35">
      <c r="A120" s="26" t="s">
        <v>124</v>
      </c>
      <c r="B120" s="77">
        <v>8024.85</v>
      </c>
      <c r="C120" s="64">
        <v>8046.69</v>
      </c>
      <c r="D120" s="64">
        <v>8067.93</v>
      </c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55"/>
      <c r="AG120" s="51">
        <f t="shared" si="4"/>
        <v>8067.93</v>
      </c>
      <c r="AH120" s="44">
        <v>8003.88</v>
      </c>
    </row>
    <row r="121" spans="1:34" x14ac:dyDescent="0.35">
      <c r="A121" s="26" t="s">
        <v>125</v>
      </c>
      <c r="B121" s="77">
        <v>6465.77</v>
      </c>
      <c r="C121" s="64">
        <v>6486.93</v>
      </c>
      <c r="D121" s="64">
        <v>6508.34</v>
      </c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55"/>
      <c r="AG121" s="51">
        <f t="shared" si="4"/>
        <v>6508.34</v>
      </c>
      <c r="AH121" s="44">
        <v>6448.5</v>
      </c>
    </row>
    <row r="122" spans="1:34" x14ac:dyDescent="0.35">
      <c r="A122" s="26" t="s">
        <v>126</v>
      </c>
      <c r="B122" s="77">
        <v>7531.57</v>
      </c>
      <c r="C122" s="64">
        <v>7553.05</v>
      </c>
      <c r="D122" s="64">
        <v>7572.08</v>
      </c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55"/>
      <c r="AG122" s="51">
        <f t="shared" si="4"/>
        <v>7572.08</v>
      </c>
      <c r="AH122" s="44">
        <v>7520.46</v>
      </c>
    </row>
    <row r="123" spans="1:34" x14ac:dyDescent="0.35">
      <c r="A123" s="26" t="s">
        <v>127</v>
      </c>
      <c r="B123" s="77">
        <v>7790.67</v>
      </c>
      <c r="C123" s="64">
        <v>7812.21</v>
      </c>
      <c r="D123" s="64">
        <v>7833.26</v>
      </c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55"/>
      <c r="AG123" s="51">
        <f t="shared" si="4"/>
        <v>7833.26</v>
      </c>
      <c r="AH123" s="44">
        <v>7769.65</v>
      </c>
    </row>
    <row r="124" spans="1:34" ht="15" thickBot="1" x14ac:dyDescent="0.4">
      <c r="A124" s="36" t="s">
        <v>128</v>
      </c>
      <c r="B124" s="230">
        <v>7547.51</v>
      </c>
      <c r="C124" s="226">
        <v>7568.98</v>
      </c>
      <c r="D124" s="226">
        <v>7583.95</v>
      </c>
      <c r="E124" s="226"/>
      <c r="F124" s="226"/>
      <c r="G124" s="226"/>
      <c r="H124" s="226"/>
      <c r="I124" s="226"/>
      <c r="J124" s="226"/>
      <c r="K124" s="226"/>
      <c r="L124" s="226"/>
      <c r="M124" s="226"/>
      <c r="N124" s="226"/>
      <c r="O124" s="226"/>
      <c r="P124" s="226"/>
      <c r="Q124" s="226"/>
      <c r="R124" s="226"/>
      <c r="S124" s="226"/>
      <c r="T124" s="226"/>
      <c r="U124" s="226"/>
      <c r="V124" s="226"/>
      <c r="W124" s="226"/>
      <c r="X124" s="226"/>
      <c r="Y124" s="226"/>
      <c r="Z124" s="226"/>
      <c r="AA124" s="226"/>
      <c r="AB124" s="226"/>
      <c r="AC124" s="226"/>
      <c r="AD124" s="226"/>
      <c r="AE124" s="226"/>
      <c r="AF124" s="231"/>
      <c r="AG124" s="52">
        <f t="shared" si="4"/>
        <v>7583.95</v>
      </c>
      <c r="AH124" s="44">
        <v>7533.77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45566</v>
      </c>
      <c r="C126" s="46">
        <v>45567</v>
      </c>
      <c r="D126" s="46">
        <v>45568</v>
      </c>
      <c r="E126" s="46">
        <v>45569</v>
      </c>
      <c r="F126" s="46">
        <v>45570</v>
      </c>
      <c r="G126" s="46">
        <v>45571</v>
      </c>
      <c r="H126" s="46">
        <v>45572</v>
      </c>
      <c r="I126" s="46">
        <v>45573</v>
      </c>
      <c r="J126" s="46">
        <v>45574</v>
      </c>
      <c r="K126" s="46">
        <v>45575</v>
      </c>
      <c r="L126" s="46">
        <v>45576</v>
      </c>
      <c r="M126" s="46">
        <v>45577</v>
      </c>
      <c r="N126" s="46">
        <v>45578</v>
      </c>
      <c r="O126" s="46">
        <v>45579</v>
      </c>
      <c r="P126" s="46">
        <v>45580</v>
      </c>
      <c r="Q126" s="46">
        <v>45581</v>
      </c>
      <c r="R126" s="46">
        <v>45582</v>
      </c>
      <c r="S126" s="46">
        <v>45583</v>
      </c>
      <c r="T126" s="46">
        <v>45584</v>
      </c>
      <c r="U126" s="46">
        <v>45585</v>
      </c>
      <c r="V126" s="46">
        <v>45586</v>
      </c>
      <c r="W126" s="46">
        <v>45587</v>
      </c>
      <c r="X126" s="46">
        <v>45588</v>
      </c>
      <c r="Y126" s="46">
        <v>45589</v>
      </c>
      <c r="Z126" s="46">
        <v>45590</v>
      </c>
      <c r="AA126" s="46">
        <v>45591</v>
      </c>
      <c r="AB126" s="46">
        <v>45592</v>
      </c>
      <c r="AC126" s="46">
        <v>45593</v>
      </c>
      <c r="AD126" s="46">
        <v>45594</v>
      </c>
      <c r="AE126" s="46">
        <v>45595</v>
      </c>
      <c r="AF126" s="46">
        <v>45596</v>
      </c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77">
        <v>87704.19</v>
      </c>
      <c r="C127" s="64">
        <v>87704.19</v>
      </c>
      <c r="D127" s="64">
        <v>87704.19</v>
      </c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55"/>
      <c r="AG127" s="91">
        <f t="shared" ref="AG127:AG163" si="5">MAX(B127:AF127)</f>
        <v>87704.19</v>
      </c>
      <c r="AH127" s="44">
        <v>87704.19</v>
      </c>
    </row>
    <row r="128" spans="1:34" x14ac:dyDescent="0.35">
      <c r="A128" s="40" t="s">
        <v>297</v>
      </c>
      <c r="B128" s="228">
        <v>113090.22</v>
      </c>
      <c r="C128" s="221">
        <v>113090.22</v>
      </c>
      <c r="D128" s="221">
        <v>113097.69</v>
      </c>
      <c r="E128" s="221"/>
      <c r="F128" s="221"/>
      <c r="G128" s="221"/>
      <c r="H128" s="221"/>
      <c r="I128" s="221"/>
      <c r="J128" s="221"/>
      <c r="K128" s="221"/>
      <c r="L128" s="221"/>
      <c r="M128" s="221"/>
      <c r="N128" s="221"/>
      <c r="O128" s="221"/>
      <c r="P128" s="221"/>
      <c r="Q128" s="221"/>
      <c r="R128" s="221"/>
      <c r="S128" s="221"/>
      <c r="T128" s="221"/>
      <c r="U128" s="221"/>
      <c r="V128" s="221"/>
      <c r="W128" s="221"/>
      <c r="X128" s="221"/>
      <c r="Y128" s="221"/>
      <c r="Z128" s="221"/>
      <c r="AA128" s="221"/>
      <c r="AB128" s="221"/>
      <c r="AC128" s="221"/>
      <c r="AD128" s="221"/>
      <c r="AE128" s="221"/>
      <c r="AF128" s="229"/>
      <c r="AG128" s="51">
        <f t="shared" si="5"/>
        <v>113097.69</v>
      </c>
      <c r="AH128" s="44">
        <v>113090.22</v>
      </c>
    </row>
    <row r="129" spans="1:34" x14ac:dyDescent="0.35">
      <c r="A129" s="27" t="s">
        <v>271</v>
      </c>
      <c r="B129" s="39">
        <v>105235.65</v>
      </c>
      <c r="C129" s="64">
        <v>105235.65</v>
      </c>
      <c r="D129" s="64">
        <v>105235.65</v>
      </c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55"/>
      <c r="AG129" s="91">
        <f t="shared" si="5"/>
        <v>105235.65</v>
      </c>
      <c r="AH129" s="44">
        <v>105235.65</v>
      </c>
    </row>
    <row r="130" spans="1:34" x14ac:dyDescent="0.35">
      <c r="A130" s="27" t="s">
        <v>274</v>
      </c>
      <c r="B130" s="64">
        <v>102917.41</v>
      </c>
      <c r="C130" s="64">
        <v>102917.41</v>
      </c>
      <c r="D130" s="64">
        <v>102917.41</v>
      </c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55"/>
      <c r="AG130" s="91">
        <f t="shared" si="5"/>
        <v>102917.41</v>
      </c>
      <c r="AH130" s="44">
        <v>102917.41</v>
      </c>
    </row>
    <row r="131" spans="1:34" x14ac:dyDescent="0.35">
      <c r="A131" s="27" t="s">
        <v>272</v>
      </c>
      <c r="B131" s="77">
        <v>102270.76</v>
      </c>
      <c r="C131" s="77">
        <v>102294.76</v>
      </c>
      <c r="D131" s="77">
        <v>102318.76</v>
      </c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64"/>
      <c r="AG131" s="91">
        <f t="shared" si="5"/>
        <v>102318.76</v>
      </c>
      <c r="AH131" s="44">
        <v>102246.76</v>
      </c>
    </row>
    <row r="132" spans="1:34" x14ac:dyDescent="0.35">
      <c r="A132" s="27" t="s">
        <v>285</v>
      </c>
      <c r="B132" s="77">
        <v>101476.4</v>
      </c>
      <c r="C132" s="64">
        <v>101476.4</v>
      </c>
      <c r="D132" s="64">
        <v>101476.4</v>
      </c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55"/>
      <c r="AG132" s="91">
        <f t="shared" si="5"/>
        <v>101476.4</v>
      </c>
      <c r="AH132" s="44">
        <v>101476.4</v>
      </c>
    </row>
    <row r="133" spans="1:34" x14ac:dyDescent="0.35">
      <c r="A133" s="27" t="s">
        <v>306</v>
      </c>
      <c r="B133" s="64">
        <v>100000</v>
      </c>
      <c r="C133" s="64">
        <v>100000</v>
      </c>
      <c r="D133" s="64">
        <v>100000</v>
      </c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55"/>
      <c r="AG133" s="91">
        <f t="shared" si="5"/>
        <v>100000</v>
      </c>
      <c r="AH133" s="44">
        <v>100000</v>
      </c>
    </row>
    <row r="134" spans="1:34" x14ac:dyDescent="0.35">
      <c r="A134" s="28" t="s">
        <v>308</v>
      </c>
      <c r="B134" s="64">
        <v>100000</v>
      </c>
      <c r="C134" s="64">
        <v>100000</v>
      </c>
      <c r="D134" s="64">
        <v>100000</v>
      </c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73"/>
      <c r="AG134" s="91">
        <f t="shared" si="5"/>
        <v>100000</v>
      </c>
      <c r="AH134" s="44">
        <v>100000</v>
      </c>
    </row>
    <row r="135" spans="1:34" ht="15" thickBot="1" x14ac:dyDescent="0.4">
      <c r="A135" s="27" t="s">
        <v>307</v>
      </c>
      <c r="B135" s="77">
        <v>102275.73</v>
      </c>
      <c r="C135" s="64">
        <v>102275.73</v>
      </c>
      <c r="D135" s="64">
        <v>102275.73</v>
      </c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51">
        <f t="shared" si="5"/>
        <v>102275.73</v>
      </c>
      <c r="AH135" s="44">
        <v>102275.73</v>
      </c>
    </row>
    <row r="136" spans="1:34" x14ac:dyDescent="0.35">
      <c r="A136" s="29" t="s">
        <v>273</v>
      </c>
      <c r="B136" s="252">
        <v>112345</v>
      </c>
      <c r="C136" s="252">
        <v>112345</v>
      </c>
      <c r="D136" s="252">
        <v>112345</v>
      </c>
      <c r="E136" s="252"/>
      <c r="F136" s="252"/>
      <c r="G136" s="252"/>
      <c r="H136" s="252"/>
      <c r="I136" s="252"/>
      <c r="J136" s="252"/>
      <c r="K136" s="252"/>
      <c r="L136" s="252"/>
      <c r="M136" s="252"/>
      <c r="N136" s="252"/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  <c r="Z136" s="252"/>
      <c r="AA136" s="252"/>
      <c r="AB136" s="252"/>
      <c r="AC136" s="252"/>
      <c r="AD136" s="252"/>
      <c r="AE136" s="252"/>
      <c r="AF136" s="253"/>
      <c r="AG136" s="264">
        <f t="shared" si="5"/>
        <v>112345</v>
      </c>
      <c r="AH136" s="44">
        <v>112345</v>
      </c>
    </row>
    <row r="137" spans="1:34" x14ac:dyDescent="0.35">
      <c r="A137" s="30" t="s">
        <v>275</v>
      </c>
      <c r="B137" s="255">
        <v>104483</v>
      </c>
      <c r="C137" s="255">
        <v>104483</v>
      </c>
      <c r="D137" s="255">
        <v>104483</v>
      </c>
      <c r="E137" s="255"/>
      <c r="F137" s="255"/>
      <c r="G137" s="255"/>
      <c r="H137" s="255"/>
      <c r="I137" s="255"/>
      <c r="J137" s="255"/>
      <c r="K137" s="255"/>
      <c r="L137" s="255"/>
      <c r="M137" s="255"/>
      <c r="N137" s="255"/>
      <c r="O137" s="255"/>
      <c r="P137" s="255"/>
      <c r="Q137" s="255"/>
      <c r="R137" s="255"/>
      <c r="S137" s="255"/>
      <c r="T137" s="255"/>
      <c r="U137" s="255"/>
      <c r="V137" s="255"/>
      <c r="W137" s="255"/>
      <c r="X137" s="255"/>
      <c r="Y137" s="255"/>
      <c r="Z137" s="255"/>
      <c r="AA137" s="255"/>
      <c r="AB137" s="255"/>
      <c r="AC137" s="255"/>
      <c r="AD137" s="255"/>
      <c r="AE137" s="255"/>
      <c r="AF137" s="256"/>
      <c r="AG137" s="265">
        <f t="shared" si="5"/>
        <v>104483</v>
      </c>
      <c r="AH137" s="44">
        <v>104483</v>
      </c>
    </row>
    <row r="138" spans="1:34" x14ac:dyDescent="0.35">
      <c r="A138" s="30" t="s">
        <v>276</v>
      </c>
      <c r="B138" s="255">
        <v>110071</v>
      </c>
      <c r="C138" s="255">
        <v>110071</v>
      </c>
      <c r="D138" s="255">
        <v>110071</v>
      </c>
      <c r="E138" s="255"/>
      <c r="F138" s="255"/>
      <c r="G138" s="255"/>
      <c r="H138" s="255"/>
      <c r="I138" s="255"/>
      <c r="J138" s="255"/>
      <c r="K138" s="255"/>
      <c r="L138" s="255"/>
      <c r="M138" s="255"/>
      <c r="N138" s="255"/>
      <c r="O138" s="255"/>
      <c r="P138" s="255"/>
      <c r="Q138" s="255"/>
      <c r="R138" s="255"/>
      <c r="S138" s="255"/>
      <c r="T138" s="255"/>
      <c r="U138" s="255"/>
      <c r="V138" s="255"/>
      <c r="W138" s="255"/>
      <c r="X138" s="255"/>
      <c r="Y138" s="255"/>
      <c r="Z138" s="255"/>
      <c r="AA138" s="255"/>
      <c r="AB138" s="255"/>
      <c r="AC138" s="255"/>
      <c r="AD138" s="255"/>
      <c r="AE138" s="255"/>
      <c r="AF138" s="256"/>
      <c r="AG138" s="265">
        <f t="shared" si="5"/>
        <v>110071</v>
      </c>
      <c r="AH138" s="44">
        <v>110071</v>
      </c>
    </row>
    <row r="139" spans="1:34" x14ac:dyDescent="0.35">
      <c r="A139" s="30" t="s">
        <v>277</v>
      </c>
      <c r="B139" s="258">
        <v>109858</v>
      </c>
      <c r="C139" s="258">
        <v>109858</v>
      </c>
      <c r="D139" s="258">
        <v>109858</v>
      </c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  <c r="V139" s="258"/>
      <c r="W139" s="258"/>
      <c r="X139" s="258"/>
      <c r="Y139" s="258"/>
      <c r="Z139" s="258"/>
      <c r="AA139" s="258"/>
      <c r="AB139" s="258"/>
      <c r="AC139" s="258"/>
      <c r="AD139" s="258"/>
      <c r="AE139" s="258"/>
      <c r="AF139" s="256"/>
      <c r="AG139" s="265">
        <f t="shared" si="5"/>
        <v>109858</v>
      </c>
      <c r="AH139" s="44">
        <v>109858</v>
      </c>
    </row>
    <row r="140" spans="1:34" x14ac:dyDescent="0.35">
      <c r="A140" s="30" t="s">
        <v>278</v>
      </c>
      <c r="B140" s="255">
        <v>103424</v>
      </c>
      <c r="C140" s="255">
        <v>103424</v>
      </c>
      <c r="D140" s="255">
        <v>103424</v>
      </c>
      <c r="E140" s="255"/>
      <c r="F140" s="255"/>
      <c r="G140" s="255"/>
      <c r="H140" s="255"/>
      <c r="I140" s="255"/>
      <c r="J140" s="255"/>
      <c r="K140" s="255"/>
      <c r="L140" s="255"/>
      <c r="M140" s="255"/>
      <c r="N140" s="255"/>
      <c r="O140" s="255"/>
      <c r="P140" s="255"/>
      <c r="Q140" s="255"/>
      <c r="R140" s="255"/>
      <c r="S140" s="255"/>
      <c r="T140" s="255"/>
      <c r="U140" s="255"/>
      <c r="V140" s="255"/>
      <c r="W140" s="255"/>
      <c r="X140" s="255"/>
      <c r="Y140" s="255"/>
      <c r="Z140" s="255"/>
      <c r="AA140" s="255"/>
      <c r="AB140" s="255"/>
      <c r="AC140" s="255"/>
      <c r="AD140" s="255"/>
      <c r="AE140" s="255"/>
      <c r="AF140" s="256"/>
      <c r="AG140" s="265">
        <f t="shared" si="5"/>
        <v>103424</v>
      </c>
      <c r="AH140" s="44">
        <v>103424</v>
      </c>
    </row>
    <row r="141" spans="1:34" x14ac:dyDescent="0.35">
      <c r="A141" s="30" t="s">
        <v>279</v>
      </c>
      <c r="B141" s="258">
        <v>106858</v>
      </c>
      <c r="C141" s="258">
        <v>106858</v>
      </c>
      <c r="D141" s="258">
        <v>106858</v>
      </c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  <c r="V141" s="258"/>
      <c r="W141" s="258"/>
      <c r="X141" s="258"/>
      <c r="Y141" s="258"/>
      <c r="Z141" s="258"/>
      <c r="AA141" s="258"/>
      <c r="AB141" s="258"/>
      <c r="AC141" s="258"/>
      <c r="AD141" s="258"/>
      <c r="AE141" s="258"/>
      <c r="AF141" s="256"/>
      <c r="AG141" s="265">
        <f t="shared" si="5"/>
        <v>106858</v>
      </c>
      <c r="AH141" s="44">
        <v>106858</v>
      </c>
    </row>
    <row r="142" spans="1:34" x14ac:dyDescent="0.35">
      <c r="A142" s="30" t="s">
        <v>280</v>
      </c>
      <c r="B142" s="255">
        <v>104310</v>
      </c>
      <c r="C142" s="255">
        <v>104310</v>
      </c>
      <c r="D142" s="255">
        <v>104310</v>
      </c>
      <c r="E142" s="255"/>
      <c r="F142" s="255"/>
      <c r="G142" s="255"/>
      <c r="H142" s="255"/>
      <c r="I142" s="255"/>
      <c r="J142" s="255"/>
      <c r="K142" s="255"/>
      <c r="L142" s="255"/>
      <c r="M142" s="255"/>
      <c r="N142" s="255"/>
      <c r="O142" s="255"/>
      <c r="P142" s="255"/>
      <c r="Q142" s="255"/>
      <c r="R142" s="255"/>
      <c r="S142" s="255"/>
      <c r="T142" s="255"/>
      <c r="U142" s="255"/>
      <c r="V142" s="255"/>
      <c r="W142" s="255"/>
      <c r="X142" s="255"/>
      <c r="Y142" s="255"/>
      <c r="Z142" s="255"/>
      <c r="AA142" s="255"/>
      <c r="AB142" s="255"/>
      <c r="AC142" s="255"/>
      <c r="AD142" s="255"/>
      <c r="AE142" s="255"/>
      <c r="AF142" s="256"/>
      <c r="AG142" s="265">
        <f t="shared" si="5"/>
        <v>104310</v>
      </c>
      <c r="AH142" s="44">
        <v>104310</v>
      </c>
    </row>
    <row r="143" spans="1:34" x14ac:dyDescent="0.35">
      <c r="A143" s="30" t="s">
        <v>281</v>
      </c>
      <c r="B143" s="255">
        <v>103814</v>
      </c>
      <c r="C143" s="255">
        <v>103814</v>
      </c>
      <c r="D143" s="255">
        <v>103814</v>
      </c>
      <c r="E143" s="255"/>
      <c r="F143" s="255"/>
      <c r="G143" s="255"/>
      <c r="H143" s="255"/>
      <c r="I143" s="255"/>
      <c r="J143" s="255"/>
      <c r="K143" s="255"/>
      <c r="L143" s="255"/>
      <c r="M143" s="255"/>
      <c r="N143" s="255"/>
      <c r="O143" s="255"/>
      <c r="P143" s="255"/>
      <c r="Q143" s="255"/>
      <c r="R143" s="255"/>
      <c r="S143" s="255"/>
      <c r="T143" s="255"/>
      <c r="U143" s="255"/>
      <c r="V143" s="255"/>
      <c r="W143" s="255"/>
      <c r="X143" s="255"/>
      <c r="Y143" s="255"/>
      <c r="Z143" s="255"/>
      <c r="AA143" s="255"/>
      <c r="AB143" s="255"/>
      <c r="AC143" s="255"/>
      <c r="AD143" s="255"/>
      <c r="AE143" s="255"/>
      <c r="AF143" s="256"/>
      <c r="AG143" s="265">
        <f t="shared" si="5"/>
        <v>103814</v>
      </c>
      <c r="AH143" s="44">
        <v>103814</v>
      </c>
    </row>
    <row r="144" spans="1:34" x14ac:dyDescent="0.35">
      <c r="A144" s="30" t="s">
        <v>282</v>
      </c>
      <c r="B144" s="255">
        <v>99556</v>
      </c>
      <c r="C144" s="255">
        <v>99556</v>
      </c>
      <c r="D144" s="255">
        <v>99556</v>
      </c>
      <c r="E144" s="255"/>
      <c r="F144" s="255"/>
      <c r="G144" s="255"/>
      <c r="H144" s="255"/>
      <c r="I144" s="255"/>
      <c r="J144" s="255"/>
      <c r="K144" s="255"/>
      <c r="L144" s="255"/>
      <c r="M144" s="255"/>
      <c r="N144" s="255"/>
      <c r="O144" s="255"/>
      <c r="P144" s="255"/>
      <c r="Q144" s="255"/>
      <c r="R144" s="255"/>
      <c r="S144" s="255"/>
      <c r="T144" s="255"/>
      <c r="U144" s="255"/>
      <c r="V144" s="255"/>
      <c r="W144" s="255"/>
      <c r="X144" s="255"/>
      <c r="Y144" s="255"/>
      <c r="Z144" s="255"/>
      <c r="AA144" s="255"/>
      <c r="AB144" s="255"/>
      <c r="AC144" s="255"/>
      <c r="AD144" s="255"/>
      <c r="AE144" s="255"/>
      <c r="AF144" s="256"/>
      <c r="AG144" s="265">
        <f t="shared" si="5"/>
        <v>99556</v>
      </c>
      <c r="AH144" s="44">
        <v>99556</v>
      </c>
    </row>
    <row r="145" spans="1:34" x14ac:dyDescent="0.35">
      <c r="A145" s="30" t="s">
        <v>283</v>
      </c>
      <c r="B145" s="258">
        <v>108367</v>
      </c>
      <c r="C145" s="258">
        <v>108367</v>
      </c>
      <c r="D145" s="258">
        <v>108367</v>
      </c>
      <c r="E145" s="258"/>
      <c r="F145" s="258"/>
      <c r="G145" s="258"/>
      <c r="H145" s="258"/>
      <c r="I145" s="258"/>
      <c r="J145" s="258"/>
      <c r="K145" s="258"/>
      <c r="L145" s="258"/>
      <c r="M145" s="258"/>
      <c r="N145" s="258"/>
      <c r="O145" s="258"/>
      <c r="P145" s="258"/>
      <c r="Q145" s="258"/>
      <c r="R145" s="258"/>
      <c r="S145" s="258"/>
      <c r="T145" s="258"/>
      <c r="U145" s="258"/>
      <c r="V145" s="258"/>
      <c r="W145" s="258"/>
      <c r="X145" s="258"/>
      <c r="Y145" s="258"/>
      <c r="Z145" s="258"/>
      <c r="AA145" s="258"/>
      <c r="AB145" s="258"/>
      <c r="AC145" s="258"/>
      <c r="AD145" s="258"/>
      <c r="AE145" s="258"/>
      <c r="AF145" s="256"/>
      <c r="AG145" s="265">
        <f t="shared" si="5"/>
        <v>108367</v>
      </c>
      <c r="AH145" s="44">
        <v>108367</v>
      </c>
    </row>
    <row r="146" spans="1:34" x14ac:dyDescent="0.35">
      <c r="A146" s="30" t="s">
        <v>284</v>
      </c>
      <c r="B146" s="258">
        <v>104201</v>
      </c>
      <c r="C146" s="258">
        <v>104201</v>
      </c>
      <c r="D146" s="258">
        <v>104201</v>
      </c>
      <c r="E146" s="258"/>
      <c r="F146" s="258"/>
      <c r="G146" s="258"/>
      <c r="H146" s="258"/>
      <c r="I146" s="258"/>
      <c r="J146" s="258"/>
      <c r="K146" s="258"/>
      <c r="L146" s="258"/>
      <c r="M146" s="258"/>
      <c r="N146" s="258"/>
      <c r="O146" s="258"/>
      <c r="P146" s="258"/>
      <c r="Q146" s="258"/>
      <c r="R146" s="258"/>
      <c r="S146" s="258"/>
      <c r="T146" s="258"/>
      <c r="U146" s="258"/>
      <c r="V146" s="258"/>
      <c r="W146" s="258"/>
      <c r="X146" s="258"/>
      <c r="Y146" s="258"/>
      <c r="Z146" s="258"/>
      <c r="AA146" s="258"/>
      <c r="AB146" s="258"/>
      <c r="AC146" s="258"/>
      <c r="AD146" s="258"/>
      <c r="AE146" s="258"/>
      <c r="AF146" s="256"/>
      <c r="AG146" s="265">
        <f t="shared" si="5"/>
        <v>104201</v>
      </c>
      <c r="AH146" s="44">
        <v>104201</v>
      </c>
    </row>
    <row r="147" spans="1:34" x14ac:dyDescent="0.35">
      <c r="A147" s="30" t="s">
        <v>286</v>
      </c>
      <c r="B147" s="258">
        <v>101772</v>
      </c>
      <c r="C147" s="258">
        <v>101772</v>
      </c>
      <c r="D147" s="258">
        <v>101772</v>
      </c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  <c r="AB147" s="258"/>
      <c r="AC147" s="258"/>
      <c r="AD147" s="258"/>
      <c r="AE147" s="258"/>
      <c r="AF147" s="256"/>
      <c r="AG147" s="265">
        <f t="shared" si="5"/>
        <v>101772</v>
      </c>
      <c r="AH147" s="44">
        <v>101772</v>
      </c>
    </row>
    <row r="148" spans="1:34" x14ac:dyDescent="0.35">
      <c r="A148" s="30" t="s">
        <v>287</v>
      </c>
      <c r="B148" s="258">
        <v>103788</v>
      </c>
      <c r="C148" s="258">
        <v>103788</v>
      </c>
      <c r="D148" s="258">
        <v>103788</v>
      </c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  <c r="AB148" s="258"/>
      <c r="AC148" s="258"/>
      <c r="AD148" s="258"/>
      <c r="AE148" s="258"/>
      <c r="AF148" s="256"/>
      <c r="AG148" s="265">
        <f t="shared" si="5"/>
        <v>103788</v>
      </c>
      <c r="AH148" s="44">
        <v>103788</v>
      </c>
    </row>
    <row r="149" spans="1:34" x14ac:dyDescent="0.35">
      <c r="A149" s="30" t="s">
        <v>288</v>
      </c>
      <c r="B149" s="258">
        <v>102657</v>
      </c>
      <c r="C149" s="258">
        <v>102657</v>
      </c>
      <c r="D149" s="258">
        <v>102657</v>
      </c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258"/>
      <c r="U149" s="258"/>
      <c r="V149" s="258"/>
      <c r="W149" s="258"/>
      <c r="X149" s="258"/>
      <c r="Y149" s="258"/>
      <c r="Z149" s="258"/>
      <c r="AA149" s="258"/>
      <c r="AB149" s="258"/>
      <c r="AC149" s="258"/>
      <c r="AD149" s="258"/>
      <c r="AE149" s="258"/>
      <c r="AF149" s="256"/>
      <c r="AG149" s="265">
        <f t="shared" si="5"/>
        <v>102657</v>
      </c>
      <c r="AH149" s="44">
        <v>102657</v>
      </c>
    </row>
    <row r="150" spans="1:34" x14ac:dyDescent="0.35">
      <c r="A150" s="30" t="s">
        <v>289</v>
      </c>
      <c r="B150" s="258">
        <v>107544</v>
      </c>
      <c r="C150" s="258">
        <v>107544</v>
      </c>
      <c r="D150" s="258">
        <v>107544</v>
      </c>
      <c r="E150" s="258"/>
      <c r="F150" s="258"/>
      <c r="G150" s="258"/>
      <c r="H150" s="258"/>
      <c r="I150" s="258"/>
      <c r="J150" s="258"/>
      <c r="K150" s="258"/>
      <c r="L150" s="258"/>
      <c r="M150" s="258"/>
      <c r="N150" s="258"/>
      <c r="O150" s="258"/>
      <c r="P150" s="258"/>
      <c r="Q150" s="258"/>
      <c r="R150" s="258"/>
      <c r="S150" s="258"/>
      <c r="T150" s="258"/>
      <c r="U150" s="258"/>
      <c r="V150" s="258"/>
      <c r="W150" s="258"/>
      <c r="X150" s="258"/>
      <c r="Y150" s="258"/>
      <c r="Z150" s="258"/>
      <c r="AA150" s="258"/>
      <c r="AB150" s="258"/>
      <c r="AC150" s="258"/>
      <c r="AD150" s="258"/>
      <c r="AE150" s="258"/>
      <c r="AF150" s="256"/>
      <c r="AG150" s="265">
        <f t="shared" si="5"/>
        <v>107544</v>
      </c>
      <c r="AH150" s="44">
        <v>107544</v>
      </c>
    </row>
    <row r="151" spans="1:34" x14ac:dyDescent="0.35">
      <c r="A151" s="30" t="s">
        <v>290</v>
      </c>
      <c r="B151" s="258">
        <v>102629</v>
      </c>
      <c r="C151" s="258">
        <v>102629</v>
      </c>
      <c r="D151" s="258">
        <v>102629</v>
      </c>
      <c r="E151" s="258"/>
      <c r="F151" s="258"/>
      <c r="G151" s="258"/>
      <c r="H151" s="258"/>
      <c r="I151" s="258"/>
      <c r="J151" s="258"/>
      <c r="K151" s="258"/>
      <c r="L151" s="258"/>
      <c r="M151" s="258"/>
      <c r="N151" s="258"/>
      <c r="O151" s="258"/>
      <c r="P151" s="258"/>
      <c r="Q151" s="258"/>
      <c r="R151" s="258"/>
      <c r="S151" s="258"/>
      <c r="T151" s="258"/>
      <c r="U151" s="258"/>
      <c r="V151" s="258"/>
      <c r="W151" s="258"/>
      <c r="X151" s="258"/>
      <c r="Y151" s="258"/>
      <c r="Z151" s="258"/>
      <c r="AA151" s="258"/>
      <c r="AB151" s="258"/>
      <c r="AC151" s="258"/>
      <c r="AD151" s="258"/>
      <c r="AE151" s="258"/>
      <c r="AF151" s="256"/>
      <c r="AG151" s="265">
        <f t="shared" si="5"/>
        <v>102629</v>
      </c>
      <c r="AH151" s="44">
        <v>102629</v>
      </c>
    </row>
    <row r="152" spans="1:34" x14ac:dyDescent="0.35">
      <c r="A152" s="30" t="s">
        <v>291</v>
      </c>
      <c r="B152" s="258">
        <v>101224</v>
      </c>
      <c r="C152" s="258">
        <v>101224</v>
      </c>
      <c r="D152" s="258">
        <v>101224</v>
      </c>
      <c r="E152" s="258"/>
      <c r="F152" s="258"/>
      <c r="G152" s="258"/>
      <c r="H152" s="258"/>
      <c r="I152" s="258"/>
      <c r="J152" s="258"/>
      <c r="K152" s="258"/>
      <c r="L152" s="258"/>
      <c r="M152" s="258"/>
      <c r="N152" s="258"/>
      <c r="O152" s="258"/>
      <c r="P152" s="258"/>
      <c r="Q152" s="258"/>
      <c r="R152" s="258"/>
      <c r="S152" s="258"/>
      <c r="T152" s="258"/>
      <c r="U152" s="258"/>
      <c r="V152" s="258"/>
      <c r="W152" s="258"/>
      <c r="X152" s="258"/>
      <c r="Y152" s="258"/>
      <c r="Z152" s="258"/>
      <c r="AA152" s="258"/>
      <c r="AB152" s="258"/>
      <c r="AC152" s="258"/>
      <c r="AD152" s="258"/>
      <c r="AE152" s="258"/>
      <c r="AF152" s="256"/>
      <c r="AG152" s="265">
        <f t="shared" si="5"/>
        <v>101224</v>
      </c>
      <c r="AH152" s="44">
        <v>101224</v>
      </c>
    </row>
    <row r="153" spans="1:34" x14ac:dyDescent="0.35">
      <c r="A153" s="30" t="s">
        <v>292</v>
      </c>
      <c r="B153" s="258">
        <v>106917</v>
      </c>
      <c r="C153" s="258">
        <v>106917</v>
      </c>
      <c r="D153" s="258">
        <v>106917</v>
      </c>
      <c r="E153" s="258"/>
      <c r="F153" s="258"/>
      <c r="G153" s="258"/>
      <c r="H153" s="258"/>
      <c r="I153" s="258"/>
      <c r="J153" s="258"/>
      <c r="K153" s="258"/>
      <c r="L153" s="258"/>
      <c r="M153" s="258"/>
      <c r="N153" s="258"/>
      <c r="O153" s="258"/>
      <c r="P153" s="258"/>
      <c r="Q153" s="258"/>
      <c r="R153" s="258"/>
      <c r="S153" s="258"/>
      <c r="T153" s="258"/>
      <c r="U153" s="258"/>
      <c r="V153" s="258"/>
      <c r="W153" s="258"/>
      <c r="X153" s="258"/>
      <c r="Y153" s="258"/>
      <c r="Z153" s="258"/>
      <c r="AA153" s="258"/>
      <c r="AB153" s="258"/>
      <c r="AC153" s="258"/>
      <c r="AD153" s="258"/>
      <c r="AE153" s="258"/>
      <c r="AF153" s="256"/>
      <c r="AG153" s="265">
        <f t="shared" si="5"/>
        <v>106917</v>
      </c>
      <c r="AH153" s="44">
        <v>106917</v>
      </c>
    </row>
    <row r="154" spans="1:34" x14ac:dyDescent="0.35">
      <c r="A154" s="30" t="s">
        <v>293</v>
      </c>
      <c r="B154" s="258">
        <v>106456</v>
      </c>
      <c r="C154" s="258">
        <v>106456</v>
      </c>
      <c r="D154" s="258">
        <v>106456</v>
      </c>
      <c r="E154" s="258"/>
      <c r="F154" s="258"/>
      <c r="G154" s="258"/>
      <c r="H154" s="258"/>
      <c r="I154" s="258"/>
      <c r="J154" s="258"/>
      <c r="K154" s="258"/>
      <c r="L154" s="258"/>
      <c r="M154" s="258"/>
      <c r="N154" s="258"/>
      <c r="O154" s="258"/>
      <c r="P154" s="258"/>
      <c r="Q154" s="258"/>
      <c r="R154" s="258"/>
      <c r="S154" s="258"/>
      <c r="T154" s="258"/>
      <c r="U154" s="258"/>
      <c r="V154" s="258"/>
      <c r="W154" s="258"/>
      <c r="X154" s="258"/>
      <c r="Y154" s="258"/>
      <c r="Z154" s="258"/>
      <c r="AA154" s="258"/>
      <c r="AB154" s="258"/>
      <c r="AC154" s="258"/>
      <c r="AD154" s="258"/>
      <c r="AE154" s="258"/>
      <c r="AF154" s="256"/>
      <c r="AG154" s="265">
        <f t="shared" si="5"/>
        <v>106456</v>
      </c>
      <c r="AH154" s="44">
        <v>106456</v>
      </c>
    </row>
    <row r="155" spans="1:34" x14ac:dyDescent="0.35">
      <c r="A155" s="30" t="s">
        <v>294</v>
      </c>
      <c r="B155" s="258">
        <v>98527</v>
      </c>
      <c r="C155" s="258">
        <v>98527</v>
      </c>
      <c r="D155" s="258">
        <v>98527</v>
      </c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  <c r="AB155" s="258"/>
      <c r="AC155" s="258"/>
      <c r="AD155" s="258"/>
      <c r="AE155" s="258"/>
      <c r="AF155" s="256"/>
      <c r="AG155" s="265">
        <f t="shared" si="5"/>
        <v>98527</v>
      </c>
      <c r="AH155" s="44">
        <v>98527</v>
      </c>
    </row>
    <row r="156" spans="1:34" x14ac:dyDescent="0.35">
      <c r="A156" s="30" t="s">
        <v>295</v>
      </c>
      <c r="B156" s="258">
        <v>101532</v>
      </c>
      <c r="C156" s="258">
        <v>101532</v>
      </c>
      <c r="D156" s="258">
        <v>101532</v>
      </c>
      <c r="E156" s="258"/>
      <c r="F156" s="258"/>
      <c r="G156" s="258"/>
      <c r="H156" s="258"/>
      <c r="I156" s="258"/>
      <c r="J156" s="258"/>
      <c r="K156" s="258"/>
      <c r="L156" s="258"/>
      <c r="M156" s="258"/>
      <c r="N156" s="258"/>
      <c r="O156" s="258"/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  <c r="AB156" s="258"/>
      <c r="AC156" s="258"/>
      <c r="AD156" s="258"/>
      <c r="AE156" s="258"/>
      <c r="AF156" s="256"/>
      <c r="AG156" s="265">
        <f t="shared" si="5"/>
        <v>101532</v>
      </c>
      <c r="AH156" s="44">
        <v>101532</v>
      </c>
    </row>
    <row r="157" spans="1:34" x14ac:dyDescent="0.35">
      <c r="A157" s="30" t="s">
        <v>296</v>
      </c>
      <c r="B157" s="258">
        <v>100761</v>
      </c>
      <c r="C157" s="258">
        <v>100761</v>
      </c>
      <c r="D157" s="258">
        <v>100761</v>
      </c>
      <c r="E157" s="258"/>
      <c r="F157" s="258"/>
      <c r="G157" s="258"/>
      <c r="H157" s="258"/>
      <c r="I157" s="258"/>
      <c r="J157" s="258"/>
      <c r="K157" s="258"/>
      <c r="L157" s="258"/>
      <c r="M157" s="258"/>
      <c r="N157" s="258"/>
      <c r="O157" s="258"/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  <c r="AB157" s="258"/>
      <c r="AC157" s="258"/>
      <c r="AD157" s="258"/>
      <c r="AE157" s="258"/>
      <c r="AF157" s="256"/>
      <c r="AG157" s="265">
        <f t="shared" si="5"/>
        <v>100761</v>
      </c>
      <c r="AH157" s="44">
        <v>100761</v>
      </c>
    </row>
    <row r="158" spans="1:34" x14ac:dyDescent="0.35">
      <c r="A158" s="30" t="s">
        <v>298</v>
      </c>
      <c r="B158" s="258">
        <v>73007</v>
      </c>
      <c r="C158" s="258">
        <v>73007</v>
      </c>
      <c r="D158" s="258">
        <v>73007</v>
      </c>
      <c r="E158" s="258"/>
      <c r="F158" s="258"/>
      <c r="G158" s="258"/>
      <c r="H158" s="258"/>
      <c r="I158" s="258"/>
      <c r="J158" s="258"/>
      <c r="K158" s="258"/>
      <c r="L158" s="258"/>
      <c r="M158" s="258"/>
      <c r="N158" s="258"/>
      <c r="O158" s="258"/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  <c r="AB158" s="258"/>
      <c r="AC158" s="258"/>
      <c r="AD158" s="258"/>
      <c r="AE158" s="258"/>
      <c r="AF158" s="256"/>
      <c r="AG158" s="265">
        <f t="shared" si="5"/>
        <v>73007</v>
      </c>
      <c r="AH158" s="44">
        <v>73007</v>
      </c>
    </row>
    <row r="159" spans="1:34" x14ac:dyDescent="0.35">
      <c r="A159" s="30" t="s">
        <v>299</v>
      </c>
      <c r="B159" s="258">
        <v>97371</v>
      </c>
      <c r="C159" s="258">
        <v>97371</v>
      </c>
      <c r="D159" s="258">
        <v>97371</v>
      </c>
      <c r="E159" s="258"/>
      <c r="F159" s="258"/>
      <c r="G159" s="258"/>
      <c r="H159" s="258"/>
      <c r="I159" s="258"/>
      <c r="J159" s="258"/>
      <c r="K159" s="258"/>
      <c r="L159" s="258"/>
      <c r="M159" s="258"/>
      <c r="N159" s="258"/>
      <c r="O159" s="258"/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  <c r="AB159" s="258"/>
      <c r="AC159" s="258"/>
      <c r="AD159" s="258"/>
      <c r="AE159" s="258"/>
      <c r="AF159" s="256"/>
      <c r="AG159" s="265">
        <f t="shared" si="5"/>
        <v>97371</v>
      </c>
      <c r="AH159" s="44">
        <v>97371</v>
      </c>
    </row>
    <row r="160" spans="1:34" x14ac:dyDescent="0.35">
      <c r="A160" s="30" t="s">
        <v>300</v>
      </c>
      <c r="B160" s="258">
        <v>84140</v>
      </c>
      <c r="C160" s="258">
        <v>84140</v>
      </c>
      <c r="D160" s="258">
        <v>84140</v>
      </c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  <c r="AB160" s="258"/>
      <c r="AC160" s="258"/>
      <c r="AD160" s="258"/>
      <c r="AE160" s="258"/>
      <c r="AF160" s="256"/>
      <c r="AG160" s="265">
        <f t="shared" si="5"/>
        <v>84140</v>
      </c>
      <c r="AH160" s="44">
        <v>84140</v>
      </c>
    </row>
    <row r="161" spans="1:34" x14ac:dyDescent="0.35">
      <c r="A161" s="30" t="s">
        <v>301</v>
      </c>
      <c r="B161" s="258">
        <v>93607</v>
      </c>
      <c r="C161" s="258">
        <v>93607</v>
      </c>
      <c r="D161" s="258">
        <v>93607</v>
      </c>
      <c r="E161" s="258"/>
      <c r="F161" s="258"/>
      <c r="G161" s="258"/>
      <c r="H161" s="258"/>
      <c r="I161" s="258"/>
      <c r="J161" s="258"/>
      <c r="K161" s="258"/>
      <c r="L161" s="258"/>
      <c r="M161" s="258"/>
      <c r="N161" s="258"/>
      <c r="O161" s="258"/>
      <c r="P161" s="258"/>
      <c r="Q161" s="258"/>
      <c r="R161" s="258"/>
      <c r="S161" s="258"/>
      <c r="T161" s="258"/>
      <c r="U161" s="258"/>
      <c r="V161" s="258"/>
      <c r="W161" s="258"/>
      <c r="X161" s="258"/>
      <c r="Y161" s="258"/>
      <c r="Z161" s="258"/>
      <c r="AA161" s="258"/>
      <c r="AB161" s="258"/>
      <c r="AC161" s="258"/>
      <c r="AD161" s="258"/>
      <c r="AE161" s="258"/>
      <c r="AF161" s="256"/>
      <c r="AG161" s="265">
        <f t="shared" si="5"/>
        <v>93607</v>
      </c>
      <c r="AH161" s="44">
        <v>93607</v>
      </c>
    </row>
    <row r="162" spans="1:34" x14ac:dyDescent="0.35">
      <c r="A162" s="30" t="s">
        <v>302</v>
      </c>
      <c r="B162" s="259">
        <v>0</v>
      </c>
      <c r="C162" s="255">
        <v>0</v>
      </c>
      <c r="D162" s="255">
        <v>0</v>
      </c>
      <c r="E162" s="255"/>
      <c r="F162" s="255"/>
      <c r="G162" s="255"/>
      <c r="H162" s="255"/>
      <c r="I162" s="255"/>
      <c r="J162" s="255"/>
      <c r="K162" s="255"/>
      <c r="L162" s="255"/>
      <c r="M162" s="255"/>
      <c r="N162" s="255"/>
      <c r="O162" s="255"/>
      <c r="P162" s="255"/>
      <c r="Q162" s="255"/>
      <c r="R162" s="255"/>
      <c r="S162" s="255"/>
      <c r="T162" s="255"/>
      <c r="U162" s="255"/>
      <c r="V162" s="255"/>
      <c r="W162" s="255"/>
      <c r="X162" s="255"/>
      <c r="Y162" s="255"/>
      <c r="Z162" s="255"/>
      <c r="AA162" s="255"/>
      <c r="AB162" s="255"/>
      <c r="AC162" s="255"/>
      <c r="AD162" s="255"/>
      <c r="AE162" s="255"/>
      <c r="AF162" s="256"/>
      <c r="AG162" s="265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60">
        <v>0</v>
      </c>
      <c r="C163" s="261">
        <v>0</v>
      </c>
      <c r="D163" s="261">
        <v>0</v>
      </c>
      <c r="E163" s="261"/>
      <c r="F163" s="261"/>
      <c r="G163" s="261"/>
      <c r="H163" s="261"/>
      <c r="I163" s="261"/>
      <c r="J163" s="261"/>
      <c r="K163" s="261"/>
      <c r="L163" s="261"/>
      <c r="M163" s="261"/>
      <c r="N163" s="261"/>
      <c r="O163" s="261"/>
      <c r="P163" s="261"/>
      <c r="Q163" s="261"/>
      <c r="R163" s="261"/>
      <c r="S163" s="261"/>
      <c r="T163" s="261"/>
      <c r="U163" s="261"/>
      <c r="V163" s="261"/>
      <c r="W163" s="261"/>
      <c r="X163" s="261"/>
      <c r="Y163" s="261"/>
      <c r="Z163" s="261"/>
      <c r="AA163" s="261"/>
      <c r="AB163" s="261"/>
      <c r="AC163" s="261"/>
      <c r="AD163" s="261"/>
      <c r="AE163" s="261"/>
      <c r="AF163" s="262"/>
      <c r="AG163" s="266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A6140-42E2-49A2-90FD-C53E2AF8EA23}">
  <sheetPr codeName="Hoja12"/>
  <dimension ref="A1:AH163"/>
  <sheetViews>
    <sheetView showGridLines="0" zoomScale="70" zoomScaleNormal="70" workbookViewId="0">
      <pane xSplit="1" ySplit="3" topLeftCell="O4" activePane="bottomRight" state="frozen"/>
      <selection pane="topRight" activeCell="B1" sqref="B1"/>
      <selection pane="bottomLeft" activeCell="A4" sqref="A4"/>
      <selection pane="bottomRight" activeCell="AE80" sqref="AE80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>
        <v>45536</v>
      </c>
      <c r="B1" s="6" t="s">
        <v>0</v>
      </c>
      <c r="G1" s="39"/>
      <c r="L1" s="39"/>
      <c r="T1" s="39"/>
      <c r="AF1" s="39"/>
      <c r="AG1" s="39"/>
    </row>
    <row r="2" spans="1:34" ht="15" thickBot="1" x14ac:dyDescent="0.4">
      <c r="O2" s="39"/>
      <c r="AF2" s="39"/>
      <c r="AG2" s="39"/>
    </row>
    <row r="3" spans="1:34" ht="15" thickBot="1" x14ac:dyDescent="0.4">
      <c r="A3" s="17" t="s">
        <v>270</v>
      </c>
      <c r="B3" s="45">
        <v>45536</v>
      </c>
      <c r="C3" s="46">
        <v>45537</v>
      </c>
      <c r="D3" s="46">
        <v>45538</v>
      </c>
      <c r="E3" s="46">
        <v>45539</v>
      </c>
      <c r="F3" s="46">
        <v>45540</v>
      </c>
      <c r="G3" s="46">
        <v>45541</v>
      </c>
      <c r="H3" s="46">
        <v>45542</v>
      </c>
      <c r="I3" s="46">
        <v>45543</v>
      </c>
      <c r="J3" s="46">
        <v>45544</v>
      </c>
      <c r="K3" s="46">
        <v>45545</v>
      </c>
      <c r="L3" s="46">
        <v>45546</v>
      </c>
      <c r="M3" s="46">
        <v>45547</v>
      </c>
      <c r="N3" s="46">
        <v>45548</v>
      </c>
      <c r="O3" s="46">
        <v>45549</v>
      </c>
      <c r="P3" s="46">
        <v>45550</v>
      </c>
      <c r="Q3" s="46">
        <v>45551</v>
      </c>
      <c r="R3" s="46">
        <v>45552</v>
      </c>
      <c r="S3" s="46">
        <v>45553</v>
      </c>
      <c r="T3" s="46">
        <v>45554</v>
      </c>
      <c r="U3" s="46">
        <v>45555</v>
      </c>
      <c r="V3" s="46">
        <v>45556</v>
      </c>
      <c r="W3" s="46">
        <v>45557</v>
      </c>
      <c r="X3" s="46">
        <v>45558</v>
      </c>
      <c r="Y3" s="46">
        <v>45559</v>
      </c>
      <c r="Z3" s="46">
        <v>45560</v>
      </c>
      <c r="AA3" s="46">
        <v>45561</v>
      </c>
      <c r="AB3" s="46">
        <v>45562</v>
      </c>
      <c r="AC3" s="46">
        <v>45563</v>
      </c>
      <c r="AD3" s="46">
        <v>45564</v>
      </c>
      <c r="AE3" s="46">
        <v>45565</v>
      </c>
      <c r="AF3" s="48"/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220">
        <v>82955.410000000207</v>
      </c>
      <c r="C4" s="221">
        <v>82977.040000000212</v>
      </c>
      <c r="D4" s="221">
        <v>82990.470000000205</v>
      </c>
      <c r="E4" s="221">
        <v>83007.490000000209</v>
      </c>
      <c r="F4" s="221">
        <v>83025.980000000214</v>
      </c>
      <c r="G4" s="221">
        <v>83046.950000000215</v>
      </c>
      <c r="H4" s="221">
        <v>83066.110000000219</v>
      </c>
      <c r="I4" s="221">
        <v>83087.000000000218</v>
      </c>
      <c r="J4" s="221">
        <v>83108.300000000221</v>
      </c>
      <c r="K4" s="221">
        <v>83129.740000000224</v>
      </c>
      <c r="L4" s="221">
        <v>83146.660000000222</v>
      </c>
      <c r="M4" s="221">
        <v>83160.530000000217</v>
      </c>
      <c r="N4" s="221">
        <v>83182.110000000219</v>
      </c>
      <c r="O4" s="221">
        <v>83203.700000000215</v>
      </c>
      <c r="P4" s="221">
        <v>83224.170000000217</v>
      </c>
      <c r="Q4" s="221">
        <v>83239.53</v>
      </c>
      <c r="R4" s="221">
        <v>83259.94</v>
      </c>
      <c r="S4" s="221">
        <v>83276.320000000007</v>
      </c>
      <c r="T4" s="221">
        <v>83283.47</v>
      </c>
      <c r="U4" s="221">
        <v>83283.47</v>
      </c>
      <c r="V4" s="221">
        <v>83283.47</v>
      </c>
      <c r="W4" s="221">
        <v>83287.47</v>
      </c>
      <c r="X4" s="221">
        <v>83306.720000000001</v>
      </c>
      <c r="Y4" s="221">
        <v>83325.279999999999</v>
      </c>
      <c r="Z4" s="64">
        <v>83343.350000000006</v>
      </c>
      <c r="AA4" s="221">
        <v>83364.789999999994</v>
      </c>
      <c r="AB4" s="221">
        <v>83386.23</v>
      </c>
      <c r="AC4" s="221">
        <v>83407.73</v>
      </c>
      <c r="AD4" s="221">
        <v>83428.95</v>
      </c>
      <c r="AE4" s="221">
        <v>83450.19</v>
      </c>
      <c r="AF4" s="222"/>
      <c r="AG4" s="51">
        <f t="shared" ref="AG4:AG35" si="0">MAX(B4:AF4)</f>
        <v>83450.19</v>
      </c>
      <c r="AH4" s="44">
        <v>82936.820000000007</v>
      </c>
    </row>
    <row r="5" spans="1:34" x14ac:dyDescent="0.35">
      <c r="A5" s="33" t="s">
        <v>11</v>
      </c>
      <c r="B5" s="223">
        <v>82848.230000000302</v>
      </c>
      <c r="C5" s="64">
        <v>82853.230000000302</v>
      </c>
      <c r="D5" s="64">
        <v>82853.230000000302</v>
      </c>
      <c r="E5" s="64">
        <v>82853.230000000302</v>
      </c>
      <c r="F5" s="64">
        <v>82853.230000000302</v>
      </c>
      <c r="G5" s="64">
        <v>82853.230000000302</v>
      </c>
      <c r="H5" s="64">
        <v>82853.230000000302</v>
      </c>
      <c r="I5" s="64">
        <v>82853.230000000302</v>
      </c>
      <c r="J5" s="64">
        <v>82853.230000000302</v>
      </c>
      <c r="K5" s="64">
        <v>82853.230000000302</v>
      </c>
      <c r="L5" s="64">
        <v>82853.230000000302</v>
      </c>
      <c r="M5" s="64">
        <v>82853.230000000302</v>
      </c>
      <c r="N5" s="64">
        <v>82857.390000000305</v>
      </c>
      <c r="O5" s="64">
        <v>82869.690000000308</v>
      </c>
      <c r="P5" s="64">
        <v>82883.200000000303</v>
      </c>
      <c r="Q5" s="64">
        <v>82900.58</v>
      </c>
      <c r="R5" s="64">
        <v>82913.56</v>
      </c>
      <c r="S5" s="64">
        <v>82913.56</v>
      </c>
      <c r="T5" s="64">
        <v>82930.97</v>
      </c>
      <c r="U5" s="64">
        <v>82947.710000000006</v>
      </c>
      <c r="V5" s="64">
        <v>82964.45</v>
      </c>
      <c r="W5" s="64">
        <v>82985.429999999993</v>
      </c>
      <c r="X5" s="64">
        <v>82986.47</v>
      </c>
      <c r="Y5" s="64">
        <v>82996.52</v>
      </c>
      <c r="Z5">
        <v>83009.509999999995</v>
      </c>
      <c r="AA5" s="64">
        <v>83031.199999999997</v>
      </c>
      <c r="AB5" s="64">
        <v>83052.89</v>
      </c>
      <c r="AC5" s="64">
        <v>83068.39</v>
      </c>
      <c r="AD5" s="64">
        <v>83080.570000000007</v>
      </c>
      <c r="AE5" s="64">
        <v>83100.69</v>
      </c>
      <c r="AF5" s="224"/>
      <c r="AG5" s="51">
        <f t="shared" si="0"/>
        <v>83100.69</v>
      </c>
      <c r="AH5" s="44">
        <v>82848.23</v>
      </c>
    </row>
    <row r="6" spans="1:34" x14ac:dyDescent="0.35">
      <c r="A6" s="33" t="s">
        <v>12</v>
      </c>
      <c r="B6" s="223">
        <v>83426.249999999898</v>
      </c>
      <c r="C6" s="64">
        <v>83447.659999999902</v>
      </c>
      <c r="D6" s="64">
        <v>83463.519999999902</v>
      </c>
      <c r="E6" s="64">
        <v>83484.779999999897</v>
      </c>
      <c r="F6" s="64">
        <v>83506.009999999893</v>
      </c>
      <c r="G6" s="64">
        <v>83528.059999999896</v>
      </c>
      <c r="H6" s="64">
        <v>83545.5799999999</v>
      </c>
      <c r="I6" s="64">
        <v>83561.249999999898</v>
      </c>
      <c r="J6" s="64">
        <v>83581.739999999903</v>
      </c>
      <c r="K6" s="64">
        <v>83603.289999999906</v>
      </c>
      <c r="L6" s="64">
        <v>83625.049999999901</v>
      </c>
      <c r="M6" s="64">
        <v>83646.029999999897</v>
      </c>
      <c r="N6" s="64">
        <v>83667.409999999902</v>
      </c>
      <c r="O6" s="64">
        <v>83689.009999999907</v>
      </c>
      <c r="P6" s="64">
        <v>83710.80999999991</v>
      </c>
      <c r="Q6" s="64">
        <v>83732.509999999995</v>
      </c>
      <c r="R6" s="64">
        <v>83753.75</v>
      </c>
      <c r="S6" s="64">
        <v>83774.98</v>
      </c>
      <c r="T6" s="64">
        <v>83794.679999999993</v>
      </c>
      <c r="U6" s="64">
        <v>83816.03</v>
      </c>
      <c r="V6" s="64">
        <v>83837.38</v>
      </c>
      <c r="W6" s="64">
        <v>83850.34</v>
      </c>
      <c r="X6" s="64">
        <v>83866.13</v>
      </c>
      <c r="Y6" s="64">
        <v>83887.42</v>
      </c>
      <c r="Z6" s="64">
        <v>83908.11</v>
      </c>
      <c r="AA6" s="64">
        <v>83928.9</v>
      </c>
      <c r="AB6" s="64">
        <v>83949.69</v>
      </c>
      <c r="AC6" s="64">
        <v>83965.46</v>
      </c>
      <c r="AD6" s="64">
        <v>83987.77</v>
      </c>
      <c r="AE6" s="64">
        <v>84009.46</v>
      </c>
      <c r="AF6" s="224"/>
      <c r="AG6" s="51">
        <f t="shared" si="0"/>
        <v>84009.46</v>
      </c>
      <c r="AH6" s="44">
        <v>83405.210000000006</v>
      </c>
    </row>
    <row r="7" spans="1:34" x14ac:dyDescent="0.35">
      <c r="A7" s="33" t="s">
        <v>13</v>
      </c>
      <c r="B7" s="223">
        <v>83985.319999999963</v>
      </c>
      <c r="C7" s="64">
        <v>84006.63999999997</v>
      </c>
      <c r="D7" s="64">
        <v>84027.949999999968</v>
      </c>
      <c r="E7" s="64">
        <v>84049.159999999974</v>
      </c>
      <c r="F7" s="64">
        <v>84068.949999999968</v>
      </c>
      <c r="G7" s="64">
        <v>84090.329999999973</v>
      </c>
      <c r="H7" s="64">
        <v>84102.709999999977</v>
      </c>
      <c r="I7" s="64">
        <v>84124.219999999972</v>
      </c>
      <c r="J7" s="64">
        <v>84145.63999999997</v>
      </c>
      <c r="K7" s="64">
        <v>84154.599999999977</v>
      </c>
      <c r="L7" s="64">
        <v>84175.339999999982</v>
      </c>
      <c r="M7" s="64">
        <v>84196.879999999976</v>
      </c>
      <c r="N7" s="64">
        <v>84218.289999999979</v>
      </c>
      <c r="O7" s="64">
        <v>84239.379999999976</v>
      </c>
      <c r="P7" s="64">
        <v>84258.89999999998</v>
      </c>
      <c r="Q7" s="64">
        <v>84280.53</v>
      </c>
      <c r="R7" s="64">
        <v>84298.33</v>
      </c>
      <c r="S7" s="64">
        <v>84303.72</v>
      </c>
      <c r="T7" s="64">
        <v>84324.14</v>
      </c>
      <c r="U7" s="64">
        <v>84338.84</v>
      </c>
      <c r="V7" s="64">
        <v>84353.54</v>
      </c>
      <c r="W7" s="64">
        <v>84373.98</v>
      </c>
      <c r="X7" s="64">
        <v>84395.85</v>
      </c>
      <c r="Y7" s="64">
        <v>84402.18</v>
      </c>
      <c r="Z7" s="64">
        <v>84422.14</v>
      </c>
      <c r="AA7" s="64">
        <v>84432.5</v>
      </c>
      <c r="AB7" s="64">
        <v>84442.86</v>
      </c>
      <c r="AC7" s="64">
        <v>84464</v>
      </c>
      <c r="AD7" s="64">
        <v>84469.2</v>
      </c>
      <c r="AE7" s="64">
        <v>84489.94</v>
      </c>
      <c r="AF7" s="224"/>
      <c r="AG7" s="51">
        <f t="shared" si="0"/>
        <v>84489.94</v>
      </c>
      <c r="AH7" s="44">
        <v>83963.88</v>
      </c>
    </row>
    <row r="8" spans="1:34" x14ac:dyDescent="0.35">
      <c r="A8" s="33" t="s">
        <v>14</v>
      </c>
      <c r="B8" s="223">
        <v>79218.360000000044</v>
      </c>
      <c r="C8" s="64">
        <v>79238.870000000039</v>
      </c>
      <c r="D8" s="64">
        <v>79261.060000000041</v>
      </c>
      <c r="E8" s="64">
        <v>79280.880000000048</v>
      </c>
      <c r="F8" s="64">
        <v>79298.840000000055</v>
      </c>
      <c r="G8" s="64">
        <v>79318.240000000049</v>
      </c>
      <c r="H8" s="64">
        <v>79339.100000000049</v>
      </c>
      <c r="I8" s="64">
        <v>79360.310000000056</v>
      </c>
      <c r="J8" s="64">
        <v>79381.360000000059</v>
      </c>
      <c r="K8" s="64">
        <v>79398.410000000062</v>
      </c>
      <c r="L8" s="64">
        <v>79419.780000000057</v>
      </c>
      <c r="M8" s="64">
        <v>79440.130000000063</v>
      </c>
      <c r="N8" s="64">
        <v>79457.860000000059</v>
      </c>
      <c r="O8" s="64">
        <v>79478.180000000066</v>
      </c>
      <c r="P8" s="64">
        <v>79499.08000000006</v>
      </c>
      <c r="Q8" s="64">
        <v>79514.37</v>
      </c>
      <c r="R8" s="64">
        <v>79531.69</v>
      </c>
      <c r="S8" s="64">
        <v>79531.69</v>
      </c>
      <c r="T8" s="64">
        <v>79533.320000000007</v>
      </c>
      <c r="U8" s="64">
        <v>79553.820000000007</v>
      </c>
      <c r="V8" s="64">
        <v>79574.320000000007</v>
      </c>
      <c r="W8" s="64">
        <v>79582.14</v>
      </c>
      <c r="X8" s="64">
        <v>79594.320000000007</v>
      </c>
      <c r="Y8" s="64">
        <v>79606.28</v>
      </c>
      <c r="Z8" s="64">
        <v>79627.72</v>
      </c>
      <c r="AA8" s="64">
        <v>79648.62</v>
      </c>
      <c r="AB8" s="64">
        <v>79669.52</v>
      </c>
      <c r="AC8" s="64">
        <v>79690.429999999993</v>
      </c>
      <c r="AD8" s="64">
        <v>79711.88</v>
      </c>
      <c r="AE8" s="64">
        <v>79724.13</v>
      </c>
      <c r="AF8" s="224"/>
      <c r="AG8" s="51">
        <f t="shared" si="0"/>
        <v>79724.13</v>
      </c>
      <c r="AH8" s="44">
        <v>79205.98</v>
      </c>
    </row>
    <row r="9" spans="1:34" x14ac:dyDescent="0.35">
      <c r="A9" s="33" t="s">
        <v>15</v>
      </c>
      <c r="B9" s="223">
        <v>81157.61</v>
      </c>
      <c r="C9" s="64">
        <v>81175.100000000006</v>
      </c>
      <c r="D9" s="64">
        <v>81196.48000000001</v>
      </c>
      <c r="E9" s="64">
        <v>81217.800000000017</v>
      </c>
      <c r="F9" s="64">
        <v>81239.210000000021</v>
      </c>
      <c r="G9" s="64">
        <v>81260.520000000019</v>
      </c>
      <c r="H9" s="64">
        <v>81281.960000000021</v>
      </c>
      <c r="I9" s="64">
        <v>81303.330000000016</v>
      </c>
      <c r="J9" s="64">
        <v>81325.210000000021</v>
      </c>
      <c r="K9" s="64">
        <v>81341.230000000025</v>
      </c>
      <c r="L9" s="64">
        <v>81356.310000000027</v>
      </c>
      <c r="M9" s="64">
        <v>81373.920000000027</v>
      </c>
      <c r="N9" s="64">
        <v>81390.280000000028</v>
      </c>
      <c r="O9" s="64">
        <v>81390.280000000028</v>
      </c>
      <c r="P9" s="64">
        <v>81395.010000000024</v>
      </c>
      <c r="Q9" s="64">
        <v>81415.520000000004</v>
      </c>
      <c r="R9" s="64">
        <v>81435.850000000006</v>
      </c>
      <c r="S9" s="64">
        <v>81455.92</v>
      </c>
      <c r="T9" s="64">
        <v>81477.259999999995</v>
      </c>
      <c r="U9" s="64">
        <v>81498.63</v>
      </c>
      <c r="V9" s="64">
        <v>81520</v>
      </c>
      <c r="W9" s="64">
        <v>81537.850000000006</v>
      </c>
      <c r="X9" s="64">
        <v>81558.740000000005</v>
      </c>
      <c r="Y9" s="64">
        <v>81569.64</v>
      </c>
      <c r="Z9" s="64">
        <v>81591.070000000007</v>
      </c>
      <c r="AA9" s="64">
        <v>81612.5</v>
      </c>
      <c r="AB9" s="64">
        <v>81633.929999999993</v>
      </c>
      <c r="AC9" s="64">
        <v>81645.23</v>
      </c>
      <c r="AD9" s="64">
        <v>81666.3</v>
      </c>
      <c r="AE9" s="64">
        <v>81680.83</v>
      </c>
      <c r="AF9" s="224"/>
      <c r="AG9" s="51">
        <f t="shared" si="0"/>
        <v>81680.83</v>
      </c>
      <c r="AH9" s="44">
        <v>81137.850000000006</v>
      </c>
    </row>
    <row r="10" spans="1:34" x14ac:dyDescent="0.35">
      <c r="A10" s="33" t="s">
        <v>16</v>
      </c>
      <c r="B10" s="223">
        <v>80907.170000000056</v>
      </c>
      <c r="C10" s="64">
        <v>80913.260000000053</v>
      </c>
      <c r="D10" s="64">
        <v>80913.260000000053</v>
      </c>
      <c r="E10" s="64">
        <v>80915.490000000049</v>
      </c>
      <c r="F10" s="64">
        <v>80934.740000000049</v>
      </c>
      <c r="G10" s="64">
        <v>80956.660000000047</v>
      </c>
      <c r="H10" s="64">
        <v>80977.730000000054</v>
      </c>
      <c r="I10" s="64">
        <v>80994.800000000061</v>
      </c>
      <c r="J10" s="64">
        <v>80994.800000000061</v>
      </c>
      <c r="K10" s="64">
        <v>80994.800000000061</v>
      </c>
      <c r="L10" s="64">
        <v>80994.800000000061</v>
      </c>
      <c r="M10" s="64">
        <v>80994.800000000061</v>
      </c>
      <c r="N10" s="64">
        <v>81001.83000000006</v>
      </c>
      <c r="O10" s="64">
        <v>81022.680000000066</v>
      </c>
      <c r="P10" s="64">
        <v>81044.070000000065</v>
      </c>
      <c r="Q10" s="64">
        <v>81065.95</v>
      </c>
      <c r="R10" s="64">
        <v>81087.41</v>
      </c>
      <c r="S10" s="64">
        <v>81104.25</v>
      </c>
      <c r="T10" s="64">
        <v>81121.27</v>
      </c>
      <c r="U10" s="64">
        <v>81140.52</v>
      </c>
      <c r="V10" s="64">
        <v>81159.77</v>
      </c>
      <c r="W10" s="64">
        <v>81180.63</v>
      </c>
      <c r="X10" s="64">
        <v>81201.149999999994</v>
      </c>
      <c r="Y10" s="64">
        <v>81222.64</v>
      </c>
      <c r="Z10" s="64">
        <v>81241.95</v>
      </c>
      <c r="AA10" s="64">
        <v>81258.22</v>
      </c>
      <c r="AB10" s="64">
        <v>81274.490000000005</v>
      </c>
      <c r="AC10" s="64">
        <v>81295.48</v>
      </c>
      <c r="AD10" s="64">
        <v>81307.48</v>
      </c>
      <c r="AE10" s="64">
        <v>81324.399999999994</v>
      </c>
      <c r="AF10" s="224"/>
      <c r="AG10" s="51">
        <f t="shared" si="0"/>
        <v>81324.399999999994</v>
      </c>
      <c r="AH10" s="44">
        <v>80887.520000000004</v>
      </c>
    </row>
    <row r="11" spans="1:34" x14ac:dyDescent="0.35">
      <c r="A11" s="33" t="s">
        <v>17</v>
      </c>
      <c r="B11" s="223">
        <v>78850.990000000485</v>
      </c>
      <c r="C11" s="64">
        <v>78863.450000000492</v>
      </c>
      <c r="D11" s="64">
        <v>78883.860000000495</v>
      </c>
      <c r="E11" s="64">
        <v>78896.970000000496</v>
      </c>
      <c r="F11" s="64">
        <v>78917.250000000495</v>
      </c>
      <c r="G11" s="64">
        <v>78933.800000000498</v>
      </c>
      <c r="H11" s="64">
        <v>78944.470000000496</v>
      </c>
      <c r="I11" s="64">
        <v>78965.820000000502</v>
      </c>
      <c r="J11" s="64">
        <v>78982.840000000506</v>
      </c>
      <c r="K11" s="64">
        <v>79003.710000000501</v>
      </c>
      <c r="L11" s="64">
        <v>79020.520000000499</v>
      </c>
      <c r="M11" s="64">
        <v>79037.020000000499</v>
      </c>
      <c r="N11" s="64">
        <v>79058.180000000502</v>
      </c>
      <c r="O11" s="64">
        <v>79063.170000000508</v>
      </c>
      <c r="P11" s="64">
        <v>79083.050000000512</v>
      </c>
      <c r="Q11" s="64">
        <v>79089.899999999994</v>
      </c>
      <c r="R11" s="64">
        <v>79111.58</v>
      </c>
      <c r="S11" s="64">
        <v>79132.67</v>
      </c>
      <c r="T11" s="64">
        <v>79150.05</v>
      </c>
      <c r="U11" s="64">
        <v>79164.160000000003</v>
      </c>
      <c r="V11" s="64">
        <v>79178.27</v>
      </c>
      <c r="W11" s="64">
        <v>79198.429999999993</v>
      </c>
      <c r="X11" s="64">
        <v>79218.48</v>
      </c>
      <c r="Y11" s="64">
        <v>79232.23</v>
      </c>
      <c r="Z11" s="64">
        <v>79253.740000000005</v>
      </c>
      <c r="AA11" s="64">
        <v>79272.990000000005</v>
      </c>
      <c r="AB11" s="64">
        <v>79292.240000000005</v>
      </c>
      <c r="AC11" s="64">
        <v>79309.210000000006</v>
      </c>
      <c r="AD11" s="64">
        <v>79330.990000000005</v>
      </c>
      <c r="AE11" s="64">
        <v>79352.36</v>
      </c>
      <c r="AF11" s="224"/>
      <c r="AG11" s="51">
        <f t="shared" si="0"/>
        <v>79352.36</v>
      </c>
      <c r="AH11" s="44">
        <v>78836.78</v>
      </c>
    </row>
    <row r="12" spans="1:34" x14ac:dyDescent="0.35">
      <c r="A12" s="33" t="s">
        <v>18</v>
      </c>
      <c r="B12" s="223">
        <v>79322.329999999798</v>
      </c>
      <c r="C12" s="64">
        <v>79341.919999999795</v>
      </c>
      <c r="D12" s="64">
        <v>79363.329999999798</v>
      </c>
      <c r="E12" s="64">
        <v>79363.439999999799</v>
      </c>
      <c r="F12" s="64">
        <v>79363.439999999799</v>
      </c>
      <c r="G12" s="64">
        <v>79363.439999999799</v>
      </c>
      <c r="H12" s="64">
        <v>79363.439999999799</v>
      </c>
      <c r="I12" s="64">
        <v>79363.439999999799</v>
      </c>
      <c r="J12" s="64">
        <v>79363.439999999799</v>
      </c>
      <c r="K12" s="64">
        <v>79373.419999999795</v>
      </c>
      <c r="L12" s="64">
        <v>79385.469999999797</v>
      </c>
      <c r="M12" s="64">
        <v>79385.469999999797</v>
      </c>
      <c r="N12" s="64">
        <v>79390.349999999802</v>
      </c>
      <c r="O12" s="64">
        <v>79412.009999999806</v>
      </c>
      <c r="P12" s="64">
        <v>79432.02999999981</v>
      </c>
      <c r="Q12" s="64">
        <v>79452.75</v>
      </c>
      <c r="R12" s="64">
        <v>79470.820000000007</v>
      </c>
      <c r="S12" s="64">
        <v>79482.98</v>
      </c>
      <c r="T12" s="64">
        <v>79504.66</v>
      </c>
      <c r="U12" s="64">
        <v>79522.820000000007</v>
      </c>
      <c r="V12" s="64">
        <v>79540.98</v>
      </c>
      <c r="W12" s="64">
        <v>79562.53</v>
      </c>
      <c r="X12" s="64">
        <v>79582.52</v>
      </c>
      <c r="Y12" s="64">
        <v>79604.039999999994</v>
      </c>
      <c r="Z12" s="64">
        <v>79625.350000000006</v>
      </c>
      <c r="AA12" s="64">
        <v>79644.22</v>
      </c>
      <c r="AB12" s="64">
        <v>79663.09</v>
      </c>
      <c r="AC12" s="64">
        <v>79684.509999999995</v>
      </c>
      <c r="AD12" s="64">
        <v>79696.28</v>
      </c>
      <c r="AE12" s="64">
        <v>79717.429999999993</v>
      </c>
      <c r="AF12" s="224"/>
      <c r="AG12" s="51">
        <f t="shared" si="0"/>
        <v>79717.429999999993</v>
      </c>
      <c r="AH12" s="44">
        <v>79307.12</v>
      </c>
    </row>
    <row r="13" spans="1:34" x14ac:dyDescent="0.35">
      <c r="A13" s="33" t="s">
        <v>19</v>
      </c>
      <c r="B13" s="223">
        <v>75980.770000000033</v>
      </c>
      <c r="C13" s="64">
        <v>76001.520000000033</v>
      </c>
      <c r="D13" s="64">
        <v>76022.170000000027</v>
      </c>
      <c r="E13" s="64">
        <v>76043.700000000026</v>
      </c>
      <c r="F13" s="64">
        <v>76064.550000000032</v>
      </c>
      <c r="G13" s="64">
        <v>76083.22000000003</v>
      </c>
      <c r="H13" s="64">
        <v>76090.010000000024</v>
      </c>
      <c r="I13" s="64">
        <v>76091.140000000029</v>
      </c>
      <c r="J13" s="64">
        <v>76102.86000000003</v>
      </c>
      <c r="K13" s="64">
        <v>76118.650000000023</v>
      </c>
      <c r="L13" s="64">
        <v>76119.35000000002</v>
      </c>
      <c r="M13" s="64">
        <v>76124.090000000026</v>
      </c>
      <c r="N13" s="64">
        <v>76142.420000000027</v>
      </c>
      <c r="O13" s="64">
        <v>76147.950000000026</v>
      </c>
      <c r="P13" s="64">
        <v>76147.950000000026</v>
      </c>
      <c r="Q13" s="64">
        <v>76163.83</v>
      </c>
      <c r="R13" s="64">
        <v>76181.179999999993</v>
      </c>
      <c r="S13" s="64">
        <v>76202.39</v>
      </c>
      <c r="T13" s="64">
        <v>76221.600000000006</v>
      </c>
      <c r="U13" s="64">
        <v>76239.3</v>
      </c>
      <c r="V13" s="64">
        <v>76257</v>
      </c>
      <c r="W13" s="64">
        <v>76272.08</v>
      </c>
      <c r="X13" s="64">
        <v>76293.61</v>
      </c>
      <c r="Y13" s="64">
        <v>76314.69</v>
      </c>
      <c r="Z13" s="64">
        <v>76335.53</v>
      </c>
      <c r="AA13" s="64">
        <v>76356.87</v>
      </c>
      <c r="AB13" s="64">
        <v>76378.210000000006</v>
      </c>
      <c r="AC13" s="64">
        <v>76394.22</v>
      </c>
      <c r="AD13" s="64">
        <v>76415.91</v>
      </c>
      <c r="AE13" s="64">
        <v>76437.66</v>
      </c>
      <c r="AF13" s="224"/>
      <c r="AG13" s="51">
        <f t="shared" si="0"/>
        <v>76437.66</v>
      </c>
      <c r="AH13" s="44">
        <v>75961.929999999993</v>
      </c>
    </row>
    <row r="14" spans="1:34" x14ac:dyDescent="0.35">
      <c r="A14" s="33" t="s">
        <v>20</v>
      </c>
      <c r="B14" s="223">
        <v>74737.410000000164</v>
      </c>
      <c r="C14" s="64">
        <v>74752.930000000168</v>
      </c>
      <c r="D14" s="64">
        <v>74763.240000000165</v>
      </c>
      <c r="E14" s="64">
        <v>74783.170000000158</v>
      </c>
      <c r="F14" s="64">
        <v>74800.480000000156</v>
      </c>
      <c r="G14" s="64">
        <v>74816.170000000158</v>
      </c>
      <c r="H14" s="64">
        <v>74836.150000000154</v>
      </c>
      <c r="I14" s="64">
        <v>74856.900000000154</v>
      </c>
      <c r="J14" s="64">
        <v>74875.02000000015</v>
      </c>
      <c r="K14" s="64">
        <v>74890.710000000152</v>
      </c>
      <c r="L14" s="64">
        <v>74911.77000000015</v>
      </c>
      <c r="M14" s="64">
        <v>74932.52000000015</v>
      </c>
      <c r="N14" s="64">
        <v>74953.660000000149</v>
      </c>
      <c r="O14" s="64">
        <v>74970.030000000144</v>
      </c>
      <c r="P14" s="64">
        <v>74970.030000000144</v>
      </c>
      <c r="Q14" s="64">
        <v>74978.25</v>
      </c>
      <c r="R14" s="64">
        <v>74999.33</v>
      </c>
      <c r="S14" s="64">
        <v>75012.56</v>
      </c>
      <c r="T14" s="64">
        <v>75012.56</v>
      </c>
      <c r="U14" s="64">
        <v>75012.56</v>
      </c>
      <c r="V14" s="64">
        <v>75012.56</v>
      </c>
      <c r="W14" s="64">
        <v>75012.56</v>
      </c>
      <c r="X14" s="64">
        <v>75012.56</v>
      </c>
      <c r="Y14" s="64">
        <v>75012.56</v>
      </c>
      <c r="Z14" s="64">
        <v>75012.56</v>
      </c>
      <c r="AA14" s="64">
        <v>75012.56</v>
      </c>
      <c r="AB14" s="64">
        <v>75012.56</v>
      </c>
      <c r="AC14" s="64">
        <v>75033.56</v>
      </c>
      <c r="AD14" s="64">
        <v>75055.179999999993</v>
      </c>
      <c r="AE14" s="64">
        <v>75076.34</v>
      </c>
      <c r="AF14" s="224"/>
      <c r="AG14" s="51">
        <f t="shared" si="0"/>
        <v>75076.34</v>
      </c>
      <c r="AH14" s="44">
        <v>74719.17</v>
      </c>
    </row>
    <row r="15" spans="1:34" x14ac:dyDescent="0.35">
      <c r="A15" s="33" t="s">
        <v>21</v>
      </c>
      <c r="B15" s="223">
        <v>75200.710000000065</v>
      </c>
      <c r="C15" s="64">
        <v>75221.210000000065</v>
      </c>
      <c r="D15" s="64">
        <v>75238.260000000068</v>
      </c>
      <c r="E15" s="64">
        <v>75252.340000000069</v>
      </c>
      <c r="F15" s="64">
        <v>75273.56000000007</v>
      </c>
      <c r="G15" s="64">
        <v>75294.860000000073</v>
      </c>
      <c r="H15" s="64">
        <v>75314.600000000079</v>
      </c>
      <c r="I15" s="64">
        <v>75331.690000000075</v>
      </c>
      <c r="J15" s="64">
        <v>75353.170000000071</v>
      </c>
      <c r="K15" s="64">
        <v>75373.70000000007</v>
      </c>
      <c r="L15" s="64">
        <v>75389.110000000073</v>
      </c>
      <c r="M15" s="64">
        <v>75404.870000000068</v>
      </c>
      <c r="N15" s="64">
        <v>75424.860000000073</v>
      </c>
      <c r="O15" s="64">
        <v>75446.610000000073</v>
      </c>
      <c r="P15" s="64">
        <v>75467.07000000008</v>
      </c>
      <c r="Q15" s="64">
        <v>75488.740000000005</v>
      </c>
      <c r="R15" s="64">
        <v>75507.91</v>
      </c>
      <c r="S15" s="64">
        <v>75529.16</v>
      </c>
      <c r="T15" s="64">
        <v>75547.37</v>
      </c>
      <c r="U15" s="64">
        <v>75568.23</v>
      </c>
      <c r="V15" s="64">
        <v>75589.09</v>
      </c>
      <c r="W15" s="64">
        <v>75610.25</v>
      </c>
      <c r="X15" s="64">
        <v>75631.86</v>
      </c>
      <c r="Y15" s="64">
        <v>75648.98</v>
      </c>
      <c r="Z15" s="64">
        <v>75670.649999999994</v>
      </c>
      <c r="AA15" s="64">
        <v>75692.38</v>
      </c>
      <c r="AB15" s="64">
        <v>75714.11</v>
      </c>
      <c r="AC15" s="64">
        <v>75733.02</v>
      </c>
      <c r="AD15" s="64">
        <v>75755.16</v>
      </c>
      <c r="AE15" s="64">
        <v>75776.81</v>
      </c>
      <c r="AF15" s="224"/>
      <c r="AG15" s="51">
        <f t="shared" si="0"/>
        <v>75776.81</v>
      </c>
      <c r="AH15" s="44">
        <v>75187.97</v>
      </c>
    </row>
    <row r="16" spans="1:34" x14ac:dyDescent="0.35">
      <c r="A16" s="33" t="s">
        <v>22</v>
      </c>
      <c r="B16" s="223">
        <v>73184.799999999886</v>
      </c>
      <c r="C16" s="64">
        <v>73204.499999999884</v>
      </c>
      <c r="D16" s="64">
        <v>73213.719999999885</v>
      </c>
      <c r="E16" s="64">
        <v>73213.719999999885</v>
      </c>
      <c r="F16" s="64">
        <v>73213.719999999885</v>
      </c>
      <c r="G16" s="64">
        <v>73218.619999999879</v>
      </c>
      <c r="H16" s="64">
        <v>73238.449999999881</v>
      </c>
      <c r="I16" s="64">
        <v>73250.579999999885</v>
      </c>
      <c r="J16" s="64">
        <v>73263.97999999988</v>
      </c>
      <c r="K16" s="64">
        <v>73285.639999999883</v>
      </c>
      <c r="L16" s="64">
        <v>73300.519999999888</v>
      </c>
      <c r="M16" s="64">
        <v>73320.919999999882</v>
      </c>
      <c r="N16" s="64">
        <v>73342.83999999988</v>
      </c>
      <c r="O16" s="64">
        <v>73364.269999999873</v>
      </c>
      <c r="P16" s="64">
        <v>73386.019999999873</v>
      </c>
      <c r="Q16" s="64">
        <v>73402.02</v>
      </c>
      <c r="R16" s="64">
        <v>73423</v>
      </c>
      <c r="S16" s="64">
        <v>73444.27</v>
      </c>
      <c r="T16" s="64">
        <v>73465.64</v>
      </c>
      <c r="U16" s="64">
        <v>73483.62</v>
      </c>
      <c r="V16" s="64">
        <v>73501.600000000006</v>
      </c>
      <c r="W16" s="64">
        <v>73521.47</v>
      </c>
      <c r="X16" s="64">
        <v>73544.160000000003</v>
      </c>
      <c r="Y16" s="64">
        <v>73564.61</v>
      </c>
      <c r="Z16" s="64">
        <v>73573.41</v>
      </c>
      <c r="AA16" s="64">
        <v>73591.62</v>
      </c>
      <c r="AB16" s="64">
        <v>73609.83</v>
      </c>
      <c r="AC16" s="64">
        <v>73626.16</v>
      </c>
      <c r="AD16" s="64">
        <v>73647.75</v>
      </c>
      <c r="AE16" s="64">
        <v>73669.72</v>
      </c>
      <c r="AF16" s="224"/>
      <c r="AG16" s="51">
        <f t="shared" si="0"/>
        <v>73669.72</v>
      </c>
      <c r="AH16" s="44">
        <v>73178.12</v>
      </c>
    </row>
    <row r="17" spans="1:34" x14ac:dyDescent="0.35">
      <c r="A17" s="33" t="s">
        <v>23</v>
      </c>
      <c r="B17" s="223">
        <v>74927.220000000147</v>
      </c>
      <c r="C17" s="64">
        <v>74949.02000000015</v>
      </c>
      <c r="D17" s="64">
        <v>74970.620000000155</v>
      </c>
      <c r="E17" s="64">
        <v>74991.780000000159</v>
      </c>
      <c r="F17" s="64">
        <v>75013.380000000165</v>
      </c>
      <c r="G17" s="64">
        <v>75034.900000000169</v>
      </c>
      <c r="H17" s="64">
        <v>75056.050000000163</v>
      </c>
      <c r="I17" s="64">
        <v>75061.730000000156</v>
      </c>
      <c r="J17" s="64">
        <v>75083.320000000153</v>
      </c>
      <c r="K17" s="64">
        <v>75103.530000000159</v>
      </c>
      <c r="L17" s="64">
        <v>75121.590000000157</v>
      </c>
      <c r="M17" s="64">
        <v>75132.310000000158</v>
      </c>
      <c r="N17" s="64">
        <v>75151.020000000164</v>
      </c>
      <c r="O17" s="64">
        <v>75168.910000000164</v>
      </c>
      <c r="P17" s="64">
        <v>75180.410000000164</v>
      </c>
      <c r="Q17" s="64">
        <v>75195.95</v>
      </c>
      <c r="R17" s="64">
        <v>75212.039999999994</v>
      </c>
      <c r="S17" s="64">
        <v>75227.210000000006</v>
      </c>
      <c r="T17" s="64">
        <v>75246.33</v>
      </c>
      <c r="U17" s="64">
        <v>75246.33</v>
      </c>
      <c r="V17" s="64">
        <v>75246.33</v>
      </c>
      <c r="W17" s="64">
        <v>75267.95</v>
      </c>
      <c r="X17" s="64">
        <v>75289.210000000006</v>
      </c>
      <c r="Y17" s="64">
        <v>75308.52</v>
      </c>
      <c r="Z17" s="64">
        <v>75329.740000000005</v>
      </c>
      <c r="AA17" s="64">
        <v>75351.05</v>
      </c>
      <c r="AB17" s="64">
        <v>75372.36</v>
      </c>
      <c r="AC17" s="64">
        <v>75393.7</v>
      </c>
      <c r="AD17" s="64">
        <v>75405.539999999994</v>
      </c>
      <c r="AE17" s="64">
        <v>75426.84</v>
      </c>
      <c r="AF17" s="224"/>
      <c r="AG17" s="51">
        <f t="shared" si="0"/>
        <v>75426.84</v>
      </c>
      <c r="AH17" s="44">
        <v>74909.11</v>
      </c>
    </row>
    <row r="18" spans="1:34" x14ac:dyDescent="0.35">
      <c r="A18" s="33" t="s">
        <v>24</v>
      </c>
      <c r="B18" s="223">
        <v>75324.600000000093</v>
      </c>
      <c r="C18" s="64">
        <v>75341.900000000096</v>
      </c>
      <c r="D18" s="64">
        <v>75362.740000000093</v>
      </c>
      <c r="E18" s="64">
        <v>75384.750000000087</v>
      </c>
      <c r="F18" s="64">
        <v>75405.630000000092</v>
      </c>
      <c r="G18" s="64">
        <v>75426.960000000094</v>
      </c>
      <c r="H18" s="64">
        <v>75446.720000000088</v>
      </c>
      <c r="I18" s="64">
        <v>75464.830000000089</v>
      </c>
      <c r="J18" s="64">
        <v>75481.430000000095</v>
      </c>
      <c r="K18" s="64">
        <v>75497.970000000088</v>
      </c>
      <c r="L18" s="64">
        <v>75519.470000000088</v>
      </c>
      <c r="M18" s="64">
        <v>75540.950000000084</v>
      </c>
      <c r="N18" s="64">
        <v>75543.82000000008</v>
      </c>
      <c r="O18" s="64">
        <v>75563.460000000079</v>
      </c>
      <c r="P18" s="64">
        <v>75576.790000000081</v>
      </c>
      <c r="Q18" s="64">
        <v>75598.509999999995</v>
      </c>
      <c r="R18" s="64">
        <v>75620.179999999993</v>
      </c>
      <c r="S18" s="64">
        <v>75637.460000000006</v>
      </c>
      <c r="T18" s="64">
        <v>75650.16</v>
      </c>
      <c r="U18" s="64">
        <v>75671.78</v>
      </c>
      <c r="V18" s="64">
        <v>75693.399999999994</v>
      </c>
      <c r="W18" s="64">
        <v>75713.77</v>
      </c>
      <c r="X18" s="64">
        <v>75723.92</v>
      </c>
      <c r="Y18" s="64">
        <v>75745.009999999995</v>
      </c>
      <c r="Z18" s="64">
        <v>75761.429999999993</v>
      </c>
      <c r="AA18" s="64">
        <v>75782.84</v>
      </c>
      <c r="AB18" s="64">
        <v>75804.25</v>
      </c>
      <c r="AC18" s="64">
        <v>75825.539999999994</v>
      </c>
      <c r="AD18" s="64">
        <v>75847.06</v>
      </c>
      <c r="AE18" s="64">
        <v>75868.38</v>
      </c>
      <c r="AF18" s="224"/>
      <c r="AG18" s="51">
        <f t="shared" si="0"/>
        <v>75868.38</v>
      </c>
      <c r="AH18" s="44">
        <v>75303.360000000001</v>
      </c>
    </row>
    <row r="19" spans="1:34" x14ac:dyDescent="0.35">
      <c r="A19" s="33" t="s">
        <v>25</v>
      </c>
      <c r="B19" s="223">
        <v>73313.710000000268</v>
      </c>
      <c r="C19" s="64">
        <v>73335.330000000264</v>
      </c>
      <c r="D19" s="64">
        <v>73356.79000000027</v>
      </c>
      <c r="E19" s="64">
        <v>73368.760000000271</v>
      </c>
      <c r="F19" s="64">
        <v>73384.860000000277</v>
      </c>
      <c r="G19" s="64">
        <v>73405.920000000275</v>
      </c>
      <c r="H19" s="64">
        <v>73427.440000000279</v>
      </c>
      <c r="I19" s="64">
        <v>73445.940000000279</v>
      </c>
      <c r="J19" s="64">
        <v>73463.600000000282</v>
      </c>
      <c r="K19" s="64">
        <v>73477.430000000284</v>
      </c>
      <c r="L19" s="64">
        <v>73497.53000000029</v>
      </c>
      <c r="M19" s="64">
        <v>73519.200000000288</v>
      </c>
      <c r="N19" s="64">
        <v>73540.64000000029</v>
      </c>
      <c r="O19" s="64">
        <v>73562.110000000292</v>
      </c>
      <c r="P19" s="64">
        <v>73583.680000000299</v>
      </c>
      <c r="Q19" s="64">
        <v>73604.02</v>
      </c>
      <c r="R19" s="64">
        <v>73625.62</v>
      </c>
      <c r="S19" s="64">
        <v>73643.41</v>
      </c>
      <c r="T19" s="64">
        <v>73665.06</v>
      </c>
      <c r="U19" s="64">
        <v>73685.84</v>
      </c>
      <c r="V19" s="64">
        <v>73706.62</v>
      </c>
      <c r="W19" s="64">
        <v>73725.47</v>
      </c>
      <c r="X19" s="64">
        <v>73740.490000000005</v>
      </c>
      <c r="Y19" s="64">
        <v>73761.179999999993</v>
      </c>
      <c r="Z19" s="64">
        <v>73774.22</v>
      </c>
      <c r="AA19" s="64">
        <v>73795.59</v>
      </c>
      <c r="AB19" s="64">
        <v>73816.960000000006</v>
      </c>
      <c r="AC19" s="64">
        <v>73834.33</v>
      </c>
      <c r="AD19" s="64">
        <v>73852.14</v>
      </c>
      <c r="AE19" s="64">
        <v>73872.929999999993</v>
      </c>
      <c r="AF19" s="224"/>
      <c r="AG19" s="51">
        <f t="shared" si="0"/>
        <v>73872.929999999993</v>
      </c>
      <c r="AH19" s="44">
        <v>73292.56</v>
      </c>
    </row>
    <row r="20" spans="1:34" x14ac:dyDescent="0.35">
      <c r="A20" s="33" t="s">
        <v>26</v>
      </c>
      <c r="B20" s="223">
        <v>74385.17999999992</v>
      </c>
      <c r="C20" s="64">
        <v>74391.699999999924</v>
      </c>
      <c r="D20" s="64">
        <v>74391.699999999924</v>
      </c>
      <c r="E20" s="64">
        <v>74408.92999999992</v>
      </c>
      <c r="F20" s="64">
        <v>74430.629999999917</v>
      </c>
      <c r="G20" s="64">
        <v>74451.42999999992</v>
      </c>
      <c r="H20" s="64">
        <v>74470.699999999924</v>
      </c>
      <c r="I20" s="64">
        <v>74488.589999999924</v>
      </c>
      <c r="J20" s="64">
        <v>74510.879999999917</v>
      </c>
      <c r="K20" s="64">
        <v>74529.719999999914</v>
      </c>
      <c r="L20" s="64">
        <v>74545.659999999916</v>
      </c>
      <c r="M20" s="64">
        <v>74567.719999999914</v>
      </c>
      <c r="N20" s="64">
        <v>74588.459999999919</v>
      </c>
      <c r="O20" s="64">
        <v>74604.649999999921</v>
      </c>
      <c r="P20" s="64">
        <v>74623.289999999921</v>
      </c>
      <c r="Q20" s="64">
        <v>74644.789999999994</v>
      </c>
      <c r="R20" s="64">
        <v>74666.080000000002</v>
      </c>
      <c r="S20" s="64">
        <v>74685.990000000005</v>
      </c>
      <c r="T20" s="64">
        <v>74707.45</v>
      </c>
      <c r="U20" s="64">
        <v>74727.679999999993</v>
      </c>
      <c r="V20" s="64">
        <v>74747.91</v>
      </c>
      <c r="W20" s="64">
        <v>74769.460000000006</v>
      </c>
      <c r="X20" s="64">
        <v>74791</v>
      </c>
      <c r="Y20" s="64">
        <v>74812.429999999993</v>
      </c>
      <c r="Z20" s="64">
        <v>74833.73</v>
      </c>
      <c r="AA20" s="64">
        <v>74855.09</v>
      </c>
      <c r="AB20" s="64">
        <v>74876.45</v>
      </c>
      <c r="AC20" s="64">
        <v>74895.350000000006</v>
      </c>
      <c r="AD20" s="64">
        <v>74916.67</v>
      </c>
      <c r="AE20" s="64">
        <v>74935.199999999997</v>
      </c>
      <c r="AF20" s="224"/>
      <c r="AG20" s="51">
        <f t="shared" si="0"/>
        <v>74935.199999999997</v>
      </c>
      <c r="AH20" s="44">
        <v>74366.52</v>
      </c>
    </row>
    <row r="21" spans="1:34" x14ac:dyDescent="0.35">
      <c r="A21" s="33" t="s">
        <v>27</v>
      </c>
      <c r="B21" s="223">
        <v>75845.090000000142</v>
      </c>
      <c r="C21" s="64">
        <v>75865.890000000145</v>
      </c>
      <c r="D21" s="64">
        <v>75879.800000000148</v>
      </c>
      <c r="E21" s="64">
        <v>75901.190000000148</v>
      </c>
      <c r="F21" s="64">
        <v>75921.88000000015</v>
      </c>
      <c r="G21" s="64">
        <v>75943.340000000157</v>
      </c>
      <c r="H21" s="64">
        <v>75964.430000000153</v>
      </c>
      <c r="I21" s="64">
        <v>75983.570000000153</v>
      </c>
      <c r="J21" s="64">
        <v>76001.980000000156</v>
      </c>
      <c r="K21" s="64">
        <v>76023.420000000158</v>
      </c>
      <c r="L21" s="64">
        <v>76039.970000000161</v>
      </c>
      <c r="M21" s="64">
        <v>76039.970000000161</v>
      </c>
      <c r="N21" s="64">
        <v>76042.650000000154</v>
      </c>
      <c r="O21" s="64">
        <v>76063.890000000159</v>
      </c>
      <c r="P21" s="64">
        <v>76078.130000000165</v>
      </c>
      <c r="Q21" s="64">
        <v>76096.22</v>
      </c>
      <c r="R21" s="64">
        <v>76111.679999999993</v>
      </c>
      <c r="S21" s="64">
        <v>76132.649999999994</v>
      </c>
      <c r="T21" s="64">
        <v>76152.600000000006</v>
      </c>
      <c r="U21" s="64">
        <v>76173.899999999994</v>
      </c>
      <c r="V21" s="64">
        <v>76195.199999999997</v>
      </c>
      <c r="W21" s="64">
        <v>76206.33</v>
      </c>
      <c r="X21" s="64">
        <v>76222.679999999993</v>
      </c>
      <c r="Y21" s="64">
        <v>76232.460000000006</v>
      </c>
      <c r="Z21" s="64">
        <v>76232.460000000006</v>
      </c>
      <c r="AA21" s="64">
        <v>76238.070000000007</v>
      </c>
      <c r="AB21" s="64">
        <v>76243.679999999993</v>
      </c>
      <c r="AC21" s="64">
        <v>76265.27</v>
      </c>
      <c r="AD21" s="64">
        <v>76286.95</v>
      </c>
      <c r="AE21" s="64">
        <v>76304.87</v>
      </c>
      <c r="AF21" s="224"/>
      <c r="AG21" s="51">
        <f t="shared" si="0"/>
        <v>76304.87</v>
      </c>
      <c r="AH21" s="44">
        <v>75824.570000000007</v>
      </c>
    </row>
    <row r="22" spans="1:34" x14ac:dyDescent="0.35">
      <c r="A22" s="33" t="s">
        <v>28</v>
      </c>
      <c r="B22" s="223">
        <v>72010.329999999973</v>
      </c>
      <c r="C22" s="64">
        <v>72030.259999999966</v>
      </c>
      <c r="D22" s="64">
        <v>72052.129999999961</v>
      </c>
      <c r="E22" s="64">
        <v>72073.869999999966</v>
      </c>
      <c r="F22" s="64">
        <v>72086.509999999966</v>
      </c>
      <c r="G22" s="64">
        <v>72107.539999999964</v>
      </c>
      <c r="H22" s="64">
        <v>72128.919999999969</v>
      </c>
      <c r="I22" s="64">
        <v>72150.859999999971</v>
      </c>
      <c r="J22" s="64">
        <v>72171.969999999972</v>
      </c>
      <c r="K22" s="64">
        <v>72193.129999999976</v>
      </c>
      <c r="L22" s="64">
        <v>72211.209999999977</v>
      </c>
      <c r="M22" s="64">
        <v>72219.249999999971</v>
      </c>
      <c r="N22" s="64">
        <v>72233.589999999967</v>
      </c>
      <c r="O22" s="64">
        <v>72233.589999999967</v>
      </c>
      <c r="P22" s="64">
        <v>72233.589999999967</v>
      </c>
      <c r="Q22" s="64">
        <v>72233.59</v>
      </c>
      <c r="R22" s="64">
        <v>72250.64</v>
      </c>
      <c r="S22" s="64">
        <v>72262.880000000005</v>
      </c>
      <c r="T22" s="64">
        <v>72284.490000000005</v>
      </c>
      <c r="U22" s="64">
        <v>72305.81</v>
      </c>
      <c r="V22" s="64">
        <v>72327.13</v>
      </c>
      <c r="W22" s="64">
        <v>72348.479999999996</v>
      </c>
      <c r="X22" s="64">
        <v>72369.7</v>
      </c>
      <c r="Y22" s="64">
        <v>72391.259999999995</v>
      </c>
      <c r="Z22" s="64">
        <v>72409.259999999995</v>
      </c>
      <c r="AA22" s="64">
        <v>72430.59</v>
      </c>
      <c r="AB22" s="64">
        <v>72451.92</v>
      </c>
      <c r="AC22" s="64">
        <v>72474.350000000006</v>
      </c>
      <c r="AD22" s="64">
        <v>72484.88</v>
      </c>
      <c r="AE22" s="64">
        <v>72499.22</v>
      </c>
      <c r="AF22" s="224"/>
      <c r="AG22" s="51">
        <f t="shared" si="0"/>
        <v>72499.22</v>
      </c>
      <c r="AH22" s="44">
        <v>71998.7</v>
      </c>
    </row>
    <row r="23" spans="1:34" x14ac:dyDescent="0.35">
      <c r="A23" s="33" t="s">
        <v>29</v>
      </c>
      <c r="B23" s="223">
        <v>69169.089999999909</v>
      </c>
      <c r="C23" s="64">
        <v>69182.989999999903</v>
      </c>
      <c r="D23" s="64">
        <v>69200.039999999906</v>
      </c>
      <c r="E23" s="64">
        <v>69211.879999999903</v>
      </c>
      <c r="F23" s="64">
        <v>69226.609999999899</v>
      </c>
      <c r="G23" s="64">
        <v>69245.049999999901</v>
      </c>
      <c r="H23" s="64">
        <v>69254.259999999907</v>
      </c>
      <c r="I23" s="64">
        <v>69270.629999999903</v>
      </c>
      <c r="J23" s="64">
        <v>69289.569999999905</v>
      </c>
      <c r="K23" s="64">
        <v>69304.879999999903</v>
      </c>
      <c r="L23" s="64">
        <v>69324.619999999908</v>
      </c>
      <c r="M23" s="64">
        <v>69345.889999999912</v>
      </c>
      <c r="N23" s="64">
        <v>69367.269999999917</v>
      </c>
      <c r="O23" s="64">
        <v>69388.169999999911</v>
      </c>
      <c r="P23" s="64">
        <v>69409.849999999904</v>
      </c>
      <c r="Q23" s="64">
        <v>69426.69</v>
      </c>
      <c r="R23" s="64">
        <v>69448.02</v>
      </c>
      <c r="S23" s="64">
        <v>69469.320000000007</v>
      </c>
      <c r="T23" s="64">
        <v>69485.5</v>
      </c>
      <c r="U23" s="64">
        <v>69506.69</v>
      </c>
      <c r="V23" s="64">
        <v>69527.88</v>
      </c>
      <c r="W23" s="64">
        <v>69527.88</v>
      </c>
      <c r="X23" s="64">
        <v>69527.88</v>
      </c>
      <c r="Y23" s="64">
        <v>69540.539999999994</v>
      </c>
      <c r="Z23" s="64">
        <v>69561.850000000006</v>
      </c>
      <c r="AA23" s="64">
        <v>69583.47</v>
      </c>
      <c r="AB23" s="64">
        <v>69605.09</v>
      </c>
      <c r="AC23" s="64">
        <v>69618.61</v>
      </c>
      <c r="AD23" s="64">
        <v>69630.31</v>
      </c>
      <c r="AE23" s="64">
        <v>69649.399999999994</v>
      </c>
      <c r="AF23" s="224"/>
      <c r="AG23" s="51">
        <f t="shared" si="0"/>
        <v>69649.399999999994</v>
      </c>
      <c r="AH23" s="44">
        <v>69148.62</v>
      </c>
    </row>
    <row r="24" spans="1:34" x14ac:dyDescent="0.35">
      <c r="A24" s="33" t="s">
        <v>30</v>
      </c>
      <c r="B24" s="223">
        <v>67847.150000000038</v>
      </c>
      <c r="C24" s="64">
        <v>67864.790000000037</v>
      </c>
      <c r="D24" s="64">
        <v>67877.380000000034</v>
      </c>
      <c r="E24" s="64">
        <v>67896.580000000031</v>
      </c>
      <c r="F24" s="64">
        <v>67915.440000000031</v>
      </c>
      <c r="G24" s="64">
        <v>67915.440000000031</v>
      </c>
      <c r="H24" s="64">
        <v>67926.260000000038</v>
      </c>
      <c r="I24" s="64">
        <v>67946.550000000032</v>
      </c>
      <c r="J24" s="64">
        <v>67957.97000000003</v>
      </c>
      <c r="K24" s="64">
        <v>67977.530000000028</v>
      </c>
      <c r="L24" s="64">
        <v>67998.430000000022</v>
      </c>
      <c r="M24" s="64">
        <v>68011.000000000029</v>
      </c>
      <c r="N24" s="64">
        <v>68032.660000000033</v>
      </c>
      <c r="O24" s="64">
        <v>68053.690000000031</v>
      </c>
      <c r="P24" s="64">
        <v>68075.000000000029</v>
      </c>
      <c r="Q24" s="64">
        <v>68096.47</v>
      </c>
      <c r="R24" s="64">
        <v>68111.75</v>
      </c>
      <c r="S24" s="64">
        <v>68131.399999999994</v>
      </c>
      <c r="T24" s="64">
        <v>68153.119999999995</v>
      </c>
      <c r="U24" s="64">
        <v>68171.11</v>
      </c>
      <c r="V24" s="64">
        <v>68189.100000000006</v>
      </c>
      <c r="W24" s="64">
        <v>68203.75</v>
      </c>
      <c r="X24" s="64">
        <v>68225.72</v>
      </c>
      <c r="Y24" s="64">
        <v>68246</v>
      </c>
      <c r="Z24" s="64">
        <v>68266.28</v>
      </c>
      <c r="AA24" s="64">
        <v>68287.710000000006</v>
      </c>
      <c r="AB24" s="64">
        <v>68309.14</v>
      </c>
      <c r="AC24" s="64">
        <v>68323.27</v>
      </c>
      <c r="AD24" s="64">
        <v>68343.509999999995</v>
      </c>
      <c r="AE24" s="64">
        <v>68364.95</v>
      </c>
      <c r="AF24" s="224"/>
      <c r="AG24" s="51">
        <f t="shared" si="0"/>
        <v>68364.95</v>
      </c>
      <c r="AH24" s="44">
        <v>67826.12</v>
      </c>
    </row>
    <row r="25" spans="1:34" x14ac:dyDescent="0.35">
      <c r="A25" s="33" t="s">
        <v>31</v>
      </c>
      <c r="B25" s="223">
        <v>67890.089999999967</v>
      </c>
      <c r="C25" s="64">
        <v>67911.059999999969</v>
      </c>
      <c r="D25" s="64">
        <v>67929.599999999962</v>
      </c>
      <c r="E25" s="64">
        <v>67931.339999999967</v>
      </c>
      <c r="F25" s="64">
        <v>67944.309999999969</v>
      </c>
      <c r="G25" s="64">
        <v>67966.359999999971</v>
      </c>
      <c r="H25" s="64">
        <v>67987.479999999967</v>
      </c>
      <c r="I25" s="64">
        <v>68005.859999999971</v>
      </c>
      <c r="J25" s="64">
        <v>68027.209999999977</v>
      </c>
      <c r="K25" s="64">
        <v>68044.559999999983</v>
      </c>
      <c r="L25" s="64">
        <v>68066.00999999998</v>
      </c>
      <c r="M25" s="64">
        <v>68076.769999999975</v>
      </c>
      <c r="N25" s="64">
        <v>68098.479999999981</v>
      </c>
      <c r="O25" s="64">
        <v>68100.89999999998</v>
      </c>
      <c r="P25" s="64">
        <v>68102.699999999983</v>
      </c>
      <c r="Q25" s="64">
        <v>68120.639999999999</v>
      </c>
      <c r="R25" s="64">
        <v>68140.92</v>
      </c>
      <c r="S25" s="64">
        <v>68162.36</v>
      </c>
      <c r="T25" s="64">
        <v>68183.94</v>
      </c>
      <c r="U25" s="64">
        <v>68205.08</v>
      </c>
      <c r="V25" s="64">
        <v>68226.22</v>
      </c>
      <c r="W25" s="64">
        <v>68244.23</v>
      </c>
      <c r="X25" s="64">
        <v>68261.570000000007</v>
      </c>
      <c r="Y25" s="64">
        <v>68282.070000000007</v>
      </c>
      <c r="Z25" s="64">
        <v>68301.820000000007</v>
      </c>
      <c r="AA25" s="64">
        <v>68317.929999999993</v>
      </c>
      <c r="AB25" s="64">
        <v>68334.039999999994</v>
      </c>
      <c r="AC25" s="64">
        <v>68355.289999999994</v>
      </c>
      <c r="AD25" s="64">
        <v>68369.41</v>
      </c>
      <c r="AE25" s="64">
        <v>68390.67</v>
      </c>
      <c r="AF25" s="224"/>
      <c r="AG25" s="51">
        <f t="shared" si="0"/>
        <v>68390.67</v>
      </c>
      <c r="AH25" s="44">
        <v>67870.570000000007</v>
      </c>
    </row>
    <row r="26" spans="1:34" x14ac:dyDescent="0.35">
      <c r="A26" s="33" t="s">
        <v>32</v>
      </c>
      <c r="B26" s="223">
        <v>68651.889999999898</v>
      </c>
      <c r="C26" s="64">
        <v>68671.9399999999</v>
      </c>
      <c r="D26" s="64">
        <v>68693.009999999907</v>
      </c>
      <c r="E26" s="64">
        <v>68711.539999999906</v>
      </c>
      <c r="F26" s="64">
        <v>68733.409999999902</v>
      </c>
      <c r="G26" s="64">
        <v>68755.139999999898</v>
      </c>
      <c r="H26" s="64">
        <v>68776.659999999902</v>
      </c>
      <c r="I26" s="64">
        <v>68798.519999999902</v>
      </c>
      <c r="J26" s="64">
        <v>68820.399999999907</v>
      </c>
      <c r="K26" s="64">
        <v>68842.279999999912</v>
      </c>
      <c r="L26" s="64">
        <v>68858.659999999916</v>
      </c>
      <c r="M26" s="64">
        <v>68878.709999999919</v>
      </c>
      <c r="N26" s="64">
        <v>68900.259999999922</v>
      </c>
      <c r="O26" s="64">
        <v>68921.849999999919</v>
      </c>
      <c r="P26" s="64">
        <v>68943.639999999912</v>
      </c>
      <c r="Q26" s="64">
        <v>68959.11</v>
      </c>
      <c r="R26" s="64">
        <v>68980.460000000006</v>
      </c>
      <c r="S26" s="64">
        <v>69002.149999999994</v>
      </c>
      <c r="T26" s="64">
        <v>69021.81</v>
      </c>
      <c r="U26" s="64">
        <v>69042.399999999994</v>
      </c>
      <c r="V26" s="64">
        <v>69062.990000000005</v>
      </c>
      <c r="W26" s="64">
        <v>69069.22</v>
      </c>
      <c r="X26" s="64">
        <v>69089.94</v>
      </c>
      <c r="Y26" s="64">
        <v>69101.399999999994</v>
      </c>
      <c r="Z26" s="64">
        <v>69101.929999999993</v>
      </c>
      <c r="AA26" s="64">
        <v>69122.94</v>
      </c>
      <c r="AB26" s="64">
        <v>69143.95</v>
      </c>
      <c r="AC26" s="64">
        <v>69165.42</v>
      </c>
      <c r="AD26" s="64">
        <v>69186.990000000005</v>
      </c>
      <c r="AE26" s="64">
        <v>69207.22</v>
      </c>
      <c r="AF26" s="224"/>
      <c r="AG26" s="51">
        <f t="shared" si="0"/>
        <v>69207.22</v>
      </c>
      <c r="AH26" s="44">
        <v>68636.460000000006</v>
      </c>
    </row>
    <row r="27" spans="1:34" x14ac:dyDescent="0.35">
      <c r="A27" s="33" t="s">
        <v>33</v>
      </c>
      <c r="B27" s="223">
        <v>69274.360000000044</v>
      </c>
      <c r="C27" s="64">
        <v>69294.800000000047</v>
      </c>
      <c r="D27" s="64">
        <v>69315.930000000051</v>
      </c>
      <c r="E27" s="64">
        <v>69332.160000000047</v>
      </c>
      <c r="F27" s="64">
        <v>69353.180000000051</v>
      </c>
      <c r="G27" s="64">
        <v>69374.650000000052</v>
      </c>
      <c r="H27" s="64">
        <v>69388.240000000049</v>
      </c>
      <c r="I27" s="64">
        <v>69409.300000000047</v>
      </c>
      <c r="J27" s="64">
        <v>69430.040000000052</v>
      </c>
      <c r="K27" s="64">
        <v>69447.640000000058</v>
      </c>
      <c r="L27" s="64">
        <v>69464.610000000059</v>
      </c>
      <c r="M27" s="64">
        <v>69479.430000000066</v>
      </c>
      <c r="N27" s="64">
        <v>69496.750000000073</v>
      </c>
      <c r="O27" s="64">
        <v>69519.06000000007</v>
      </c>
      <c r="P27" s="64">
        <v>69538.590000000069</v>
      </c>
      <c r="Q27" s="64">
        <v>69552.429999999993</v>
      </c>
      <c r="R27" s="64">
        <v>69573.509999999995</v>
      </c>
      <c r="S27" s="64">
        <v>69592.350000000006</v>
      </c>
      <c r="T27" s="64">
        <v>69595.98</v>
      </c>
      <c r="U27" s="64">
        <v>69595.98</v>
      </c>
      <c r="V27" s="64">
        <v>69595.98</v>
      </c>
      <c r="W27" s="64">
        <v>69595.98</v>
      </c>
      <c r="X27" s="64">
        <v>69595.98</v>
      </c>
      <c r="Y27" s="64">
        <v>69595.98</v>
      </c>
      <c r="Z27" s="64">
        <v>69595.98</v>
      </c>
      <c r="AA27" s="64">
        <v>69595.98</v>
      </c>
      <c r="AB27" s="64">
        <v>69595.98</v>
      </c>
      <c r="AC27" s="64">
        <v>69606.58</v>
      </c>
      <c r="AD27" s="64">
        <v>69628.08</v>
      </c>
      <c r="AE27" s="64">
        <v>69649.820000000007</v>
      </c>
      <c r="AF27" s="224"/>
      <c r="AG27" s="51">
        <f t="shared" si="0"/>
        <v>69649.820000000007</v>
      </c>
      <c r="AH27" s="44">
        <v>69252.73</v>
      </c>
    </row>
    <row r="28" spans="1:34" x14ac:dyDescent="0.35">
      <c r="A28" s="33" t="s">
        <v>34</v>
      </c>
      <c r="B28" s="223">
        <v>66912.330000000089</v>
      </c>
      <c r="C28" s="64">
        <v>66933.890000000087</v>
      </c>
      <c r="D28" s="64">
        <v>66954.770000000091</v>
      </c>
      <c r="E28" s="64">
        <v>66975.840000000098</v>
      </c>
      <c r="F28" s="64">
        <v>66997.120000000097</v>
      </c>
      <c r="G28" s="64">
        <v>67009.4200000001</v>
      </c>
      <c r="H28" s="64">
        <v>67028.610000000102</v>
      </c>
      <c r="I28" s="64">
        <v>67049.790000000095</v>
      </c>
      <c r="J28" s="64">
        <v>67065.430000000095</v>
      </c>
      <c r="K28" s="64">
        <v>67086.390000000101</v>
      </c>
      <c r="L28" s="64">
        <v>67088.120000000097</v>
      </c>
      <c r="M28" s="64">
        <v>67088.120000000097</v>
      </c>
      <c r="N28" s="64">
        <v>67088.120000000097</v>
      </c>
      <c r="O28" s="64">
        <v>67088.120000000097</v>
      </c>
      <c r="P28" s="64">
        <v>67088.120000000097</v>
      </c>
      <c r="Q28" s="64">
        <v>67088.12</v>
      </c>
      <c r="R28" s="64">
        <v>67088.12</v>
      </c>
      <c r="S28" s="64">
        <v>67096.08</v>
      </c>
      <c r="T28" s="64">
        <v>67114.460000000006</v>
      </c>
      <c r="U28" s="64">
        <v>67129.289999999994</v>
      </c>
      <c r="V28" s="64">
        <v>67144.12</v>
      </c>
      <c r="W28" s="64">
        <v>67164.820000000007</v>
      </c>
      <c r="X28" s="64">
        <v>67185.039999999994</v>
      </c>
      <c r="Y28" s="64">
        <v>67206.990000000005</v>
      </c>
      <c r="Z28" s="64">
        <v>67227.66</v>
      </c>
      <c r="AA28" s="64">
        <v>67249.539999999994</v>
      </c>
      <c r="AB28" s="64">
        <v>67271.42</v>
      </c>
      <c r="AC28" s="64">
        <v>67289.61</v>
      </c>
      <c r="AD28" s="64">
        <v>67305.7</v>
      </c>
      <c r="AE28" s="64">
        <v>67327.350000000006</v>
      </c>
      <c r="AF28" s="224"/>
      <c r="AG28" s="51">
        <f t="shared" si="0"/>
        <v>67327.350000000006</v>
      </c>
      <c r="AH28" s="44">
        <v>66891.67</v>
      </c>
    </row>
    <row r="29" spans="1:34" x14ac:dyDescent="0.35">
      <c r="A29" s="33" t="s">
        <v>35</v>
      </c>
      <c r="B29" s="223">
        <v>68186.540000000081</v>
      </c>
      <c r="C29" s="64">
        <v>68208.270000000077</v>
      </c>
      <c r="D29" s="64">
        <v>68227.890000000072</v>
      </c>
      <c r="E29" s="64">
        <v>68249.490000000078</v>
      </c>
      <c r="F29" s="64">
        <v>68270.900000000081</v>
      </c>
      <c r="G29" s="64">
        <v>68292.240000000078</v>
      </c>
      <c r="H29" s="64">
        <v>68308.020000000077</v>
      </c>
      <c r="I29" s="64">
        <v>68329.57000000008</v>
      </c>
      <c r="J29" s="64">
        <v>68340.230000000083</v>
      </c>
      <c r="K29" s="64">
        <v>68360.620000000083</v>
      </c>
      <c r="L29" s="64">
        <v>68381.880000000077</v>
      </c>
      <c r="M29" s="64">
        <v>68403.510000000082</v>
      </c>
      <c r="N29" s="64">
        <v>68424.890000000087</v>
      </c>
      <c r="O29" s="64">
        <v>68442.900000000081</v>
      </c>
      <c r="P29" s="64">
        <v>68464.230000000083</v>
      </c>
      <c r="Q29" s="64">
        <v>68484.759999999995</v>
      </c>
      <c r="R29" s="64">
        <v>68505.95</v>
      </c>
      <c r="S29" s="64">
        <v>68527.41</v>
      </c>
      <c r="T29" s="64">
        <v>68548.259999999995</v>
      </c>
      <c r="U29" s="64">
        <v>68569.72</v>
      </c>
      <c r="V29" s="64">
        <v>68591.179999999993</v>
      </c>
      <c r="W29" s="64">
        <v>68612.31</v>
      </c>
      <c r="X29" s="64">
        <v>68633.48</v>
      </c>
      <c r="Y29" s="64">
        <v>68653.789999999994</v>
      </c>
      <c r="Z29" s="64">
        <v>68675.02</v>
      </c>
      <c r="AA29" s="64">
        <v>68691.960000000006</v>
      </c>
      <c r="AB29" s="64">
        <v>68708.899999999994</v>
      </c>
      <c r="AC29" s="64">
        <v>68730.399999999994</v>
      </c>
      <c r="AD29" s="64">
        <v>68752.009999999995</v>
      </c>
      <c r="AE29" s="64">
        <v>68773.63</v>
      </c>
      <c r="AF29" s="224"/>
      <c r="AG29" s="51">
        <f t="shared" si="0"/>
        <v>68773.63</v>
      </c>
      <c r="AH29" s="44">
        <v>68164.84</v>
      </c>
    </row>
    <row r="30" spans="1:34" x14ac:dyDescent="0.35">
      <c r="A30" s="33" t="s">
        <v>36</v>
      </c>
      <c r="B30" s="223">
        <v>67769.160000000236</v>
      </c>
      <c r="C30" s="64">
        <v>67783.710000000239</v>
      </c>
      <c r="D30" s="64">
        <v>67801.060000000245</v>
      </c>
      <c r="E30" s="64">
        <v>67819.060000000245</v>
      </c>
      <c r="F30" s="64">
        <v>67819.060000000245</v>
      </c>
      <c r="G30" s="64">
        <v>67831.330000000249</v>
      </c>
      <c r="H30" s="64">
        <v>67852.950000000244</v>
      </c>
      <c r="I30" s="64">
        <v>67874.210000000239</v>
      </c>
      <c r="J30" s="64">
        <v>67895.520000000237</v>
      </c>
      <c r="K30" s="64">
        <v>67915.250000000233</v>
      </c>
      <c r="L30" s="64">
        <v>67937.030000000232</v>
      </c>
      <c r="M30" s="64">
        <v>67958.640000000232</v>
      </c>
      <c r="N30" s="64">
        <v>67980.090000000229</v>
      </c>
      <c r="O30" s="64">
        <v>68001.740000000224</v>
      </c>
      <c r="P30" s="64">
        <v>68018.060000000231</v>
      </c>
      <c r="Q30" s="64">
        <v>68039.600000000006</v>
      </c>
      <c r="R30" s="64">
        <v>68060.899999999994</v>
      </c>
      <c r="S30" s="64">
        <v>68078.8</v>
      </c>
      <c r="T30" s="64">
        <v>68079.03</v>
      </c>
      <c r="U30" s="64">
        <v>68100.25</v>
      </c>
      <c r="V30" s="64">
        <v>68121.47</v>
      </c>
      <c r="W30" s="64">
        <v>68136.52</v>
      </c>
      <c r="X30" s="64">
        <v>68157.919999999998</v>
      </c>
      <c r="Y30" s="64">
        <v>68179.55</v>
      </c>
      <c r="Z30" s="64">
        <v>68201.22</v>
      </c>
      <c r="AA30" s="64">
        <v>68222.95</v>
      </c>
      <c r="AB30" s="64">
        <v>68244.679999999993</v>
      </c>
      <c r="AC30" s="64">
        <v>68260.3</v>
      </c>
      <c r="AD30" s="64">
        <v>68282.039999999994</v>
      </c>
      <c r="AE30" s="64">
        <v>68303.990000000005</v>
      </c>
      <c r="AF30" s="224"/>
      <c r="AG30" s="51">
        <f t="shared" si="0"/>
        <v>68303.990000000005</v>
      </c>
      <c r="AH30" s="44">
        <v>67747.649999999994</v>
      </c>
    </row>
    <row r="31" spans="1:34" x14ac:dyDescent="0.35">
      <c r="A31" s="33" t="s">
        <v>37</v>
      </c>
      <c r="B31" s="223">
        <v>67794.390000000058</v>
      </c>
      <c r="C31" s="64">
        <v>67794.390000000058</v>
      </c>
      <c r="D31" s="64">
        <v>67794.390000000058</v>
      </c>
      <c r="E31" s="64">
        <v>67794.390000000058</v>
      </c>
      <c r="F31" s="64">
        <v>67794.390000000058</v>
      </c>
      <c r="G31" s="64">
        <v>67794.390000000058</v>
      </c>
      <c r="H31" s="64">
        <v>67794.390000000058</v>
      </c>
      <c r="I31" s="64">
        <v>67795.33000000006</v>
      </c>
      <c r="J31" s="64">
        <v>67798.340000000055</v>
      </c>
      <c r="K31" s="64">
        <v>67819.520000000048</v>
      </c>
      <c r="L31" s="64">
        <v>67837.360000000044</v>
      </c>
      <c r="M31" s="64">
        <v>67857.23000000004</v>
      </c>
      <c r="N31" s="64">
        <v>67862.200000000041</v>
      </c>
      <c r="O31" s="64">
        <v>67877.550000000047</v>
      </c>
      <c r="P31" s="64">
        <v>67890.23000000004</v>
      </c>
      <c r="Q31" s="64">
        <v>67911.399999999994</v>
      </c>
      <c r="R31" s="64">
        <v>67929.59</v>
      </c>
      <c r="S31" s="64">
        <v>67940.92</v>
      </c>
      <c r="T31" s="64">
        <v>67961.279999999999</v>
      </c>
      <c r="U31" s="64">
        <v>67982.509999999995</v>
      </c>
      <c r="V31" s="64">
        <v>68003.740000000005</v>
      </c>
      <c r="W31" s="64">
        <v>68024.740000000005</v>
      </c>
      <c r="X31" s="64">
        <v>68045.16</v>
      </c>
      <c r="Y31" s="64">
        <v>68046.37</v>
      </c>
      <c r="Z31" s="64">
        <v>68046.37</v>
      </c>
      <c r="AA31" s="64">
        <v>68046.37</v>
      </c>
      <c r="AB31" s="64">
        <v>68046.37</v>
      </c>
      <c r="AC31" s="64">
        <v>68066.259999999995</v>
      </c>
      <c r="AD31" s="64">
        <v>68082.41</v>
      </c>
      <c r="AE31" s="64">
        <v>68103.58</v>
      </c>
      <c r="AF31" s="224"/>
      <c r="AG31" s="51">
        <f t="shared" si="0"/>
        <v>68103.58</v>
      </c>
      <c r="AH31" s="44">
        <v>67794.39</v>
      </c>
    </row>
    <row r="32" spans="1:34" x14ac:dyDescent="0.35">
      <c r="A32" s="33" t="s">
        <v>38</v>
      </c>
      <c r="B32" s="223">
        <v>68127.960000000108</v>
      </c>
      <c r="C32" s="64">
        <v>68143.620000000112</v>
      </c>
      <c r="D32" s="64">
        <v>68161.020000000106</v>
      </c>
      <c r="E32" s="64">
        <v>68164.550000000105</v>
      </c>
      <c r="F32" s="64">
        <v>68178.620000000112</v>
      </c>
      <c r="G32" s="64">
        <v>68196.660000000105</v>
      </c>
      <c r="H32" s="64">
        <v>68218.030000000101</v>
      </c>
      <c r="I32" s="64">
        <v>68239.500000000102</v>
      </c>
      <c r="J32" s="64">
        <v>68260.730000000098</v>
      </c>
      <c r="K32" s="64">
        <v>68282.080000000104</v>
      </c>
      <c r="L32" s="64">
        <v>68303.020000000106</v>
      </c>
      <c r="M32" s="64">
        <v>68324.780000000101</v>
      </c>
      <c r="N32" s="64">
        <v>68346.590000000098</v>
      </c>
      <c r="O32" s="64">
        <v>68368.790000000095</v>
      </c>
      <c r="P32" s="64">
        <v>68388.850000000093</v>
      </c>
      <c r="Q32" s="64">
        <v>68411.17</v>
      </c>
      <c r="R32" s="64">
        <v>68432.55</v>
      </c>
      <c r="S32" s="64">
        <v>68450.61</v>
      </c>
      <c r="T32" s="64">
        <v>68467.95</v>
      </c>
      <c r="U32" s="64">
        <v>68488.94</v>
      </c>
      <c r="V32" s="64">
        <v>68509.929999999993</v>
      </c>
      <c r="W32" s="64">
        <v>68530.98</v>
      </c>
      <c r="X32" s="64">
        <v>68551.61</v>
      </c>
      <c r="Y32" s="64">
        <v>68573.070000000007</v>
      </c>
      <c r="Z32" s="64">
        <v>68594.710000000006</v>
      </c>
      <c r="AA32" s="64">
        <v>68616.149999999994</v>
      </c>
      <c r="AB32" s="64">
        <v>68637.59</v>
      </c>
      <c r="AC32" s="64">
        <v>68659.070000000007</v>
      </c>
      <c r="AD32" s="64">
        <v>68680.83</v>
      </c>
      <c r="AE32" s="64">
        <v>68702.490000000005</v>
      </c>
      <c r="AF32" s="224"/>
      <c r="AG32" s="51">
        <f t="shared" si="0"/>
        <v>68702.490000000005</v>
      </c>
      <c r="AH32" s="44">
        <v>68107.31</v>
      </c>
    </row>
    <row r="33" spans="1:34" x14ac:dyDescent="0.35">
      <c r="A33" s="33" t="s">
        <v>39</v>
      </c>
      <c r="B33" s="223">
        <v>67386.029999999912</v>
      </c>
      <c r="C33" s="64">
        <v>67407.229999999909</v>
      </c>
      <c r="D33" s="64">
        <v>67428.639999999912</v>
      </c>
      <c r="E33" s="64">
        <v>67450.039999999906</v>
      </c>
      <c r="F33" s="64">
        <v>67471.429999999906</v>
      </c>
      <c r="G33" s="64">
        <v>67487.349999999904</v>
      </c>
      <c r="H33" s="64">
        <v>67487.349999999904</v>
      </c>
      <c r="I33" s="64">
        <v>67487.349999999904</v>
      </c>
      <c r="J33" s="64">
        <v>67487.349999999904</v>
      </c>
      <c r="K33" s="64">
        <v>67490.959999999905</v>
      </c>
      <c r="L33" s="64">
        <v>67509.30999999991</v>
      </c>
      <c r="M33" s="64">
        <v>67527.319999999905</v>
      </c>
      <c r="N33" s="64">
        <v>67543.499999999898</v>
      </c>
      <c r="O33" s="64">
        <v>67560.599999999904</v>
      </c>
      <c r="P33" s="64">
        <v>67571.149999999907</v>
      </c>
      <c r="Q33" s="64">
        <v>67586.240000000005</v>
      </c>
      <c r="R33" s="64">
        <v>67608.149999999994</v>
      </c>
      <c r="S33" s="64">
        <v>67629.119999999995</v>
      </c>
      <c r="T33" s="64">
        <v>67649.850000000006</v>
      </c>
      <c r="U33" s="64">
        <v>67671.55</v>
      </c>
      <c r="V33" s="64">
        <v>67693.25</v>
      </c>
      <c r="W33" s="64">
        <v>67699.75</v>
      </c>
      <c r="X33" s="64">
        <v>67719.73</v>
      </c>
      <c r="Y33" s="64">
        <v>67741.59</v>
      </c>
      <c r="Z33" s="64">
        <v>67762.98</v>
      </c>
      <c r="AA33" s="64">
        <v>67784.67</v>
      </c>
      <c r="AB33" s="64">
        <v>67806.36</v>
      </c>
      <c r="AC33" s="64">
        <v>67827.92</v>
      </c>
      <c r="AD33" s="64">
        <v>67845.55</v>
      </c>
      <c r="AE33" s="64">
        <v>67867.199999999997</v>
      </c>
      <c r="AF33" s="224"/>
      <c r="AG33" s="51">
        <f t="shared" si="0"/>
        <v>67867.199999999997</v>
      </c>
      <c r="AH33" s="44">
        <v>67364.91</v>
      </c>
    </row>
    <row r="34" spans="1:34" x14ac:dyDescent="0.35">
      <c r="A34" s="33" t="s">
        <v>40</v>
      </c>
      <c r="B34" s="223">
        <v>49866.689999999893</v>
      </c>
      <c r="C34" s="64">
        <v>49886.559999999896</v>
      </c>
      <c r="D34" s="64">
        <v>49890.139999999898</v>
      </c>
      <c r="E34" s="64">
        <v>49910.5799999999</v>
      </c>
      <c r="F34" s="64">
        <v>49931.5099999999</v>
      </c>
      <c r="G34" s="64">
        <v>49947.479999999901</v>
      </c>
      <c r="H34" s="64">
        <v>49969.099999999904</v>
      </c>
      <c r="I34" s="64">
        <v>49987.119999999901</v>
      </c>
      <c r="J34" s="64">
        <v>50006.289999999899</v>
      </c>
      <c r="K34" s="64">
        <v>50027.999999999898</v>
      </c>
      <c r="L34" s="64">
        <v>50049.159999999902</v>
      </c>
      <c r="M34" s="64">
        <v>50070.929999999898</v>
      </c>
      <c r="N34" s="64">
        <v>50093.129999999896</v>
      </c>
      <c r="O34" s="64">
        <v>50105.039999999899</v>
      </c>
      <c r="P34" s="64">
        <v>50116.779999999897</v>
      </c>
      <c r="Q34" s="64">
        <v>50128.69</v>
      </c>
      <c r="R34" s="64">
        <v>50144.43</v>
      </c>
      <c r="S34" s="64">
        <v>50165</v>
      </c>
      <c r="T34" s="64">
        <v>50177.9</v>
      </c>
      <c r="U34" s="64">
        <v>50198.42</v>
      </c>
      <c r="V34" s="64">
        <v>50218.94</v>
      </c>
      <c r="W34" s="64">
        <v>50232.34</v>
      </c>
      <c r="X34" s="64">
        <v>50253.24</v>
      </c>
      <c r="Y34" s="64">
        <v>50274.64</v>
      </c>
      <c r="Z34" s="64">
        <v>50296.59</v>
      </c>
      <c r="AA34" s="64">
        <v>50318.239999999998</v>
      </c>
      <c r="AB34" s="64">
        <v>50339.89</v>
      </c>
      <c r="AC34" s="64">
        <v>50361.93</v>
      </c>
      <c r="AD34" s="64">
        <v>50384.05</v>
      </c>
      <c r="AE34" s="64">
        <v>50405.35</v>
      </c>
      <c r="AF34" s="224"/>
      <c r="AG34" s="51">
        <f t="shared" si="0"/>
        <v>50405.35</v>
      </c>
      <c r="AH34" s="44">
        <v>49844.91</v>
      </c>
    </row>
    <row r="35" spans="1:34" x14ac:dyDescent="0.35">
      <c r="A35" s="33" t="s">
        <v>41</v>
      </c>
      <c r="B35" s="223">
        <v>52462.219999999965</v>
      </c>
      <c r="C35" s="64">
        <v>52484.029999999962</v>
      </c>
      <c r="D35" s="64">
        <v>52505.779999999962</v>
      </c>
      <c r="E35" s="64">
        <v>52527.429999999964</v>
      </c>
      <c r="F35" s="64">
        <v>52546.319999999963</v>
      </c>
      <c r="G35" s="64">
        <v>52567.969999999965</v>
      </c>
      <c r="H35" s="64">
        <v>52579.499999999964</v>
      </c>
      <c r="I35" s="64">
        <v>52598.809999999961</v>
      </c>
      <c r="J35" s="64">
        <v>52617.669999999962</v>
      </c>
      <c r="K35" s="64">
        <v>52637.429999999964</v>
      </c>
      <c r="L35" s="64">
        <v>52658.799999999967</v>
      </c>
      <c r="M35" s="64">
        <v>52670.969999999965</v>
      </c>
      <c r="N35" s="64">
        <v>52684.819999999963</v>
      </c>
      <c r="O35" s="64">
        <v>52698.08999999996</v>
      </c>
      <c r="P35" s="64">
        <v>52719.249999999964</v>
      </c>
      <c r="Q35" s="64">
        <v>52739.59</v>
      </c>
      <c r="R35" s="64">
        <v>52757.279999999999</v>
      </c>
      <c r="S35" s="64">
        <v>52778.6</v>
      </c>
      <c r="T35" s="64">
        <v>52788.71</v>
      </c>
      <c r="U35" s="64">
        <v>52802.36</v>
      </c>
      <c r="V35" s="64">
        <v>52816.01</v>
      </c>
      <c r="W35" s="64">
        <v>52832.19</v>
      </c>
      <c r="X35" s="64">
        <v>52852.23</v>
      </c>
      <c r="Y35" s="64">
        <v>52873.89</v>
      </c>
      <c r="Z35" s="64">
        <v>52895.51</v>
      </c>
      <c r="AA35" s="64">
        <v>52912.800000000003</v>
      </c>
      <c r="AB35" s="64">
        <v>52930.09</v>
      </c>
      <c r="AC35" s="64">
        <v>52949.64</v>
      </c>
      <c r="AD35" s="64">
        <v>52970.95</v>
      </c>
      <c r="AE35" s="64">
        <v>52991.37</v>
      </c>
      <c r="AF35" s="224"/>
      <c r="AG35" s="51">
        <f t="shared" si="0"/>
        <v>52991.37</v>
      </c>
      <c r="AH35" s="44">
        <v>52440.88</v>
      </c>
    </row>
    <row r="36" spans="1:34" x14ac:dyDescent="0.35">
      <c r="A36" s="33" t="s">
        <v>42</v>
      </c>
      <c r="B36" s="223">
        <v>46984.270000000011</v>
      </c>
      <c r="C36" s="64">
        <v>47006.23000000001</v>
      </c>
      <c r="D36" s="64">
        <v>47022.720000000008</v>
      </c>
      <c r="E36" s="64">
        <v>47034.000000000007</v>
      </c>
      <c r="F36" s="64">
        <v>47053.740000000005</v>
      </c>
      <c r="G36" s="64">
        <v>47073.110000000008</v>
      </c>
      <c r="H36" s="64">
        <v>47094.55000000001</v>
      </c>
      <c r="I36" s="64">
        <v>47105.660000000011</v>
      </c>
      <c r="J36" s="64">
        <v>47124.450000000012</v>
      </c>
      <c r="K36" s="64">
        <v>47142.55000000001</v>
      </c>
      <c r="L36" s="64">
        <v>47160.280000000013</v>
      </c>
      <c r="M36" s="64">
        <v>47181.920000000013</v>
      </c>
      <c r="N36" s="64">
        <v>47203.290000000015</v>
      </c>
      <c r="O36" s="64">
        <v>47224.760000000017</v>
      </c>
      <c r="P36" s="64">
        <v>47245.600000000013</v>
      </c>
      <c r="Q36" s="64">
        <v>47267.82</v>
      </c>
      <c r="R36" s="64">
        <v>47284.27</v>
      </c>
      <c r="S36" s="64">
        <v>47300.31</v>
      </c>
      <c r="T36" s="64">
        <v>47320.27</v>
      </c>
      <c r="U36" s="64">
        <v>47332.33</v>
      </c>
      <c r="V36" s="64">
        <v>47344.39</v>
      </c>
      <c r="W36" s="64">
        <v>47364.45</v>
      </c>
      <c r="X36" s="64">
        <v>47376.44</v>
      </c>
      <c r="Y36" s="64">
        <v>47394.09</v>
      </c>
      <c r="Z36" s="64">
        <v>47415.3</v>
      </c>
      <c r="AA36" s="64">
        <v>47433.17</v>
      </c>
      <c r="AB36" s="64">
        <v>47451.040000000001</v>
      </c>
      <c r="AC36" s="64">
        <v>47472.71</v>
      </c>
      <c r="AD36" s="64">
        <v>47482.78</v>
      </c>
      <c r="AE36" s="64">
        <v>47494.28</v>
      </c>
      <c r="AF36" s="224"/>
      <c r="AG36" s="51">
        <f t="shared" ref="AG36:AG67" si="1">MAX(B36:AF36)</f>
        <v>47494.28</v>
      </c>
      <c r="AH36" s="44">
        <v>46973.25</v>
      </c>
    </row>
    <row r="37" spans="1:34" x14ac:dyDescent="0.35">
      <c r="A37" s="33" t="s">
        <v>43</v>
      </c>
      <c r="B37" s="223">
        <v>52303.070000000043</v>
      </c>
      <c r="C37" s="64">
        <v>52321.370000000046</v>
      </c>
      <c r="D37" s="64">
        <v>52334.860000000044</v>
      </c>
      <c r="E37" s="64">
        <v>52345.050000000047</v>
      </c>
      <c r="F37" s="64">
        <v>52359.740000000049</v>
      </c>
      <c r="G37" s="64">
        <v>52375.160000000047</v>
      </c>
      <c r="H37" s="64">
        <v>52396.000000000044</v>
      </c>
      <c r="I37" s="64">
        <v>52412.490000000042</v>
      </c>
      <c r="J37" s="64">
        <v>52434.260000000038</v>
      </c>
      <c r="K37" s="64">
        <v>52455.380000000041</v>
      </c>
      <c r="L37" s="64">
        <v>52476.830000000038</v>
      </c>
      <c r="M37" s="64">
        <v>52492.040000000037</v>
      </c>
      <c r="N37" s="64">
        <v>52512.800000000039</v>
      </c>
      <c r="O37" s="64">
        <v>52529.380000000041</v>
      </c>
      <c r="P37" s="64">
        <v>52550.800000000039</v>
      </c>
      <c r="Q37" s="64">
        <v>52568.6</v>
      </c>
      <c r="R37" s="64">
        <v>52584.959999999999</v>
      </c>
      <c r="S37" s="64">
        <v>52606.58</v>
      </c>
      <c r="T37" s="64">
        <v>52628.26</v>
      </c>
      <c r="U37" s="64">
        <v>52649.91</v>
      </c>
      <c r="V37" s="64">
        <v>52671.56</v>
      </c>
      <c r="W37" s="64">
        <v>52691.77</v>
      </c>
      <c r="X37" s="64">
        <v>52713.71</v>
      </c>
      <c r="Y37" s="64">
        <v>52735.17</v>
      </c>
      <c r="Z37" s="64">
        <v>52745.919999999998</v>
      </c>
      <c r="AA37" s="64">
        <v>52750.75</v>
      </c>
      <c r="AB37" s="64">
        <v>52755.58</v>
      </c>
      <c r="AC37" s="64">
        <v>52771.12</v>
      </c>
      <c r="AD37" s="64">
        <v>52788.03</v>
      </c>
      <c r="AE37" s="64">
        <v>52803.41</v>
      </c>
      <c r="AF37" s="224"/>
      <c r="AG37" s="51">
        <f t="shared" si="1"/>
        <v>52803.41</v>
      </c>
      <c r="AH37" s="44">
        <v>52284.58</v>
      </c>
    </row>
    <row r="38" spans="1:34" x14ac:dyDescent="0.35">
      <c r="A38" s="33" t="s">
        <v>44</v>
      </c>
      <c r="B38" s="223">
        <v>52891.660000000062</v>
      </c>
      <c r="C38" s="64">
        <v>52891.660000000062</v>
      </c>
      <c r="D38" s="64">
        <v>52891.660000000062</v>
      </c>
      <c r="E38" s="64">
        <v>52891.660000000062</v>
      </c>
      <c r="F38" s="64">
        <v>52903.540000000059</v>
      </c>
      <c r="G38" s="64">
        <v>52924.40000000006</v>
      </c>
      <c r="H38" s="64">
        <v>52946.180000000058</v>
      </c>
      <c r="I38" s="64">
        <v>52964.33000000006</v>
      </c>
      <c r="J38" s="64">
        <v>52975.130000000063</v>
      </c>
      <c r="K38" s="64">
        <v>52996.750000000065</v>
      </c>
      <c r="L38" s="64">
        <v>53010.060000000063</v>
      </c>
      <c r="M38" s="64">
        <v>53022.130000000063</v>
      </c>
      <c r="N38" s="64">
        <v>53043.800000000061</v>
      </c>
      <c r="O38" s="64">
        <v>53065.440000000061</v>
      </c>
      <c r="P38" s="64">
        <v>53082.810000000063</v>
      </c>
      <c r="Q38" s="64">
        <v>53103.14</v>
      </c>
      <c r="R38" s="64">
        <v>53119.79</v>
      </c>
      <c r="S38" s="64">
        <v>53133.64</v>
      </c>
      <c r="T38" s="64">
        <v>53154.32</v>
      </c>
      <c r="U38" s="64">
        <v>53175.62</v>
      </c>
      <c r="V38" s="64">
        <v>53196.92</v>
      </c>
      <c r="W38" s="64">
        <v>53218.41</v>
      </c>
      <c r="X38" s="64">
        <v>53239.58</v>
      </c>
      <c r="Y38" s="64">
        <v>53259.21</v>
      </c>
      <c r="Z38" s="64">
        <v>53280.75</v>
      </c>
      <c r="AA38" s="64">
        <v>53301.06</v>
      </c>
      <c r="AB38" s="64">
        <v>53321.37</v>
      </c>
      <c r="AC38" s="64">
        <v>53342.86</v>
      </c>
      <c r="AD38" s="64">
        <v>53364.480000000003</v>
      </c>
      <c r="AE38" s="64">
        <v>53385.66</v>
      </c>
      <c r="AF38" s="224"/>
      <c r="AG38" s="51">
        <f t="shared" si="1"/>
        <v>53385.66</v>
      </c>
      <c r="AH38" s="44">
        <v>52891.66</v>
      </c>
    </row>
    <row r="39" spans="1:34" x14ac:dyDescent="0.35">
      <c r="A39" s="33" t="s">
        <v>45</v>
      </c>
      <c r="B39" s="223">
        <v>51531.769999999931</v>
      </c>
      <c r="C39" s="64">
        <v>51536.059999999932</v>
      </c>
      <c r="D39" s="64">
        <v>51536.059999999932</v>
      </c>
      <c r="E39" s="64">
        <v>51536.059999999932</v>
      </c>
      <c r="F39" s="64">
        <v>51536.059999999932</v>
      </c>
      <c r="G39" s="64">
        <v>51545.97999999993</v>
      </c>
      <c r="H39" s="64">
        <v>51560.829999999929</v>
      </c>
      <c r="I39" s="64">
        <v>51579.489999999932</v>
      </c>
      <c r="J39" s="64">
        <v>51591.839999999931</v>
      </c>
      <c r="K39" s="64">
        <v>51611.04999999993</v>
      </c>
      <c r="L39" s="64">
        <v>51632.569999999927</v>
      </c>
      <c r="M39" s="64">
        <v>51653.829999999929</v>
      </c>
      <c r="N39" s="64">
        <v>51657.79999999993</v>
      </c>
      <c r="O39" s="64">
        <v>51657.79999999993</v>
      </c>
      <c r="P39" s="64">
        <v>51657.79999999993</v>
      </c>
      <c r="Q39" s="64">
        <v>51657.8</v>
      </c>
      <c r="R39" s="64">
        <v>51657.8</v>
      </c>
      <c r="S39" s="64">
        <v>51657.8</v>
      </c>
      <c r="T39" s="64">
        <v>51667.09</v>
      </c>
      <c r="U39" s="64">
        <v>51688.17</v>
      </c>
      <c r="V39" s="64">
        <v>51709.25</v>
      </c>
      <c r="W39" s="64">
        <v>51728.23</v>
      </c>
      <c r="X39" s="64">
        <v>51747.38</v>
      </c>
      <c r="Y39" s="64">
        <v>51751.13</v>
      </c>
      <c r="Z39" s="64">
        <v>51758.41</v>
      </c>
      <c r="AA39" s="64">
        <v>51763.93</v>
      </c>
      <c r="AB39" s="64">
        <v>51769.45</v>
      </c>
      <c r="AC39" s="64">
        <v>51786.95</v>
      </c>
      <c r="AD39" s="64">
        <v>51807.58</v>
      </c>
      <c r="AE39" s="64">
        <v>51824.52</v>
      </c>
      <c r="AF39" s="224"/>
      <c r="AG39" s="51">
        <f t="shared" si="1"/>
        <v>51824.52</v>
      </c>
      <c r="AH39" s="44">
        <v>51511.03</v>
      </c>
    </row>
    <row r="40" spans="1:34" x14ac:dyDescent="0.35">
      <c r="A40" s="33" t="s">
        <v>46</v>
      </c>
      <c r="B40" s="223">
        <v>52541.299999999967</v>
      </c>
      <c r="C40" s="64">
        <v>52563.129999999968</v>
      </c>
      <c r="D40" s="64">
        <v>52585.049999999967</v>
      </c>
      <c r="E40" s="64">
        <v>52603.769999999968</v>
      </c>
      <c r="F40" s="64">
        <v>52625.859999999964</v>
      </c>
      <c r="G40" s="64">
        <v>52643.309999999961</v>
      </c>
      <c r="H40" s="64">
        <v>52663.749999999964</v>
      </c>
      <c r="I40" s="64">
        <v>52686.009999999966</v>
      </c>
      <c r="J40" s="64">
        <v>52706.679999999964</v>
      </c>
      <c r="K40" s="64">
        <v>52720.279999999962</v>
      </c>
      <c r="L40" s="64">
        <v>52729.65999999996</v>
      </c>
      <c r="M40" s="64">
        <v>52750.399999999958</v>
      </c>
      <c r="N40" s="64">
        <v>52765.989999999954</v>
      </c>
      <c r="O40" s="64">
        <v>52785.919999999955</v>
      </c>
      <c r="P40" s="64">
        <v>52807.409999999953</v>
      </c>
      <c r="Q40" s="64">
        <v>52828.53</v>
      </c>
      <c r="R40" s="64">
        <v>52849.4</v>
      </c>
      <c r="S40" s="64">
        <v>52870.59</v>
      </c>
      <c r="T40" s="64">
        <v>52891.42</v>
      </c>
      <c r="U40" s="64">
        <v>52912.22</v>
      </c>
      <c r="V40" s="64">
        <v>52933.02</v>
      </c>
      <c r="W40" s="64">
        <v>52953.43</v>
      </c>
      <c r="X40" s="64">
        <v>52973.68</v>
      </c>
      <c r="Y40" s="64">
        <v>52993.32</v>
      </c>
      <c r="Z40" s="64">
        <v>53014.26</v>
      </c>
      <c r="AA40" s="64">
        <v>53035.6</v>
      </c>
      <c r="AB40" s="64">
        <v>53056.94</v>
      </c>
      <c r="AC40" s="64">
        <v>53078.3</v>
      </c>
      <c r="AD40" s="64">
        <v>53089.94</v>
      </c>
      <c r="AE40" s="64">
        <v>53109.72</v>
      </c>
      <c r="AF40" s="224"/>
      <c r="AG40" s="51">
        <f t="shared" si="1"/>
        <v>53109.72</v>
      </c>
      <c r="AH40" s="44">
        <v>52520.01</v>
      </c>
    </row>
    <row r="41" spans="1:34" x14ac:dyDescent="0.35">
      <c r="A41" s="33" t="s">
        <v>47</v>
      </c>
      <c r="B41" s="223">
        <v>50182.729999999996</v>
      </c>
      <c r="C41" s="64">
        <v>50203.689999999995</v>
      </c>
      <c r="D41" s="64">
        <v>50225.999999999993</v>
      </c>
      <c r="E41" s="64">
        <v>50247.539999999994</v>
      </c>
      <c r="F41" s="64">
        <v>50257.829999999994</v>
      </c>
      <c r="G41" s="64">
        <v>50260.81</v>
      </c>
      <c r="H41" s="64">
        <v>50283.39</v>
      </c>
      <c r="I41" s="64">
        <v>50305.88</v>
      </c>
      <c r="J41" s="64">
        <v>50328.2</v>
      </c>
      <c r="K41" s="64">
        <v>50349.67</v>
      </c>
      <c r="L41" s="64">
        <v>50370.93</v>
      </c>
      <c r="M41" s="64">
        <v>50391.98</v>
      </c>
      <c r="N41" s="64">
        <v>50412.700000000004</v>
      </c>
      <c r="O41" s="64">
        <v>50433.98</v>
      </c>
      <c r="P41" s="64">
        <v>50455.41</v>
      </c>
      <c r="Q41" s="64">
        <v>50475.96</v>
      </c>
      <c r="R41" s="64">
        <v>50497.58</v>
      </c>
      <c r="S41" s="64">
        <v>50519</v>
      </c>
      <c r="T41" s="64">
        <v>50541.02</v>
      </c>
      <c r="U41" s="64">
        <v>50562.559999999998</v>
      </c>
      <c r="V41" s="64">
        <v>50584.1</v>
      </c>
      <c r="W41" s="64">
        <v>50605.5</v>
      </c>
      <c r="X41" s="64">
        <v>50627.43</v>
      </c>
      <c r="Y41" s="64">
        <v>50648.69</v>
      </c>
      <c r="Z41" s="64">
        <v>50670.25</v>
      </c>
      <c r="AA41" s="64">
        <v>50691.65</v>
      </c>
      <c r="AB41" s="64">
        <v>50713.05</v>
      </c>
      <c r="AC41" s="64">
        <v>50733.93</v>
      </c>
      <c r="AD41" s="64">
        <v>50744.6</v>
      </c>
      <c r="AE41" s="64">
        <v>50763.8</v>
      </c>
      <c r="AF41" s="224"/>
      <c r="AG41" s="51">
        <f t="shared" si="1"/>
        <v>50763.8</v>
      </c>
      <c r="AH41" s="44">
        <v>50162.74</v>
      </c>
    </row>
    <row r="42" spans="1:34" x14ac:dyDescent="0.35">
      <c r="A42" s="33" t="s">
        <v>48</v>
      </c>
      <c r="B42" s="223">
        <v>43081.489999999947</v>
      </c>
      <c r="C42" s="64">
        <v>43102.249999999949</v>
      </c>
      <c r="D42" s="64">
        <v>43123.069999999949</v>
      </c>
      <c r="E42" s="64">
        <v>43143.649999999951</v>
      </c>
      <c r="F42" s="64">
        <v>43159.909999999953</v>
      </c>
      <c r="G42" s="64">
        <v>43181.689999999951</v>
      </c>
      <c r="H42" s="64">
        <v>43196.459999999948</v>
      </c>
      <c r="I42" s="64">
        <v>43216.369999999952</v>
      </c>
      <c r="J42" s="64">
        <v>43237.169999999955</v>
      </c>
      <c r="K42" s="64">
        <v>43250.719999999958</v>
      </c>
      <c r="L42" s="64">
        <v>43268.079999999958</v>
      </c>
      <c r="M42" s="64">
        <v>43289.489999999962</v>
      </c>
      <c r="N42" s="64">
        <v>43295.749999999964</v>
      </c>
      <c r="O42" s="64">
        <v>43295.749999999964</v>
      </c>
      <c r="P42" s="64">
        <v>43295.749999999964</v>
      </c>
      <c r="Q42" s="64">
        <v>43295.75</v>
      </c>
      <c r="R42" s="64">
        <v>43295.75</v>
      </c>
      <c r="S42" s="64">
        <v>43295.75</v>
      </c>
      <c r="T42" s="64">
        <v>43297.49</v>
      </c>
      <c r="U42" s="64">
        <v>43319.06</v>
      </c>
      <c r="V42" s="64">
        <v>43340.63</v>
      </c>
      <c r="W42" s="64">
        <v>43360.79</v>
      </c>
      <c r="X42" s="64">
        <v>43377.69</v>
      </c>
      <c r="Y42" s="64">
        <v>43391.81</v>
      </c>
      <c r="Z42" s="64">
        <v>43412.38</v>
      </c>
      <c r="AA42" s="64">
        <v>43421.36</v>
      </c>
      <c r="AB42" s="64">
        <v>43430.34</v>
      </c>
      <c r="AC42" s="64">
        <v>43449.46</v>
      </c>
      <c r="AD42" s="64">
        <v>43459.71</v>
      </c>
      <c r="AE42" s="64">
        <v>43481.59</v>
      </c>
      <c r="AF42" s="224"/>
      <c r="AG42" s="51">
        <f t="shared" si="1"/>
        <v>43481.59</v>
      </c>
      <c r="AH42" s="44">
        <v>43059.89</v>
      </c>
    </row>
    <row r="43" spans="1:34" x14ac:dyDescent="0.35">
      <c r="A43" s="33" t="s">
        <v>49</v>
      </c>
      <c r="B43" s="223">
        <v>52713.399999999878</v>
      </c>
      <c r="C43" s="64">
        <v>52730.169999999875</v>
      </c>
      <c r="D43" s="64">
        <v>52751.449999999873</v>
      </c>
      <c r="E43" s="64">
        <v>52768.989999999874</v>
      </c>
      <c r="F43" s="64">
        <v>52790.439999999871</v>
      </c>
      <c r="G43" s="64">
        <v>52804.029999999868</v>
      </c>
      <c r="H43" s="64">
        <v>52817.60999999987</v>
      </c>
      <c r="I43" s="64">
        <v>52838.85999999987</v>
      </c>
      <c r="J43" s="64">
        <v>52860.089999999873</v>
      </c>
      <c r="K43" s="64">
        <v>52879.769999999873</v>
      </c>
      <c r="L43" s="64">
        <v>52890.829999999871</v>
      </c>
      <c r="M43" s="64">
        <v>52912.619999999872</v>
      </c>
      <c r="N43" s="64">
        <v>52931.10999999987</v>
      </c>
      <c r="O43" s="64">
        <v>52942.099999999868</v>
      </c>
      <c r="P43" s="64">
        <v>52963.739999999867</v>
      </c>
      <c r="Q43" s="64">
        <v>52985.17</v>
      </c>
      <c r="R43" s="64">
        <v>52990.559999999998</v>
      </c>
      <c r="S43" s="64">
        <v>53011.27</v>
      </c>
      <c r="T43" s="64">
        <v>53029.64</v>
      </c>
      <c r="U43" s="64">
        <v>53043.89</v>
      </c>
      <c r="V43" s="64">
        <v>53058.14</v>
      </c>
      <c r="W43" s="64">
        <v>53076.77</v>
      </c>
      <c r="X43" s="64">
        <v>53095.040000000001</v>
      </c>
      <c r="Y43" s="64">
        <v>53097.54</v>
      </c>
      <c r="Z43" s="64">
        <v>53097.54</v>
      </c>
      <c r="AA43" s="64">
        <v>53114.9</v>
      </c>
      <c r="AB43" s="64">
        <v>53132.26</v>
      </c>
      <c r="AC43" s="64">
        <v>53153.73</v>
      </c>
      <c r="AD43" s="64">
        <v>53171.23</v>
      </c>
      <c r="AE43" s="64">
        <v>53171.23</v>
      </c>
      <c r="AF43" s="224"/>
      <c r="AG43" s="51">
        <f t="shared" si="1"/>
        <v>53171.23</v>
      </c>
      <c r="AH43" s="44">
        <v>52703.26</v>
      </c>
    </row>
    <row r="44" spans="1:34" x14ac:dyDescent="0.35">
      <c r="A44" s="33" t="s">
        <v>50</v>
      </c>
      <c r="B44" s="223">
        <v>52582.82999999998</v>
      </c>
      <c r="C44" s="64">
        <v>52598.879999999983</v>
      </c>
      <c r="D44" s="64">
        <v>52620.489999999983</v>
      </c>
      <c r="E44" s="64">
        <v>52642.119999999981</v>
      </c>
      <c r="F44" s="64">
        <v>52663.129999999983</v>
      </c>
      <c r="G44" s="64">
        <v>52681.809999999983</v>
      </c>
      <c r="H44" s="64">
        <v>52700.809999999983</v>
      </c>
      <c r="I44" s="64">
        <v>52700.809999999983</v>
      </c>
      <c r="J44" s="64">
        <v>52705.969999999987</v>
      </c>
      <c r="K44" s="64">
        <v>52721.929999999986</v>
      </c>
      <c r="L44" s="64">
        <v>52743.069999999985</v>
      </c>
      <c r="M44" s="64">
        <v>52763.179999999986</v>
      </c>
      <c r="N44" s="64">
        <v>52784.609999999986</v>
      </c>
      <c r="O44" s="64">
        <v>52805.989999999983</v>
      </c>
      <c r="P44" s="64">
        <v>52809.889999999985</v>
      </c>
      <c r="Q44" s="64">
        <v>52822.36</v>
      </c>
      <c r="R44" s="64">
        <v>52839.99</v>
      </c>
      <c r="S44" s="64">
        <v>52860.82</v>
      </c>
      <c r="T44" s="64">
        <v>52881.37</v>
      </c>
      <c r="U44" s="64">
        <v>52902.9</v>
      </c>
      <c r="V44" s="64">
        <v>52924.43</v>
      </c>
      <c r="W44" s="64">
        <v>52945.599999999999</v>
      </c>
      <c r="X44" s="64">
        <v>52964.800000000003</v>
      </c>
      <c r="Y44" s="64">
        <v>52982.51</v>
      </c>
      <c r="Z44" s="64">
        <v>53004.26</v>
      </c>
      <c r="AA44" s="64">
        <v>53017.46</v>
      </c>
      <c r="AB44" s="64">
        <v>53030.66</v>
      </c>
      <c r="AC44" s="64">
        <v>53038.14</v>
      </c>
      <c r="AD44" s="64">
        <v>53057.8</v>
      </c>
      <c r="AE44" s="64">
        <v>53058.2</v>
      </c>
      <c r="AF44" s="224"/>
      <c r="AG44" s="51">
        <f t="shared" si="1"/>
        <v>53058.2</v>
      </c>
      <c r="AH44" s="44">
        <v>52564.02</v>
      </c>
    </row>
    <row r="45" spans="1:34" x14ac:dyDescent="0.35">
      <c r="A45" s="33" t="s">
        <v>51</v>
      </c>
      <c r="B45" s="223">
        <v>52287.909999999902</v>
      </c>
      <c r="C45" s="64">
        <v>52309.499999999898</v>
      </c>
      <c r="D45" s="64">
        <v>52330.799999999901</v>
      </c>
      <c r="E45" s="64">
        <v>52352.169999999904</v>
      </c>
      <c r="F45" s="64">
        <v>52371.5099999999</v>
      </c>
      <c r="G45" s="64">
        <v>52392.539999999899</v>
      </c>
      <c r="H45" s="64">
        <v>52413.089999999902</v>
      </c>
      <c r="I45" s="64">
        <v>52434.599999999904</v>
      </c>
      <c r="J45" s="64">
        <v>52456.269999999902</v>
      </c>
      <c r="K45" s="64">
        <v>52478.169999999904</v>
      </c>
      <c r="L45" s="64">
        <v>52499.899999999907</v>
      </c>
      <c r="M45" s="64">
        <v>52521.649999999907</v>
      </c>
      <c r="N45" s="64">
        <v>52541.149999999907</v>
      </c>
      <c r="O45" s="64">
        <v>52557.689999999908</v>
      </c>
      <c r="P45" s="64">
        <v>52569.94999999991</v>
      </c>
      <c r="Q45" s="64">
        <v>52590.26</v>
      </c>
      <c r="R45" s="64">
        <v>52611.47</v>
      </c>
      <c r="S45" s="64">
        <v>52623.01</v>
      </c>
      <c r="T45" s="64">
        <v>52644.07</v>
      </c>
      <c r="U45" s="64">
        <v>52661.21</v>
      </c>
      <c r="V45" s="64">
        <v>52678.35</v>
      </c>
      <c r="W45" s="64">
        <v>52699.69</v>
      </c>
      <c r="X45" s="64">
        <v>52717.38</v>
      </c>
      <c r="Y45" s="64">
        <v>52738.71</v>
      </c>
      <c r="Z45" s="64">
        <v>52759.7</v>
      </c>
      <c r="AA45" s="64">
        <v>52780.24</v>
      </c>
      <c r="AB45" s="64">
        <v>52800.78</v>
      </c>
      <c r="AC45" s="64">
        <v>52819.74</v>
      </c>
      <c r="AD45" s="64">
        <v>52836.32</v>
      </c>
      <c r="AE45" s="64">
        <v>52858.14</v>
      </c>
      <c r="AF45" s="224"/>
      <c r="AG45" s="51">
        <f t="shared" si="1"/>
        <v>52858.14</v>
      </c>
      <c r="AH45" s="44">
        <v>52266.720000000001</v>
      </c>
    </row>
    <row r="46" spans="1:34" x14ac:dyDescent="0.35">
      <c r="A46" s="33" t="s">
        <v>52</v>
      </c>
      <c r="B46" s="223">
        <v>44465.320000000058</v>
      </c>
      <c r="C46" s="64">
        <v>44486.870000000061</v>
      </c>
      <c r="D46" s="64">
        <v>44507.950000000063</v>
      </c>
      <c r="E46" s="64">
        <v>44523.350000000064</v>
      </c>
      <c r="F46" s="64">
        <v>44544.460000000065</v>
      </c>
      <c r="G46" s="64">
        <v>44565.800000000061</v>
      </c>
      <c r="H46" s="64">
        <v>44586.800000000061</v>
      </c>
      <c r="I46" s="64">
        <v>44603.33000000006</v>
      </c>
      <c r="J46" s="64">
        <v>44624.530000000057</v>
      </c>
      <c r="K46" s="64">
        <v>44645.670000000056</v>
      </c>
      <c r="L46" s="64">
        <v>44667.310000000056</v>
      </c>
      <c r="M46" s="64">
        <v>44689.260000000053</v>
      </c>
      <c r="N46" s="64">
        <v>44700.860000000052</v>
      </c>
      <c r="O46" s="64">
        <v>44708.850000000049</v>
      </c>
      <c r="P46" s="64">
        <v>44730.670000000049</v>
      </c>
      <c r="Q46" s="64">
        <v>44750.63</v>
      </c>
      <c r="R46" s="64">
        <v>44752.52</v>
      </c>
      <c r="S46" s="64">
        <v>44763.360000000001</v>
      </c>
      <c r="T46" s="64">
        <v>44781.56</v>
      </c>
      <c r="U46" s="64">
        <v>44797.15</v>
      </c>
      <c r="V46" s="64">
        <v>44812.74</v>
      </c>
      <c r="W46" s="64">
        <v>44834.18</v>
      </c>
      <c r="X46" s="64">
        <v>44855.03</v>
      </c>
      <c r="Y46" s="64">
        <v>44876.47</v>
      </c>
      <c r="Z46" s="64">
        <v>44898.21</v>
      </c>
      <c r="AA46" s="64">
        <v>44919.99</v>
      </c>
      <c r="AB46" s="64">
        <v>44941.77</v>
      </c>
      <c r="AC46" s="64">
        <v>44963.82</v>
      </c>
      <c r="AD46" s="64">
        <v>44985.56</v>
      </c>
      <c r="AE46" s="64">
        <v>45007.78</v>
      </c>
      <c r="AF46" s="224"/>
      <c r="AG46" s="51">
        <f t="shared" si="1"/>
        <v>45007.78</v>
      </c>
      <c r="AH46" s="44">
        <v>44445.1</v>
      </c>
    </row>
    <row r="47" spans="1:34" x14ac:dyDescent="0.35">
      <c r="A47" s="33" t="s">
        <v>53</v>
      </c>
      <c r="B47" s="223">
        <v>46549.75</v>
      </c>
      <c r="C47" s="64">
        <v>46559.26</v>
      </c>
      <c r="D47" s="64">
        <v>46578.28</v>
      </c>
      <c r="E47" s="64">
        <v>46599.42</v>
      </c>
      <c r="F47" s="64">
        <v>46611.63</v>
      </c>
      <c r="G47" s="64">
        <v>46611.63</v>
      </c>
      <c r="H47" s="64">
        <v>46611.63</v>
      </c>
      <c r="I47" s="64">
        <v>46631.43</v>
      </c>
      <c r="J47" s="64">
        <v>46652.41</v>
      </c>
      <c r="K47" s="64">
        <v>46663.820000000007</v>
      </c>
      <c r="L47" s="64">
        <v>46684.010000000009</v>
      </c>
      <c r="M47" s="64">
        <v>46705.760000000009</v>
      </c>
      <c r="N47" s="64">
        <v>46727.110000000008</v>
      </c>
      <c r="O47" s="64">
        <v>46742.410000000011</v>
      </c>
      <c r="P47" s="64">
        <v>46763.610000000008</v>
      </c>
      <c r="Q47" s="64">
        <v>46777.21</v>
      </c>
      <c r="R47" s="64">
        <v>46797.15</v>
      </c>
      <c r="S47" s="64">
        <v>46818.28</v>
      </c>
      <c r="T47" s="64">
        <v>46839.57</v>
      </c>
      <c r="U47" s="64">
        <v>46860.66</v>
      </c>
      <c r="V47" s="64">
        <v>46881.75</v>
      </c>
      <c r="W47" s="64">
        <v>46898.53</v>
      </c>
      <c r="X47" s="64">
        <v>46918.84</v>
      </c>
      <c r="Y47" s="64">
        <v>46925.84</v>
      </c>
      <c r="Z47" s="64">
        <v>46925.84</v>
      </c>
      <c r="AA47" s="64">
        <v>46942.73</v>
      </c>
      <c r="AB47" s="64">
        <v>46959.62</v>
      </c>
      <c r="AC47" s="64">
        <v>46981.32</v>
      </c>
      <c r="AD47" s="64">
        <v>46994.44</v>
      </c>
      <c r="AE47" s="64">
        <v>47011.97</v>
      </c>
      <c r="AF47" s="224"/>
      <c r="AG47" s="51">
        <f t="shared" si="1"/>
        <v>47011.97</v>
      </c>
      <c r="AH47" s="44">
        <v>46529.16</v>
      </c>
    </row>
    <row r="48" spans="1:34" x14ac:dyDescent="0.35">
      <c r="A48" s="33" t="s">
        <v>54</v>
      </c>
      <c r="B48" s="223">
        <v>45207.719999999936</v>
      </c>
      <c r="C48" s="64">
        <v>45207.719999999936</v>
      </c>
      <c r="D48" s="64">
        <v>45222.319999999934</v>
      </c>
      <c r="E48" s="64">
        <v>45233.949999999932</v>
      </c>
      <c r="F48" s="64">
        <v>45250.959999999934</v>
      </c>
      <c r="G48" s="64">
        <v>45274.429999999935</v>
      </c>
      <c r="H48" s="64">
        <v>45286.309999999932</v>
      </c>
      <c r="I48" s="64">
        <v>45286.579999999929</v>
      </c>
      <c r="J48" s="64">
        <v>45297.889999999927</v>
      </c>
      <c r="K48" s="64">
        <v>45298.809999999925</v>
      </c>
      <c r="L48" s="64">
        <v>45306.919999999925</v>
      </c>
      <c r="M48" s="64">
        <v>45306.919999999925</v>
      </c>
      <c r="N48" s="64">
        <v>45320.149999999929</v>
      </c>
      <c r="O48" s="64">
        <v>45329.319999999927</v>
      </c>
      <c r="P48" s="64">
        <v>45342.759999999929</v>
      </c>
      <c r="Q48" s="64">
        <v>45357.49</v>
      </c>
      <c r="R48" s="64">
        <v>45380.74</v>
      </c>
      <c r="S48" s="64">
        <v>45397.62</v>
      </c>
      <c r="T48" s="64">
        <v>45416.24</v>
      </c>
      <c r="U48" s="64">
        <v>45435.41</v>
      </c>
      <c r="V48" s="64">
        <v>45454.58</v>
      </c>
      <c r="W48" s="64">
        <v>45461.42</v>
      </c>
      <c r="X48" s="64">
        <v>45479.67</v>
      </c>
      <c r="Y48" s="64">
        <v>45497.66</v>
      </c>
      <c r="Z48" s="64">
        <v>45516.09</v>
      </c>
      <c r="AA48" s="64">
        <v>45537.33</v>
      </c>
      <c r="AB48" s="64">
        <v>45558.57</v>
      </c>
      <c r="AC48" s="64">
        <v>45577.22</v>
      </c>
      <c r="AD48" s="64">
        <v>45583.89</v>
      </c>
      <c r="AE48" s="64">
        <v>45603.58</v>
      </c>
      <c r="AF48" s="224"/>
      <c r="AG48" s="51">
        <f t="shared" si="1"/>
        <v>45603.58</v>
      </c>
      <c r="AH48" s="44">
        <v>45194.879999999997</v>
      </c>
    </row>
    <row r="49" spans="1:34" x14ac:dyDescent="0.35">
      <c r="A49" s="33" t="s">
        <v>55</v>
      </c>
      <c r="B49" s="223">
        <v>45009.950000000063</v>
      </c>
      <c r="C49" s="64">
        <v>45009.950000000063</v>
      </c>
      <c r="D49" s="64">
        <v>45030.670000000064</v>
      </c>
      <c r="E49" s="64">
        <v>45049.110000000066</v>
      </c>
      <c r="F49" s="64">
        <v>45070.380000000063</v>
      </c>
      <c r="G49" s="64">
        <v>45092.030000000064</v>
      </c>
      <c r="H49" s="64">
        <v>45113.600000000064</v>
      </c>
      <c r="I49" s="64">
        <v>45135.300000000061</v>
      </c>
      <c r="J49" s="64">
        <v>45157.300000000061</v>
      </c>
      <c r="K49" s="64">
        <v>45178.930000000058</v>
      </c>
      <c r="L49" s="64">
        <v>45200.540000000059</v>
      </c>
      <c r="M49" s="64">
        <v>45219.550000000061</v>
      </c>
      <c r="N49" s="64">
        <v>45241.000000000058</v>
      </c>
      <c r="O49" s="64">
        <v>45262.90000000006</v>
      </c>
      <c r="P49" s="64">
        <v>45280.630000000063</v>
      </c>
      <c r="Q49" s="64">
        <v>45302.04</v>
      </c>
      <c r="R49" s="64">
        <v>45321.38</v>
      </c>
      <c r="S49" s="64">
        <v>45343.21</v>
      </c>
      <c r="T49" s="64">
        <v>45364.79</v>
      </c>
      <c r="U49" s="64">
        <v>45368.87</v>
      </c>
      <c r="V49" s="64">
        <v>45372.95</v>
      </c>
      <c r="W49" s="64">
        <v>45394.239999999998</v>
      </c>
      <c r="X49" s="64">
        <v>45411.46</v>
      </c>
      <c r="Y49" s="64">
        <v>45432.07</v>
      </c>
      <c r="Z49" s="64">
        <v>45445.96</v>
      </c>
      <c r="AA49" s="64">
        <v>45467.65</v>
      </c>
      <c r="AB49" s="64">
        <v>45489.34</v>
      </c>
      <c r="AC49" s="64">
        <v>45511.06</v>
      </c>
      <c r="AD49" s="64">
        <v>45531.74</v>
      </c>
      <c r="AE49" s="64">
        <v>45553.58</v>
      </c>
      <c r="AF49" s="224"/>
      <c r="AG49" s="51">
        <f t="shared" si="1"/>
        <v>45553.58</v>
      </c>
      <c r="AH49" s="44">
        <v>45009.95</v>
      </c>
    </row>
    <row r="50" spans="1:34" x14ac:dyDescent="0.35">
      <c r="A50" s="33" t="s">
        <v>56</v>
      </c>
      <c r="B50" s="223">
        <v>44388.820000000131</v>
      </c>
      <c r="C50" s="64">
        <v>44403.510000000133</v>
      </c>
      <c r="D50" s="64">
        <v>44424.400000000132</v>
      </c>
      <c r="E50" s="64">
        <v>44446.040000000132</v>
      </c>
      <c r="F50" s="64">
        <v>44462.730000000134</v>
      </c>
      <c r="G50" s="64">
        <v>44483.500000000131</v>
      </c>
      <c r="H50" s="64">
        <v>44493.660000000134</v>
      </c>
      <c r="I50" s="64">
        <v>44498.560000000136</v>
      </c>
      <c r="J50" s="64">
        <v>44519.170000000136</v>
      </c>
      <c r="K50" s="64">
        <v>44537.560000000136</v>
      </c>
      <c r="L50" s="64">
        <v>44559.140000000138</v>
      </c>
      <c r="M50" s="64">
        <v>44581.060000000136</v>
      </c>
      <c r="N50" s="64">
        <v>44602.250000000138</v>
      </c>
      <c r="O50" s="64">
        <v>44618.690000000141</v>
      </c>
      <c r="P50" s="64">
        <v>44636.800000000141</v>
      </c>
      <c r="Q50" s="64">
        <v>44651.67</v>
      </c>
      <c r="R50" s="64">
        <v>44659.85</v>
      </c>
      <c r="S50" s="64">
        <v>44659.85</v>
      </c>
      <c r="T50" s="64">
        <v>44679.41</v>
      </c>
      <c r="U50" s="64">
        <v>44688.66</v>
      </c>
      <c r="V50" s="64">
        <v>44697.91</v>
      </c>
      <c r="W50" s="64">
        <v>44719.27</v>
      </c>
      <c r="X50" s="64">
        <v>44740.5</v>
      </c>
      <c r="Y50" s="64">
        <v>44761.93</v>
      </c>
      <c r="Z50" s="64">
        <v>44783.14</v>
      </c>
      <c r="AA50" s="64">
        <v>44787.64</v>
      </c>
      <c r="AB50" s="64">
        <v>44792.14</v>
      </c>
      <c r="AC50" s="64">
        <v>44792.14</v>
      </c>
      <c r="AD50" s="64">
        <v>44792.14</v>
      </c>
      <c r="AE50" s="64">
        <v>44792.14</v>
      </c>
      <c r="AF50" s="224"/>
      <c r="AG50" s="51">
        <f t="shared" si="1"/>
        <v>44792.14</v>
      </c>
      <c r="AH50" s="44">
        <v>44368.26</v>
      </c>
    </row>
    <row r="51" spans="1:34" x14ac:dyDescent="0.35">
      <c r="A51" s="33" t="s">
        <v>57</v>
      </c>
      <c r="B51" s="223">
        <v>42881.009999999958</v>
      </c>
      <c r="C51" s="64">
        <v>42881.009999999958</v>
      </c>
      <c r="D51" s="64">
        <v>42881.009999999958</v>
      </c>
      <c r="E51" s="64">
        <v>42881.009999999958</v>
      </c>
      <c r="F51" s="64">
        <v>42881.009999999958</v>
      </c>
      <c r="G51" s="64">
        <v>42891.069999999956</v>
      </c>
      <c r="H51" s="64">
        <v>42911.989999999954</v>
      </c>
      <c r="I51" s="64">
        <v>42933.439999999951</v>
      </c>
      <c r="J51" s="64">
        <v>42947.71999999995</v>
      </c>
      <c r="K51" s="64">
        <v>42969.409999999953</v>
      </c>
      <c r="L51" s="64">
        <v>42990.909999999953</v>
      </c>
      <c r="M51" s="64">
        <v>43012.899999999951</v>
      </c>
      <c r="N51" s="64">
        <v>43034.849999999948</v>
      </c>
      <c r="O51" s="64">
        <v>43055.729999999945</v>
      </c>
      <c r="P51" s="64">
        <v>43077.589999999946</v>
      </c>
      <c r="Q51" s="64">
        <v>43099.8</v>
      </c>
      <c r="R51" s="64">
        <v>43121.26</v>
      </c>
      <c r="S51" s="64">
        <v>43142.52</v>
      </c>
      <c r="T51" s="64">
        <v>43162.91</v>
      </c>
      <c r="U51" s="64">
        <v>43183.78</v>
      </c>
      <c r="V51" s="64">
        <v>43204.65</v>
      </c>
      <c r="W51" s="64">
        <v>43225.78</v>
      </c>
      <c r="X51" s="64">
        <v>43246.74</v>
      </c>
      <c r="Y51" s="64">
        <v>43266.58</v>
      </c>
      <c r="Z51" s="64">
        <v>43287.98</v>
      </c>
      <c r="AA51" s="64">
        <v>43309.65</v>
      </c>
      <c r="AB51" s="64">
        <v>43331.32</v>
      </c>
      <c r="AC51" s="64">
        <v>43353.61</v>
      </c>
      <c r="AD51" s="64">
        <v>43375.08</v>
      </c>
      <c r="AE51" s="64">
        <v>43388.72</v>
      </c>
      <c r="AF51" s="224"/>
      <c r="AG51" s="51">
        <f t="shared" si="1"/>
        <v>43388.72</v>
      </c>
      <c r="AH51" s="44">
        <v>42881.01</v>
      </c>
    </row>
    <row r="52" spans="1:34" x14ac:dyDescent="0.35">
      <c r="A52" s="33" t="s">
        <v>58</v>
      </c>
      <c r="B52" s="223">
        <v>42531.579999999922</v>
      </c>
      <c r="C52" s="64">
        <v>42549.269999999924</v>
      </c>
      <c r="D52" s="64">
        <v>42570.789999999921</v>
      </c>
      <c r="E52" s="64">
        <v>42592.729999999923</v>
      </c>
      <c r="F52" s="64">
        <v>42611.839999999924</v>
      </c>
      <c r="G52" s="64">
        <v>42631.819999999927</v>
      </c>
      <c r="H52" s="64">
        <v>42653.199999999924</v>
      </c>
      <c r="I52" s="64">
        <v>42667.119999999923</v>
      </c>
      <c r="J52" s="64">
        <v>42686.949999999924</v>
      </c>
      <c r="K52" s="64">
        <v>42702.989999999925</v>
      </c>
      <c r="L52" s="64">
        <v>42723.409999999923</v>
      </c>
      <c r="M52" s="64">
        <v>42741.24999999992</v>
      </c>
      <c r="N52" s="64">
        <v>42745.659999999923</v>
      </c>
      <c r="O52" s="64">
        <v>42747.039999999921</v>
      </c>
      <c r="P52" s="64">
        <v>42769.159999999923</v>
      </c>
      <c r="Q52" s="64">
        <v>42791.07</v>
      </c>
      <c r="R52" s="64">
        <v>42807.69</v>
      </c>
      <c r="S52" s="64">
        <v>42826.13</v>
      </c>
      <c r="T52" s="64">
        <v>42846.45</v>
      </c>
      <c r="U52" s="64">
        <v>42863.21</v>
      </c>
      <c r="V52" s="64">
        <v>42879.97</v>
      </c>
      <c r="W52" s="64">
        <v>42901.279999999999</v>
      </c>
      <c r="X52" s="64">
        <v>42923.64</v>
      </c>
      <c r="Y52" s="64">
        <v>42941.21</v>
      </c>
      <c r="Z52" s="64">
        <v>42960.79</v>
      </c>
      <c r="AA52" s="64">
        <v>42977.02</v>
      </c>
      <c r="AB52" s="64">
        <v>42993.25</v>
      </c>
      <c r="AC52" s="64">
        <v>43008.38</v>
      </c>
      <c r="AD52" s="64">
        <v>43030.45</v>
      </c>
      <c r="AE52" s="64">
        <v>43050.32</v>
      </c>
      <c r="AF52" s="224"/>
      <c r="AG52" s="51">
        <f t="shared" si="1"/>
        <v>43050.32</v>
      </c>
      <c r="AH52" s="44">
        <v>42511.32</v>
      </c>
    </row>
    <row r="53" spans="1:34" x14ac:dyDescent="0.35">
      <c r="A53" s="33" t="s">
        <v>59</v>
      </c>
      <c r="B53" s="223">
        <v>45482.320000000051</v>
      </c>
      <c r="C53" s="64">
        <v>45501.490000000049</v>
      </c>
      <c r="D53" s="64">
        <v>45522.510000000046</v>
      </c>
      <c r="E53" s="64">
        <v>45543.890000000043</v>
      </c>
      <c r="F53" s="64">
        <v>45564.91000000004</v>
      </c>
      <c r="G53" s="64">
        <v>45586.390000000043</v>
      </c>
      <c r="H53" s="64">
        <v>45607.420000000042</v>
      </c>
      <c r="I53" s="64">
        <v>45624.780000000042</v>
      </c>
      <c r="J53" s="64">
        <v>45638.73000000004</v>
      </c>
      <c r="K53" s="64">
        <v>45658.77000000004</v>
      </c>
      <c r="L53" s="64">
        <v>45680.550000000039</v>
      </c>
      <c r="M53" s="64">
        <v>45699.77000000004</v>
      </c>
      <c r="N53" s="64">
        <v>45720.760000000038</v>
      </c>
      <c r="O53" s="64">
        <v>45741.960000000036</v>
      </c>
      <c r="P53" s="64">
        <v>45758.690000000039</v>
      </c>
      <c r="Q53" s="64">
        <v>45767.45</v>
      </c>
      <c r="R53" s="64">
        <v>45788.79</v>
      </c>
      <c r="S53" s="64">
        <v>45805.19</v>
      </c>
      <c r="T53" s="64">
        <v>45826.75</v>
      </c>
      <c r="U53" s="64">
        <v>45848.67</v>
      </c>
      <c r="V53" s="64">
        <v>45870.59</v>
      </c>
      <c r="W53" s="64">
        <v>45892.02</v>
      </c>
      <c r="X53" s="64">
        <v>45912.81</v>
      </c>
      <c r="Y53" s="64">
        <v>45934.15</v>
      </c>
      <c r="Z53" s="64">
        <v>45955.83</v>
      </c>
      <c r="AA53" s="64">
        <v>45975.63</v>
      </c>
      <c r="AB53" s="64">
        <v>45995.43</v>
      </c>
      <c r="AC53" s="64">
        <v>46016.62</v>
      </c>
      <c r="AD53" s="64">
        <v>46033.07</v>
      </c>
      <c r="AE53" s="64">
        <v>46054.18</v>
      </c>
      <c r="AF53" s="224"/>
      <c r="AG53" s="51">
        <f t="shared" si="1"/>
        <v>46054.18</v>
      </c>
      <c r="AH53" s="44">
        <v>45460.93</v>
      </c>
    </row>
    <row r="54" spans="1:34" x14ac:dyDescent="0.35">
      <c r="A54" s="33" t="s">
        <v>60</v>
      </c>
      <c r="B54" s="223">
        <v>45061.17000000018</v>
      </c>
      <c r="C54" s="64">
        <v>45080.500000000182</v>
      </c>
      <c r="D54" s="64">
        <v>45099.220000000183</v>
      </c>
      <c r="E54" s="64">
        <v>45118.940000000184</v>
      </c>
      <c r="F54" s="64">
        <v>45140.340000000186</v>
      </c>
      <c r="G54" s="64">
        <v>45156.350000000188</v>
      </c>
      <c r="H54" s="64">
        <v>45172.47000000019</v>
      </c>
      <c r="I54" s="64">
        <v>45179.030000000188</v>
      </c>
      <c r="J54" s="64">
        <v>45200.580000000191</v>
      </c>
      <c r="K54" s="64">
        <v>45219.070000000189</v>
      </c>
      <c r="L54" s="64">
        <v>45240.990000000187</v>
      </c>
      <c r="M54" s="64">
        <v>45261.630000000187</v>
      </c>
      <c r="N54" s="64">
        <v>45261.630000000187</v>
      </c>
      <c r="O54" s="64">
        <v>45261.630000000187</v>
      </c>
      <c r="P54" s="64">
        <v>45261.630000000187</v>
      </c>
      <c r="Q54" s="64">
        <v>45261.63</v>
      </c>
      <c r="R54" s="64">
        <v>45266.239999999998</v>
      </c>
      <c r="S54" s="64">
        <v>45286.79</v>
      </c>
      <c r="T54" s="64">
        <v>45301.09</v>
      </c>
      <c r="U54" s="64">
        <v>45315.88</v>
      </c>
      <c r="V54" s="64">
        <v>45330.67</v>
      </c>
      <c r="W54" s="64">
        <v>45351.75</v>
      </c>
      <c r="X54" s="64">
        <v>45372.75</v>
      </c>
      <c r="Y54" s="64">
        <v>45393.91</v>
      </c>
      <c r="Z54" s="64">
        <v>45415.18</v>
      </c>
      <c r="AA54" s="64">
        <v>45436.7</v>
      </c>
      <c r="AB54" s="64">
        <v>45458.22</v>
      </c>
      <c r="AC54" s="64">
        <v>45480.32</v>
      </c>
      <c r="AD54" s="64">
        <v>45500.68</v>
      </c>
      <c r="AE54" s="64">
        <v>45520.77</v>
      </c>
      <c r="AF54" s="224"/>
      <c r="AG54" s="51">
        <f t="shared" si="1"/>
        <v>45520.77</v>
      </c>
      <c r="AH54" s="44">
        <v>45042.41</v>
      </c>
    </row>
    <row r="55" spans="1:34" x14ac:dyDescent="0.35">
      <c r="A55" s="33" t="s">
        <v>61</v>
      </c>
      <c r="B55" s="223">
        <v>44779.190000000024</v>
      </c>
      <c r="C55" s="64">
        <v>44795.770000000026</v>
      </c>
      <c r="D55" s="64">
        <v>44810.730000000025</v>
      </c>
      <c r="E55" s="64">
        <v>44832.600000000028</v>
      </c>
      <c r="F55" s="64">
        <v>44844.47000000003</v>
      </c>
      <c r="G55" s="64">
        <v>44866.200000000033</v>
      </c>
      <c r="H55" s="64">
        <v>44887.79000000003</v>
      </c>
      <c r="I55" s="64">
        <v>44909.330000000031</v>
      </c>
      <c r="J55" s="64">
        <v>44931.150000000031</v>
      </c>
      <c r="K55" s="64">
        <v>44946.630000000034</v>
      </c>
      <c r="L55" s="64">
        <v>44967.910000000033</v>
      </c>
      <c r="M55" s="64">
        <v>44985.940000000031</v>
      </c>
      <c r="N55" s="64">
        <v>45006.750000000029</v>
      </c>
      <c r="O55" s="64">
        <v>45028.22000000003</v>
      </c>
      <c r="P55" s="64">
        <v>45049.280000000028</v>
      </c>
      <c r="Q55" s="64">
        <v>45070.86</v>
      </c>
      <c r="R55" s="64">
        <v>45092.25</v>
      </c>
      <c r="S55" s="64">
        <v>45113.25</v>
      </c>
      <c r="T55" s="64">
        <v>45134.22</v>
      </c>
      <c r="U55" s="64">
        <v>45150</v>
      </c>
      <c r="V55" s="64">
        <v>45165.78</v>
      </c>
      <c r="W55" s="64">
        <v>45177.9</v>
      </c>
      <c r="X55" s="64">
        <v>45198.91</v>
      </c>
      <c r="Y55" s="64">
        <v>45214.58</v>
      </c>
      <c r="Z55" s="64">
        <v>45232.17</v>
      </c>
      <c r="AA55" s="64">
        <v>45248.02</v>
      </c>
      <c r="AB55" s="64">
        <v>45263.87</v>
      </c>
      <c r="AC55" s="64">
        <v>45280.11</v>
      </c>
      <c r="AD55" s="64">
        <v>45301.7</v>
      </c>
      <c r="AE55" s="64">
        <v>45323.15</v>
      </c>
      <c r="AF55" s="224"/>
      <c r="AG55" s="51">
        <f t="shared" si="1"/>
        <v>45323.15</v>
      </c>
      <c r="AH55" s="44">
        <v>44765.19</v>
      </c>
    </row>
    <row r="56" spans="1:34" x14ac:dyDescent="0.35">
      <c r="A56" s="33" t="s">
        <v>62</v>
      </c>
      <c r="B56" s="223">
        <v>54639.090000000033</v>
      </c>
      <c r="C56" s="64">
        <v>54660.560000000034</v>
      </c>
      <c r="D56" s="64">
        <v>54678.170000000035</v>
      </c>
      <c r="E56" s="64">
        <v>54695.730000000032</v>
      </c>
      <c r="F56" s="64">
        <v>54696.570000000029</v>
      </c>
      <c r="G56" s="64">
        <v>54696.570000000029</v>
      </c>
      <c r="H56" s="64">
        <v>54696.570000000029</v>
      </c>
      <c r="I56" s="64">
        <v>54696.61000000003</v>
      </c>
      <c r="J56" s="64">
        <v>54716.86000000003</v>
      </c>
      <c r="K56" s="64">
        <v>54738.460000000028</v>
      </c>
      <c r="L56" s="64">
        <v>54759.830000000031</v>
      </c>
      <c r="M56" s="64">
        <v>54774.770000000033</v>
      </c>
      <c r="N56" s="64">
        <v>54779.120000000032</v>
      </c>
      <c r="O56" s="64">
        <v>54800.440000000031</v>
      </c>
      <c r="P56" s="64">
        <v>54821.710000000028</v>
      </c>
      <c r="Q56" s="64">
        <v>54841.79</v>
      </c>
      <c r="R56" s="64">
        <v>54863.75</v>
      </c>
      <c r="S56" s="64">
        <v>54883.59</v>
      </c>
      <c r="T56" s="64">
        <v>54904.39</v>
      </c>
      <c r="U56" s="64">
        <v>54924.09</v>
      </c>
      <c r="V56" s="64">
        <v>54943.79</v>
      </c>
      <c r="W56" s="64">
        <v>54965.07</v>
      </c>
      <c r="X56" s="64">
        <v>54987.09</v>
      </c>
      <c r="Y56" s="64">
        <v>55008.9</v>
      </c>
      <c r="Z56" s="64">
        <v>55029.98</v>
      </c>
      <c r="AA56" s="64">
        <v>55051.360000000001</v>
      </c>
      <c r="AB56" s="64">
        <v>55072.74</v>
      </c>
      <c r="AC56" s="64">
        <v>55089.07</v>
      </c>
      <c r="AD56" s="64">
        <v>55106.61</v>
      </c>
      <c r="AE56" s="64">
        <v>55127.1</v>
      </c>
      <c r="AF56" s="224"/>
      <c r="AG56" s="51">
        <f t="shared" si="1"/>
        <v>55127.1</v>
      </c>
      <c r="AH56" s="44">
        <v>54618.01</v>
      </c>
    </row>
    <row r="57" spans="1:34" x14ac:dyDescent="0.35">
      <c r="A57" s="33" t="s">
        <v>63</v>
      </c>
      <c r="B57" s="223">
        <v>21368.580000000013</v>
      </c>
      <c r="C57" s="64">
        <v>21389.730000000014</v>
      </c>
      <c r="D57" s="64">
        <v>21409.170000000013</v>
      </c>
      <c r="E57" s="64">
        <v>21430.210000000014</v>
      </c>
      <c r="F57" s="64">
        <v>21452.240000000013</v>
      </c>
      <c r="G57" s="64">
        <v>21472.150000000012</v>
      </c>
      <c r="H57" s="64">
        <v>21491.530000000013</v>
      </c>
      <c r="I57" s="64">
        <v>21510.380000000012</v>
      </c>
      <c r="J57" s="64">
        <v>21525.310000000012</v>
      </c>
      <c r="K57" s="64">
        <v>21541.780000000013</v>
      </c>
      <c r="L57" s="64">
        <v>21552.950000000012</v>
      </c>
      <c r="M57" s="64">
        <v>21553.170000000013</v>
      </c>
      <c r="N57" s="64">
        <v>21566.010000000013</v>
      </c>
      <c r="O57" s="64">
        <v>21588.330000000013</v>
      </c>
      <c r="P57" s="64">
        <v>21606.180000000011</v>
      </c>
      <c r="Q57" s="64">
        <v>21622.14</v>
      </c>
      <c r="R57" s="64">
        <v>21645.4</v>
      </c>
      <c r="S57" s="64">
        <v>21663.38</v>
      </c>
      <c r="T57" s="64">
        <v>21682.240000000002</v>
      </c>
      <c r="U57" s="64">
        <v>21705.47</v>
      </c>
      <c r="V57" s="64">
        <v>21728.7</v>
      </c>
      <c r="W57" s="64">
        <v>21736.41</v>
      </c>
      <c r="X57" s="64">
        <v>21757.55</v>
      </c>
      <c r="Y57" s="64">
        <v>21779.45</v>
      </c>
      <c r="Z57" s="64">
        <v>21798.52</v>
      </c>
      <c r="AA57" s="64">
        <v>21819.759999999998</v>
      </c>
      <c r="AB57" s="64">
        <v>21841</v>
      </c>
      <c r="AC57" s="64">
        <v>21859.65</v>
      </c>
      <c r="AD57" s="64">
        <v>21880.26</v>
      </c>
      <c r="AE57" s="64">
        <v>21902.42</v>
      </c>
      <c r="AF57" s="224"/>
      <c r="AG57" s="51">
        <f t="shared" si="1"/>
        <v>21902.42</v>
      </c>
      <c r="AH57" s="44">
        <v>21357.4</v>
      </c>
    </row>
    <row r="58" spans="1:34" x14ac:dyDescent="0.35">
      <c r="A58" s="33" t="s">
        <v>64</v>
      </c>
      <c r="B58" s="223">
        <v>22074.950277600019</v>
      </c>
      <c r="C58" s="64">
        <v>22093.360277600019</v>
      </c>
      <c r="D58" s="64">
        <v>22112.83027760002</v>
      </c>
      <c r="E58" s="64">
        <v>22134.020277600019</v>
      </c>
      <c r="F58" s="64">
        <v>22153.17027760002</v>
      </c>
      <c r="G58" s="64">
        <v>22173.08027760002</v>
      </c>
      <c r="H58" s="64">
        <v>22193.930277600019</v>
      </c>
      <c r="I58" s="64">
        <v>22213.210277600017</v>
      </c>
      <c r="J58" s="64">
        <v>22228.500277600018</v>
      </c>
      <c r="K58" s="64">
        <v>22239.860277600019</v>
      </c>
      <c r="L58" s="64">
        <v>22249.56027760002</v>
      </c>
      <c r="M58" s="64">
        <v>22249.960277600021</v>
      </c>
      <c r="N58" s="64">
        <v>22263.160277600022</v>
      </c>
      <c r="O58" s="64">
        <v>22285.480277600022</v>
      </c>
      <c r="P58" s="64">
        <v>22302.140277600021</v>
      </c>
      <c r="Q58" s="64">
        <v>22320.97</v>
      </c>
      <c r="R58" s="64">
        <v>22344.23</v>
      </c>
      <c r="S58" s="64">
        <v>22362.2</v>
      </c>
      <c r="T58" s="64">
        <v>22381.06</v>
      </c>
      <c r="U58" s="64">
        <v>22404.28</v>
      </c>
      <c r="V58" s="64">
        <v>22427.5</v>
      </c>
      <c r="W58" s="64">
        <v>22435.06</v>
      </c>
      <c r="X58" s="64">
        <v>22457.29</v>
      </c>
      <c r="Y58" s="64">
        <v>22474.93</v>
      </c>
      <c r="Z58" s="64">
        <v>22494</v>
      </c>
      <c r="AA58" s="64">
        <v>22515.22</v>
      </c>
      <c r="AB58" s="64">
        <v>22536.44</v>
      </c>
      <c r="AC58" s="64">
        <v>22554.78</v>
      </c>
      <c r="AD58" s="64">
        <v>22575.38</v>
      </c>
      <c r="AE58" s="64">
        <v>22597.03</v>
      </c>
      <c r="AF58" s="224"/>
      <c r="AG58" s="51">
        <f t="shared" si="1"/>
        <v>22597.03</v>
      </c>
      <c r="AH58" s="44">
        <v>22055.91</v>
      </c>
    </row>
    <row r="59" spans="1:34" x14ac:dyDescent="0.35">
      <c r="A59" s="33" t="s">
        <v>65</v>
      </c>
      <c r="B59" s="223">
        <v>28656.754444099985</v>
      </c>
      <c r="C59" s="64">
        <v>28677.974444099986</v>
      </c>
      <c r="D59" s="64">
        <v>28698.334444099986</v>
      </c>
      <c r="E59" s="64">
        <v>28720.624444099987</v>
      </c>
      <c r="F59" s="64">
        <v>28739.684444099988</v>
      </c>
      <c r="G59" s="64">
        <v>28755.894444099988</v>
      </c>
      <c r="H59" s="64">
        <v>28764.174444099986</v>
      </c>
      <c r="I59" s="64">
        <v>28782.894444099988</v>
      </c>
      <c r="J59" s="64">
        <v>28783.944444099987</v>
      </c>
      <c r="K59" s="64">
        <v>28784.864444099985</v>
      </c>
      <c r="L59" s="64">
        <v>28796.114444099985</v>
      </c>
      <c r="M59" s="64">
        <v>28796.484444099984</v>
      </c>
      <c r="N59" s="64">
        <v>28802.904444099982</v>
      </c>
      <c r="O59" s="64">
        <v>28825.234444099984</v>
      </c>
      <c r="P59" s="64">
        <v>28842.574444099984</v>
      </c>
      <c r="Q59" s="64">
        <v>28864.35</v>
      </c>
      <c r="R59" s="64">
        <v>28887.64</v>
      </c>
      <c r="S59" s="64">
        <v>28908.17</v>
      </c>
      <c r="T59" s="64">
        <v>28927.02</v>
      </c>
      <c r="U59" s="64">
        <v>28950.25</v>
      </c>
      <c r="V59" s="64">
        <v>28973.48</v>
      </c>
      <c r="W59" s="64">
        <v>28981.19</v>
      </c>
      <c r="X59" s="64">
        <v>28992.720000000001</v>
      </c>
      <c r="Y59" s="64">
        <v>29014.37</v>
      </c>
      <c r="Z59" s="64">
        <v>29031.360000000001</v>
      </c>
      <c r="AA59" s="64">
        <v>29053.71</v>
      </c>
      <c r="AB59" s="64">
        <v>29076.06</v>
      </c>
      <c r="AC59" s="64">
        <v>29076.06</v>
      </c>
      <c r="AD59" s="64">
        <v>29092.82</v>
      </c>
      <c r="AE59" s="64">
        <v>29114.47</v>
      </c>
      <c r="AF59" s="224"/>
      <c r="AG59" s="51">
        <f t="shared" si="1"/>
        <v>29114.47</v>
      </c>
      <c r="AH59" s="44">
        <v>28637.96</v>
      </c>
    </row>
    <row r="60" spans="1:34" x14ac:dyDescent="0.35">
      <c r="A60" s="33" t="s">
        <v>66</v>
      </c>
      <c r="B60" s="223">
        <v>29167.640000000054</v>
      </c>
      <c r="C60" s="64">
        <v>29177.130000000056</v>
      </c>
      <c r="D60" s="64">
        <v>29196.600000000057</v>
      </c>
      <c r="E60" s="64">
        <v>29216.630000000056</v>
      </c>
      <c r="F60" s="64">
        <v>29231.910000000054</v>
      </c>
      <c r="G60" s="64">
        <v>29246.920000000053</v>
      </c>
      <c r="H60" s="64">
        <v>29261.760000000053</v>
      </c>
      <c r="I60" s="64">
        <v>29281.080000000053</v>
      </c>
      <c r="J60" s="64">
        <v>29293.690000000053</v>
      </c>
      <c r="K60" s="64">
        <v>29302.020000000055</v>
      </c>
      <c r="L60" s="64">
        <v>29313.070000000054</v>
      </c>
      <c r="M60" s="64">
        <v>29313.260000000053</v>
      </c>
      <c r="N60" s="64">
        <v>29326.070000000054</v>
      </c>
      <c r="O60" s="64">
        <v>29348.410000000054</v>
      </c>
      <c r="P60" s="64">
        <v>29366.190000000053</v>
      </c>
      <c r="Q60" s="64">
        <v>29382.2</v>
      </c>
      <c r="R60" s="64">
        <v>29405.47</v>
      </c>
      <c r="S60" s="64">
        <v>29421.040000000001</v>
      </c>
      <c r="T60" s="64">
        <v>29439.73</v>
      </c>
      <c r="U60" s="64">
        <v>29462.95</v>
      </c>
      <c r="V60" s="64">
        <v>29486.17</v>
      </c>
      <c r="W60" s="64">
        <v>29495.32</v>
      </c>
      <c r="X60" s="64">
        <v>29502.41</v>
      </c>
      <c r="Y60" s="64">
        <v>29502.41</v>
      </c>
      <c r="Z60" s="64">
        <v>29520.880000000001</v>
      </c>
      <c r="AA60" s="64">
        <v>29540.25</v>
      </c>
      <c r="AB60" s="64">
        <v>29559.62</v>
      </c>
      <c r="AC60" s="64">
        <v>29578.11</v>
      </c>
      <c r="AD60" s="64">
        <v>29598.69</v>
      </c>
      <c r="AE60" s="64">
        <v>29620.32</v>
      </c>
      <c r="AF60" s="224"/>
      <c r="AG60" s="51">
        <f t="shared" si="1"/>
        <v>29620.32</v>
      </c>
      <c r="AH60" s="44">
        <v>29148.91</v>
      </c>
    </row>
    <row r="61" spans="1:34" x14ac:dyDescent="0.35">
      <c r="A61" s="33" t="s">
        <v>67</v>
      </c>
      <c r="B61" s="223">
        <v>29902.650000000005</v>
      </c>
      <c r="C61" s="64">
        <v>29916.000000000004</v>
      </c>
      <c r="D61" s="64">
        <v>29937.420000000002</v>
      </c>
      <c r="E61" s="64">
        <v>29960.660000000003</v>
      </c>
      <c r="F61" s="64">
        <v>29973.300000000003</v>
      </c>
      <c r="G61" s="64">
        <v>29989.100000000002</v>
      </c>
      <c r="H61" s="64">
        <v>29992.750000000004</v>
      </c>
      <c r="I61" s="64">
        <v>30012.120000000003</v>
      </c>
      <c r="J61" s="64">
        <v>30017.210000000003</v>
      </c>
      <c r="K61" s="64">
        <v>30027.360000000004</v>
      </c>
      <c r="L61" s="64">
        <v>30036.030000000002</v>
      </c>
      <c r="M61" s="64">
        <v>30036.860000000004</v>
      </c>
      <c r="N61" s="64">
        <v>30051.670000000006</v>
      </c>
      <c r="O61" s="64">
        <v>30073.990000000005</v>
      </c>
      <c r="P61" s="64">
        <v>30091.780000000006</v>
      </c>
      <c r="Q61" s="64">
        <v>30113.55</v>
      </c>
      <c r="R61" s="64">
        <v>30136.82</v>
      </c>
      <c r="S61" s="64">
        <v>30153.79</v>
      </c>
      <c r="T61" s="64">
        <v>30172.36</v>
      </c>
      <c r="U61" s="64">
        <v>30181.48</v>
      </c>
      <c r="V61" s="64">
        <v>30190.6</v>
      </c>
      <c r="W61" s="64">
        <v>30205.81</v>
      </c>
      <c r="X61" s="64">
        <v>30217.25</v>
      </c>
      <c r="Y61" s="64">
        <v>30234.61</v>
      </c>
      <c r="Z61" s="64">
        <v>30250.31</v>
      </c>
      <c r="AA61" s="64">
        <v>30250.31</v>
      </c>
      <c r="AB61" s="64">
        <v>30250.31</v>
      </c>
      <c r="AC61" s="64">
        <v>30268.95</v>
      </c>
      <c r="AD61" s="64">
        <v>30288.67</v>
      </c>
      <c r="AE61" s="64">
        <v>30311.93</v>
      </c>
      <c r="AF61" s="224"/>
      <c r="AG61" s="51">
        <f t="shared" si="1"/>
        <v>30311.93</v>
      </c>
      <c r="AH61" s="44">
        <v>29882.07</v>
      </c>
    </row>
    <row r="62" spans="1:34" x14ac:dyDescent="0.35">
      <c r="A62" s="33" t="s">
        <v>68</v>
      </c>
      <c r="B62" s="223">
        <v>29787.100000000006</v>
      </c>
      <c r="C62" s="64">
        <v>29800.160000000007</v>
      </c>
      <c r="D62" s="64">
        <v>29807.230000000007</v>
      </c>
      <c r="E62" s="64">
        <v>29820.780000000006</v>
      </c>
      <c r="F62" s="64">
        <v>29834.080000000005</v>
      </c>
      <c r="G62" s="64">
        <v>29846.270000000004</v>
      </c>
      <c r="H62" s="64">
        <v>29861.160000000003</v>
      </c>
      <c r="I62" s="64">
        <v>29865.760000000002</v>
      </c>
      <c r="J62" s="64">
        <v>29874.780000000002</v>
      </c>
      <c r="K62" s="64">
        <v>29886.06</v>
      </c>
      <c r="L62" s="64">
        <v>29897.09</v>
      </c>
      <c r="M62" s="64">
        <v>29897.09</v>
      </c>
      <c r="N62" s="64">
        <v>29906.39</v>
      </c>
      <c r="O62" s="64">
        <v>29928.7</v>
      </c>
      <c r="P62" s="64">
        <v>29946.04</v>
      </c>
      <c r="Q62" s="64">
        <v>29963.919999999998</v>
      </c>
      <c r="R62" s="64">
        <v>29987.19</v>
      </c>
      <c r="S62" s="64">
        <v>29999.21</v>
      </c>
      <c r="T62" s="64">
        <v>30014.37</v>
      </c>
      <c r="U62" s="64">
        <v>30030</v>
      </c>
      <c r="V62" s="64">
        <v>30045.63</v>
      </c>
      <c r="W62" s="64">
        <v>30053.33</v>
      </c>
      <c r="X62" s="64">
        <v>30075.42</v>
      </c>
      <c r="Y62" s="64">
        <v>30092.81</v>
      </c>
      <c r="Z62" s="64">
        <v>30111.86</v>
      </c>
      <c r="AA62" s="64">
        <v>30133.09</v>
      </c>
      <c r="AB62" s="64">
        <v>30154.32</v>
      </c>
      <c r="AC62" s="64">
        <v>30172.959999999999</v>
      </c>
      <c r="AD62" s="64">
        <v>30193.54</v>
      </c>
      <c r="AE62" s="64">
        <v>30215.18</v>
      </c>
      <c r="AF62" s="224"/>
      <c r="AG62" s="51">
        <f t="shared" si="1"/>
        <v>30215.18</v>
      </c>
      <c r="AH62" s="44">
        <v>29768.31</v>
      </c>
    </row>
    <row r="63" spans="1:34" x14ac:dyDescent="0.35">
      <c r="A63" s="33" t="s">
        <v>69</v>
      </c>
      <c r="B63" s="223">
        <v>77031.619999999981</v>
      </c>
      <c r="C63" s="64">
        <v>77031.619999999981</v>
      </c>
      <c r="D63" s="64">
        <v>77031.619999999981</v>
      </c>
      <c r="E63" s="64">
        <v>77031.619999999981</v>
      </c>
      <c r="F63" s="64">
        <v>77031.619999999981</v>
      </c>
      <c r="G63" s="64">
        <v>77031.619999999981</v>
      </c>
      <c r="H63" s="64">
        <v>77031.619999999981</v>
      </c>
      <c r="I63" s="64">
        <v>77031.619999999981</v>
      </c>
      <c r="J63" s="64">
        <v>77031.619999999981</v>
      </c>
      <c r="K63" s="64">
        <v>77031.619999999981</v>
      </c>
      <c r="L63" s="64">
        <v>77031.619999999981</v>
      </c>
      <c r="M63" s="64">
        <v>77031.619999999981</v>
      </c>
      <c r="N63" s="64">
        <v>77031.619999999981</v>
      </c>
      <c r="O63" s="64">
        <v>77031.619999999981</v>
      </c>
      <c r="P63" s="64">
        <v>77031.619999999981</v>
      </c>
      <c r="Q63" s="64">
        <v>77031.62</v>
      </c>
      <c r="R63" s="64">
        <v>77031.62</v>
      </c>
      <c r="S63" s="64">
        <v>77031.62</v>
      </c>
      <c r="T63" s="64">
        <v>77031.62</v>
      </c>
      <c r="U63" s="64">
        <v>77031.62</v>
      </c>
      <c r="V63" s="64">
        <v>77031.62</v>
      </c>
      <c r="W63" s="64">
        <v>77031.62</v>
      </c>
      <c r="X63" s="64">
        <v>77031.62</v>
      </c>
      <c r="Y63" s="64">
        <v>77031.62</v>
      </c>
      <c r="Z63" s="64">
        <v>77031.62</v>
      </c>
      <c r="AA63" s="64">
        <v>77031.62</v>
      </c>
      <c r="AB63" s="64">
        <v>77031.62</v>
      </c>
      <c r="AC63" s="64">
        <v>77031.62</v>
      </c>
      <c r="AD63" s="64">
        <v>77031.62</v>
      </c>
      <c r="AE63" s="64">
        <v>77031.62</v>
      </c>
      <c r="AF63" s="224"/>
      <c r="AG63" s="51">
        <f t="shared" si="1"/>
        <v>77031.62</v>
      </c>
      <c r="AH63" s="44">
        <v>77031.62</v>
      </c>
    </row>
    <row r="64" spans="1:34" x14ac:dyDescent="0.35">
      <c r="A64" s="33" t="s">
        <v>70</v>
      </c>
      <c r="B64" s="223">
        <v>86430.139999999985</v>
      </c>
      <c r="C64" s="64">
        <v>86430.139999999985</v>
      </c>
      <c r="D64" s="64">
        <v>86430.139999999985</v>
      </c>
      <c r="E64" s="64">
        <v>86430.139999999985</v>
      </c>
      <c r="F64" s="64">
        <v>86430.139999999985</v>
      </c>
      <c r="G64" s="64">
        <v>86430.139999999985</v>
      </c>
      <c r="H64" s="64">
        <v>86430.139999999985</v>
      </c>
      <c r="I64" s="64">
        <v>86430.139999999985</v>
      </c>
      <c r="J64" s="64">
        <v>86430.139999999985</v>
      </c>
      <c r="K64" s="64">
        <v>86430.139999999985</v>
      </c>
      <c r="L64" s="64">
        <v>86430.139999999985</v>
      </c>
      <c r="M64" s="64">
        <v>86430.139999999985</v>
      </c>
      <c r="N64" s="64">
        <v>86430.139999999985</v>
      </c>
      <c r="O64" s="64">
        <v>86430.139999999985</v>
      </c>
      <c r="P64" s="64">
        <v>86430.139999999985</v>
      </c>
      <c r="Q64" s="64">
        <v>86430.14</v>
      </c>
      <c r="R64" s="64">
        <v>86430.14</v>
      </c>
      <c r="S64" s="64">
        <v>86430.14</v>
      </c>
      <c r="T64" s="64">
        <v>86430.14</v>
      </c>
      <c r="U64" s="64">
        <v>86430.14</v>
      </c>
      <c r="V64" s="64">
        <v>86430.14</v>
      </c>
      <c r="W64" s="64">
        <v>86430.14</v>
      </c>
      <c r="X64" s="64">
        <v>86430.14</v>
      </c>
      <c r="Y64" s="64">
        <v>86435.97</v>
      </c>
      <c r="Z64" s="64">
        <v>86438.67</v>
      </c>
      <c r="AA64" s="64">
        <v>86441.79</v>
      </c>
      <c r="AB64" s="64">
        <v>86444.91</v>
      </c>
      <c r="AC64" s="64">
        <v>86447.07</v>
      </c>
      <c r="AD64" s="64">
        <v>86447.07</v>
      </c>
      <c r="AE64" s="64">
        <v>86447.07</v>
      </c>
      <c r="AF64" s="224"/>
      <c r="AG64" s="51">
        <f t="shared" si="1"/>
        <v>86447.07</v>
      </c>
      <c r="AH64" s="44">
        <v>86430.14</v>
      </c>
    </row>
    <row r="65" spans="1:34" x14ac:dyDescent="0.35">
      <c r="A65" s="33" t="s">
        <v>71</v>
      </c>
      <c r="B65" s="223">
        <v>84773.640000000014</v>
      </c>
      <c r="C65" s="64">
        <v>84784.500000000015</v>
      </c>
      <c r="D65" s="64">
        <v>84799.300000000017</v>
      </c>
      <c r="E65" s="64">
        <v>84818.99000000002</v>
      </c>
      <c r="F65" s="64">
        <v>84830.650000000023</v>
      </c>
      <c r="G65" s="64">
        <v>84844.630000000019</v>
      </c>
      <c r="H65" s="64">
        <v>84854.430000000022</v>
      </c>
      <c r="I65" s="64">
        <v>84858.980000000025</v>
      </c>
      <c r="J65" s="64">
        <v>84863.400000000023</v>
      </c>
      <c r="K65" s="64">
        <v>84866.750000000029</v>
      </c>
      <c r="L65" s="64">
        <v>84872.180000000022</v>
      </c>
      <c r="M65" s="64">
        <v>84882.250000000029</v>
      </c>
      <c r="N65" s="64">
        <v>84902.960000000036</v>
      </c>
      <c r="O65" s="64">
        <v>84921.900000000038</v>
      </c>
      <c r="P65" s="64">
        <v>84936.570000000036</v>
      </c>
      <c r="Q65" s="64">
        <v>84950.78</v>
      </c>
      <c r="R65" s="64">
        <v>84972.29</v>
      </c>
      <c r="S65" s="64">
        <v>84991.75</v>
      </c>
      <c r="T65" s="64">
        <v>85013.43</v>
      </c>
      <c r="U65" s="64">
        <v>85034.99</v>
      </c>
      <c r="V65" s="64">
        <v>85056.55</v>
      </c>
      <c r="W65" s="64">
        <v>85060.33</v>
      </c>
      <c r="X65" s="64">
        <v>85073.15</v>
      </c>
      <c r="Y65" s="64">
        <v>85088.39</v>
      </c>
      <c r="Z65" s="64">
        <v>85098.25</v>
      </c>
      <c r="AA65" s="64">
        <v>85100.09</v>
      </c>
      <c r="AB65" s="64">
        <v>85101.93</v>
      </c>
      <c r="AC65" s="64">
        <v>85117.54</v>
      </c>
      <c r="AD65" s="64">
        <v>85128.17</v>
      </c>
      <c r="AE65" s="64">
        <v>85128.63</v>
      </c>
      <c r="AF65" s="224"/>
      <c r="AG65" s="51">
        <f t="shared" si="1"/>
        <v>85128.63</v>
      </c>
      <c r="AH65" s="44">
        <v>84763.08</v>
      </c>
    </row>
    <row r="66" spans="1:34" x14ac:dyDescent="0.35">
      <c r="A66" s="33" t="s">
        <v>72</v>
      </c>
      <c r="B66" s="223">
        <v>82809.830000000162</v>
      </c>
      <c r="C66" s="64">
        <v>82814.460000000166</v>
      </c>
      <c r="D66" s="64">
        <v>82833.850000000166</v>
      </c>
      <c r="E66" s="64">
        <v>82842.520000000164</v>
      </c>
      <c r="F66" s="64">
        <v>82857.290000000168</v>
      </c>
      <c r="G66" s="64">
        <v>82870.230000000171</v>
      </c>
      <c r="H66" s="64">
        <v>82877.110000000175</v>
      </c>
      <c r="I66" s="64">
        <v>82879.720000000176</v>
      </c>
      <c r="J66" s="64">
        <v>82881.200000000172</v>
      </c>
      <c r="K66" s="64">
        <v>82902.300000000178</v>
      </c>
      <c r="L66" s="64">
        <v>82910.080000000176</v>
      </c>
      <c r="M66" s="64">
        <v>82919.440000000177</v>
      </c>
      <c r="N66" s="64">
        <v>82919.440000000177</v>
      </c>
      <c r="O66" s="64">
        <v>82936.840000000171</v>
      </c>
      <c r="P66" s="64">
        <v>82955.62000000017</v>
      </c>
      <c r="Q66" s="64">
        <v>82965.19</v>
      </c>
      <c r="R66" s="64">
        <v>82985.7</v>
      </c>
      <c r="S66" s="64">
        <v>83007.350000000006</v>
      </c>
      <c r="T66" s="64">
        <v>83013.789999999994</v>
      </c>
      <c r="U66" s="64">
        <v>83021.789999999994</v>
      </c>
      <c r="V66" s="64">
        <v>83029.789999999994</v>
      </c>
      <c r="W66" s="64">
        <v>83049.149999999994</v>
      </c>
      <c r="X66" s="64">
        <v>83054.850000000006</v>
      </c>
      <c r="Y66" s="64">
        <v>83072.36</v>
      </c>
      <c r="Z66" s="64">
        <v>83091.8</v>
      </c>
      <c r="AA66" s="64">
        <v>83103.69</v>
      </c>
      <c r="AB66" s="64">
        <v>83115.58</v>
      </c>
      <c r="AC66" s="64">
        <v>83135.570000000007</v>
      </c>
      <c r="AD66" s="64">
        <v>83146.39</v>
      </c>
      <c r="AE66" s="64">
        <v>83158.03</v>
      </c>
      <c r="AF66" s="224"/>
      <c r="AG66" s="51">
        <f t="shared" si="1"/>
        <v>83158.03</v>
      </c>
      <c r="AH66" s="44">
        <v>82800.11</v>
      </c>
    </row>
    <row r="67" spans="1:34" x14ac:dyDescent="0.35">
      <c r="A67" s="33" t="s">
        <v>73</v>
      </c>
      <c r="B67" s="223">
        <v>85102.059999999852</v>
      </c>
      <c r="C67" s="64">
        <v>85122.349999999846</v>
      </c>
      <c r="D67" s="64">
        <v>85127.449999999852</v>
      </c>
      <c r="E67" s="64">
        <v>85130.779999999853</v>
      </c>
      <c r="F67" s="64">
        <v>85143.089999999851</v>
      </c>
      <c r="G67" s="64">
        <v>85158.86999999985</v>
      </c>
      <c r="H67" s="64">
        <v>85172.499999999854</v>
      </c>
      <c r="I67" s="64">
        <v>85184.839999999851</v>
      </c>
      <c r="J67" s="64">
        <v>85196.819999999847</v>
      </c>
      <c r="K67" s="64">
        <v>85215.489999999845</v>
      </c>
      <c r="L67" s="64">
        <v>85233.409999999843</v>
      </c>
      <c r="M67" s="64">
        <v>85254.74999999984</v>
      </c>
      <c r="N67" s="64">
        <v>85275.739999999845</v>
      </c>
      <c r="O67" s="64">
        <v>85295.049999999843</v>
      </c>
      <c r="P67" s="64">
        <v>85313.289999999848</v>
      </c>
      <c r="Q67" s="64">
        <v>85331</v>
      </c>
      <c r="R67" s="64">
        <v>85348.59</v>
      </c>
      <c r="S67" s="64">
        <v>85369.75</v>
      </c>
      <c r="T67" s="64">
        <v>85379.11</v>
      </c>
      <c r="U67" s="64">
        <v>85392.44</v>
      </c>
      <c r="V67" s="64">
        <v>85405.77</v>
      </c>
      <c r="W67" s="64">
        <v>85423.26</v>
      </c>
      <c r="X67" s="64">
        <v>85434.17</v>
      </c>
      <c r="Y67" s="64">
        <v>85452.64</v>
      </c>
      <c r="Z67" s="64">
        <v>85472.19</v>
      </c>
      <c r="AA67" s="64">
        <v>85491.41</v>
      </c>
      <c r="AB67" s="64">
        <v>85510.63</v>
      </c>
      <c r="AC67" s="64">
        <v>85532.41</v>
      </c>
      <c r="AD67" s="64">
        <v>85543.27</v>
      </c>
      <c r="AE67" s="64">
        <v>85554.05</v>
      </c>
      <c r="AF67" s="224"/>
      <c r="AG67" s="51">
        <f t="shared" si="1"/>
        <v>85554.05</v>
      </c>
      <c r="AH67" s="44">
        <v>85083.22</v>
      </c>
    </row>
    <row r="68" spans="1:34" x14ac:dyDescent="0.35">
      <c r="A68" s="33" t="s">
        <v>74</v>
      </c>
      <c r="B68" s="223">
        <v>83161.439999999857</v>
      </c>
      <c r="C68" s="64">
        <v>83173.179999999862</v>
      </c>
      <c r="D68" s="64">
        <v>83183.709999999861</v>
      </c>
      <c r="E68" s="64">
        <v>83202.079999999856</v>
      </c>
      <c r="F68" s="64">
        <v>83210.549999999857</v>
      </c>
      <c r="G68" s="64">
        <v>83225.119999999864</v>
      </c>
      <c r="H68" s="64">
        <v>83235.899999999863</v>
      </c>
      <c r="I68" s="64">
        <v>83253.629999999859</v>
      </c>
      <c r="J68" s="64">
        <v>83272.259999999864</v>
      </c>
      <c r="K68" s="64">
        <v>83286.189999999857</v>
      </c>
      <c r="L68" s="64">
        <v>83303.889999999854</v>
      </c>
      <c r="M68" s="64">
        <v>83317.439999999857</v>
      </c>
      <c r="N68" s="64">
        <v>83338.299999999857</v>
      </c>
      <c r="O68" s="64">
        <v>83358.079999999856</v>
      </c>
      <c r="P68" s="64">
        <v>83379.189999999857</v>
      </c>
      <c r="Q68" s="64">
        <v>83400.11</v>
      </c>
      <c r="R68" s="64">
        <v>83408.33</v>
      </c>
      <c r="S68" s="64">
        <v>83428.08</v>
      </c>
      <c r="T68" s="64">
        <v>83449.600000000006</v>
      </c>
      <c r="U68" s="64">
        <v>83450.5</v>
      </c>
      <c r="V68" s="64">
        <v>83451.399999999994</v>
      </c>
      <c r="W68" s="64">
        <v>83457.84</v>
      </c>
      <c r="X68" s="64">
        <v>83460.7</v>
      </c>
      <c r="Y68" s="64">
        <v>83470.69</v>
      </c>
      <c r="Z68" s="64">
        <v>83487.070000000007</v>
      </c>
      <c r="AA68" s="64">
        <v>83506.83</v>
      </c>
      <c r="AB68" s="64">
        <v>83526.59</v>
      </c>
      <c r="AC68" s="64">
        <v>83538.05</v>
      </c>
      <c r="AD68" s="64">
        <v>83549.539999999994</v>
      </c>
      <c r="AE68" s="64">
        <v>83553.679999999993</v>
      </c>
      <c r="AF68" s="224"/>
      <c r="AG68" s="51">
        <f t="shared" ref="AG68:AG99" si="2">MAX(B68:AF68)</f>
        <v>83553.679999999993</v>
      </c>
      <c r="AH68" s="44">
        <v>83152.03</v>
      </c>
    </row>
    <row r="69" spans="1:34" x14ac:dyDescent="0.35">
      <c r="A69" s="33" t="s">
        <v>75</v>
      </c>
      <c r="B69" s="223">
        <v>86640.690000000017</v>
      </c>
      <c r="C69" s="64">
        <v>86641.710000000021</v>
      </c>
      <c r="D69" s="64">
        <v>86646.980000000025</v>
      </c>
      <c r="E69" s="64">
        <v>86667.250000000029</v>
      </c>
      <c r="F69" s="64">
        <v>86675.910000000033</v>
      </c>
      <c r="G69" s="64">
        <v>86696.750000000029</v>
      </c>
      <c r="H69" s="64">
        <v>86707.400000000023</v>
      </c>
      <c r="I69" s="64">
        <v>86724.090000000026</v>
      </c>
      <c r="J69" s="64">
        <v>86738.47000000003</v>
      </c>
      <c r="K69" s="64">
        <v>86759.980000000025</v>
      </c>
      <c r="L69" s="64">
        <v>86772.74000000002</v>
      </c>
      <c r="M69" s="64">
        <v>86782.750000000015</v>
      </c>
      <c r="N69" s="64">
        <v>86804.330000000016</v>
      </c>
      <c r="O69" s="64">
        <v>86824.24000000002</v>
      </c>
      <c r="P69" s="64">
        <v>86845.280000000013</v>
      </c>
      <c r="Q69" s="64">
        <v>86866.54</v>
      </c>
      <c r="R69" s="64">
        <v>86866.54</v>
      </c>
      <c r="S69" s="64">
        <v>86887.38</v>
      </c>
      <c r="T69" s="64">
        <v>86900.46</v>
      </c>
      <c r="U69" s="64">
        <v>86900.46</v>
      </c>
      <c r="V69" s="64">
        <v>86900.46</v>
      </c>
      <c r="W69" s="64">
        <v>86900.46</v>
      </c>
      <c r="X69" s="64">
        <v>86907.4</v>
      </c>
      <c r="Y69" s="64">
        <v>86916.26</v>
      </c>
      <c r="Z69" s="64">
        <v>86936.93</v>
      </c>
      <c r="AA69" s="64">
        <v>86957.18</v>
      </c>
      <c r="AB69" s="64">
        <v>86977.43</v>
      </c>
      <c r="AC69" s="64">
        <v>86977.49</v>
      </c>
      <c r="AD69" s="64">
        <v>86986.16</v>
      </c>
      <c r="AE69" s="64">
        <v>86991.62</v>
      </c>
      <c r="AF69" s="224"/>
      <c r="AG69" s="51">
        <f t="shared" si="2"/>
        <v>86991.62</v>
      </c>
      <c r="AH69" s="44">
        <v>86627.89</v>
      </c>
    </row>
    <row r="70" spans="1:34" x14ac:dyDescent="0.35">
      <c r="A70" s="33" t="s">
        <v>76</v>
      </c>
      <c r="B70" s="223">
        <v>85410.470000000161</v>
      </c>
      <c r="C70" s="64">
        <v>85417.850000000166</v>
      </c>
      <c r="D70" s="64">
        <v>85435.62000000017</v>
      </c>
      <c r="E70" s="64">
        <v>85440.160000000164</v>
      </c>
      <c r="F70" s="64">
        <v>85451.150000000169</v>
      </c>
      <c r="G70" s="64">
        <v>85461.62000000017</v>
      </c>
      <c r="H70" s="64">
        <v>85482.780000000173</v>
      </c>
      <c r="I70" s="64">
        <v>85497.650000000169</v>
      </c>
      <c r="J70" s="64">
        <v>85502.080000000162</v>
      </c>
      <c r="K70" s="64">
        <v>85512.390000000159</v>
      </c>
      <c r="L70" s="64">
        <v>85523.200000000157</v>
      </c>
      <c r="M70" s="64">
        <v>85544.790000000154</v>
      </c>
      <c r="N70" s="64">
        <v>85553.440000000148</v>
      </c>
      <c r="O70" s="64">
        <v>85567.450000000143</v>
      </c>
      <c r="P70" s="64">
        <v>85583.660000000149</v>
      </c>
      <c r="Q70" s="64">
        <v>85605.11</v>
      </c>
      <c r="R70" s="64">
        <v>85625.38</v>
      </c>
      <c r="S70" s="64">
        <v>85637.16</v>
      </c>
      <c r="T70" s="64">
        <v>85645.38</v>
      </c>
      <c r="U70" s="64">
        <v>85659.48</v>
      </c>
      <c r="V70" s="64">
        <v>85673.58</v>
      </c>
      <c r="W70" s="64">
        <v>85688.93</v>
      </c>
      <c r="X70" s="64">
        <v>85705.1</v>
      </c>
      <c r="Y70" s="64">
        <v>85725.64</v>
      </c>
      <c r="Z70" s="64">
        <v>85735.34</v>
      </c>
      <c r="AA70" s="64">
        <v>85735.34</v>
      </c>
      <c r="AB70" s="64">
        <v>85735.34</v>
      </c>
      <c r="AC70" s="64">
        <v>85744.55</v>
      </c>
      <c r="AD70" s="64">
        <v>85765.9</v>
      </c>
      <c r="AE70" s="64">
        <v>85770.54</v>
      </c>
      <c r="AF70" s="224"/>
      <c r="AG70" s="51">
        <f t="shared" si="2"/>
        <v>85770.54</v>
      </c>
      <c r="AH70" s="44">
        <v>85390.12</v>
      </c>
    </row>
    <row r="71" spans="1:34" x14ac:dyDescent="0.35">
      <c r="A71" s="33" t="s">
        <v>77</v>
      </c>
      <c r="B71" s="223">
        <v>74818.410000000062</v>
      </c>
      <c r="C71" s="64">
        <v>74829.420000000056</v>
      </c>
      <c r="D71" s="64">
        <v>74844.310000000056</v>
      </c>
      <c r="E71" s="64">
        <v>74851.730000000054</v>
      </c>
      <c r="F71" s="64">
        <v>74866.050000000061</v>
      </c>
      <c r="G71" s="64">
        <v>74885.370000000068</v>
      </c>
      <c r="H71" s="64">
        <v>74896.720000000074</v>
      </c>
      <c r="I71" s="64">
        <v>74910.050000000076</v>
      </c>
      <c r="J71" s="64">
        <v>74916.140000000072</v>
      </c>
      <c r="K71" s="64">
        <v>74916.930000000066</v>
      </c>
      <c r="L71" s="64">
        <v>74916.930000000066</v>
      </c>
      <c r="M71" s="64">
        <v>74935.610000000059</v>
      </c>
      <c r="N71" s="64">
        <v>74956.890000000058</v>
      </c>
      <c r="O71" s="64">
        <v>74972.300000000061</v>
      </c>
      <c r="P71" s="64">
        <v>74993.710000000065</v>
      </c>
      <c r="Q71" s="64">
        <v>75014.960000000006</v>
      </c>
      <c r="R71" s="64">
        <v>75024.12</v>
      </c>
      <c r="S71" s="64">
        <v>75028.990000000005</v>
      </c>
      <c r="T71" s="64">
        <v>75028.990000000005</v>
      </c>
      <c r="U71" s="64">
        <v>75048.86</v>
      </c>
      <c r="V71" s="64">
        <v>75068.73</v>
      </c>
      <c r="W71" s="64">
        <v>75089.16</v>
      </c>
      <c r="X71" s="64">
        <v>75099.86</v>
      </c>
      <c r="Y71" s="64">
        <v>75107.87</v>
      </c>
      <c r="Z71" s="64">
        <v>75122.16</v>
      </c>
      <c r="AA71" s="64">
        <v>75143.5</v>
      </c>
      <c r="AB71" s="64">
        <v>75164.84</v>
      </c>
      <c r="AC71" s="64">
        <v>75164.84</v>
      </c>
      <c r="AD71" s="64">
        <v>75164.84</v>
      </c>
      <c r="AE71" s="64">
        <v>75164.84</v>
      </c>
      <c r="AF71" s="224"/>
      <c r="AG71" s="51">
        <f t="shared" si="2"/>
        <v>75164.84</v>
      </c>
      <c r="AH71" s="44">
        <v>74807.350000000006</v>
      </c>
    </row>
    <row r="72" spans="1:34" x14ac:dyDescent="0.35">
      <c r="A72" s="33" t="s">
        <v>78</v>
      </c>
      <c r="B72" s="223">
        <v>78109.969999999958</v>
      </c>
      <c r="C72" s="64">
        <v>78119.899999999951</v>
      </c>
      <c r="D72" s="64">
        <v>78139.379999999946</v>
      </c>
      <c r="E72" s="64">
        <v>78148.829999999944</v>
      </c>
      <c r="F72" s="64">
        <v>78162.799999999945</v>
      </c>
      <c r="G72" s="64">
        <v>78170.339999999938</v>
      </c>
      <c r="H72" s="64">
        <v>78170.339999999938</v>
      </c>
      <c r="I72" s="64">
        <v>78177.729999999938</v>
      </c>
      <c r="J72" s="64">
        <v>78198.759999999937</v>
      </c>
      <c r="K72" s="64">
        <v>78220.659999999931</v>
      </c>
      <c r="L72" s="64">
        <v>78242.149999999936</v>
      </c>
      <c r="M72" s="64">
        <v>78263.679999999935</v>
      </c>
      <c r="N72" s="64">
        <v>78285.079999999929</v>
      </c>
      <c r="O72" s="64">
        <v>78306.639999999927</v>
      </c>
      <c r="P72" s="64">
        <v>78323.089999999924</v>
      </c>
      <c r="Q72" s="64">
        <v>78333.98</v>
      </c>
      <c r="R72" s="64">
        <v>78350.559999999998</v>
      </c>
      <c r="S72" s="64">
        <v>78371.25</v>
      </c>
      <c r="T72" s="64">
        <v>78392.47</v>
      </c>
      <c r="U72" s="64">
        <v>78408.460000000006</v>
      </c>
      <c r="V72" s="64">
        <v>78424.45</v>
      </c>
      <c r="W72" s="64">
        <v>78438.720000000001</v>
      </c>
      <c r="X72" s="64">
        <v>78450.460000000006</v>
      </c>
      <c r="Y72" s="64">
        <v>78460.11</v>
      </c>
      <c r="Z72" s="64">
        <v>78481.429999999993</v>
      </c>
      <c r="AA72" s="64">
        <v>78503.72</v>
      </c>
      <c r="AB72" s="64">
        <v>78526.009999999995</v>
      </c>
      <c r="AC72" s="64">
        <v>78541.33</v>
      </c>
      <c r="AD72" s="64">
        <v>78562.880000000005</v>
      </c>
      <c r="AE72" s="64">
        <v>78573.7</v>
      </c>
      <c r="AF72" s="224"/>
      <c r="AG72" s="51">
        <f t="shared" si="2"/>
        <v>78573.7</v>
      </c>
      <c r="AH72" s="44">
        <v>78095.77</v>
      </c>
    </row>
    <row r="73" spans="1:34" x14ac:dyDescent="0.35">
      <c r="A73" s="33" t="s">
        <v>79</v>
      </c>
      <c r="B73" s="223">
        <v>80474.889999999883</v>
      </c>
      <c r="C73" s="64">
        <v>80475.499999999884</v>
      </c>
      <c r="D73" s="64">
        <v>80487.599999999889</v>
      </c>
      <c r="E73" s="64">
        <v>80496.429999999891</v>
      </c>
      <c r="F73" s="64">
        <v>80504.059999999896</v>
      </c>
      <c r="G73" s="64">
        <v>80513.109999999899</v>
      </c>
      <c r="H73" s="64">
        <v>80534.3299999999</v>
      </c>
      <c r="I73" s="64">
        <v>80545.589999999895</v>
      </c>
      <c r="J73" s="64">
        <v>80546.1899999999</v>
      </c>
      <c r="K73" s="64">
        <v>80567.149999999907</v>
      </c>
      <c r="L73" s="64">
        <v>80588.889999999912</v>
      </c>
      <c r="M73" s="64">
        <v>80606.269999999917</v>
      </c>
      <c r="N73" s="64">
        <v>80625.469999999914</v>
      </c>
      <c r="O73" s="64">
        <v>80640.709999999919</v>
      </c>
      <c r="P73" s="64">
        <v>80643.859999999913</v>
      </c>
      <c r="Q73" s="64">
        <v>80644.66</v>
      </c>
      <c r="R73" s="64">
        <v>80649.06</v>
      </c>
      <c r="S73" s="64">
        <v>80655.88</v>
      </c>
      <c r="T73" s="64">
        <v>80655.88</v>
      </c>
      <c r="U73" s="64">
        <v>80655.88</v>
      </c>
      <c r="V73" s="64">
        <v>80655.88</v>
      </c>
      <c r="W73" s="64">
        <v>80655.88</v>
      </c>
      <c r="X73" s="64">
        <v>80655.88</v>
      </c>
      <c r="Y73" s="64">
        <v>80655.88</v>
      </c>
      <c r="Z73" s="64">
        <v>80655.88</v>
      </c>
      <c r="AA73" s="64">
        <v>80655.88</v>
      </c>
      <c r="AB73" s="64">
        <v>80655.88</v>
      </c>
      <c r="AC73" s="64">
        <v>80655.88</v>
      </c>
      <c r="AD73" s="64">
        <v>80655.88</v>
      </c>
      <c r="AE73" s="64">
        <v>80655.88</v>
      </c>
      <c r="AF73" s="224"/>
      <c r="AG73" s="51">
        <f t="shared" si="2"/>
        <v>80655.88</v>
      </c>
      <c r="AH73" s="44">
        <v>80474.89</v>
      </c>
    </row>
    <row r="74" spans="1:34" x14ac:dyDescent="0.35">
      <c r="A74" s="33" t="s">
        <v>80</v>
      </c>
      <c r="B74" s="223">
        <v>85709.319999999963</v>
      </c>
      <c r="C74" s="64">
        <v>85731.209999999963</v>
      </c>
      <c r="D74" s="64">
        <v>85746.27999999997</v>
      </c>
      <c r="E74" s="64">
        <v>85753.909999999974</v>
      </c>
      <c r="F74" s="64">
        <v>85773.169999999969</v>
      </c>
      <c r="G74" s="64">
        <v>85786.989999999976</v>
      </c>
      <c r="H74" s="64">
        <v>85793.739999999976</v>
      </c>
      <c r="I74" s="64">
        <v>85800.709999999977</v>
      </c>
      <c r="J74" s="64">
        <v>85822.099999999977</v>
      </c>
      <c r="K74" s="64">
        <v>85840.809999999983</v>
      </c>
      <c r="L74" s="64">
        <v>85856.369999999981</v>
      </c>
      <c r="M74" s="64">
        <v>85863.469999999987</v>
      </c>
      <c r="N74" s="64">
        <v>85884.209999999992</v>
      </c>
      <c r="O74" s="64">
        <v>85905.279999999999</v>
      </c>
      <c r="P74" s="64">
        <v>85926.87</v>
      </c>
      <c r="Q74" s="64">
        <v>85947.59</v>
      </c>
      <c r="R74" s="64">
        <v>85969.33</v>
      </c>
      <c r="S74" s="64">
        <v>85988.99</v>
      </c>
      <c r="T74" s="64">
        <v>86008.27</v>
      </c>
      <c r="U74" s="64">
        <v>86016.89</v>
      </c>
      <c r="V74" s="64">
        <v>86025.51</v>
      </c>
      <c r="W74" s="64">
        <v>86038.95</v>
      </c>
      <c r="X74" s="64">
        <v>86056.960000000006</v>
      </c>
      <c r="Y74" s="64">
        <v>86075.05</v>
      </c>
      <c r="Z74" s="64">
        <v>86096.37</v>
      </c>
      <c r="AA74" s="64">
        <v>86115.29</v>
      </c>
      <c r="AB74" s="64">
        <v>86134.21</v>
      </c>
      <c r="AC74" s="64">
        <v>86155.7</v>
      </c>
      <c r="AD74" s="64">
        <v>86174.22</v>
      </c>
      <c r="AE74" s="64">
        <v>86195.25</v>
      </c>
      <c r="AF74" s="224"/>
      <c r="AG74" s="51">
        <f t="shared" si="2"/>
        <v>86195.25</v>
      </c>
      <c r="AH74" s="44">
        <v>85689.13</v>
      </c>
    </row>
    <row r="75" spans="1:34" x14ac:dyDescent="0.35">
      <c r="A75" s="33" t="s">
        <v>81</v>
      </c>
      <c r="B75" s="223">
        <v>84715.209999999803</v>
      </c>
      <c r="C75" s="64">
        <v>84730.749999999796</v>
      </c>
      <c r="D75" s="64">
        <v>84751.279999999795</v>
      </c>
      <c r="E75" s="64">
        <v>84767.759999999791</v>
      </c>
      <c r="F75" s="64">
        <v>84789.209999999788</v>
      </c>
      <c r="G75" s="64">
        <v>84809.879999999786</v>
      </c>
      <c r="H75" s="64">
        <v>84831.659999999785</v>
      </c>
      <c r="I75" s="64">
        <v>84846.279999999781</v>
      </c>
      <c r="J75" s="64">
        <v>84868.199999999779</v>
      </c>
      <c r="K75" s="64">
        <v>84870.719999999783</v>
      </c>
      <c r="L75" s="64">
        <v>84875.829999999783</v>
      </c>
      <c r="M75" s="64">
        <v>84893.049999999785</v>
      </c>
      <c r="N75" s="64">
        <v>84914.019999999786</v>
      </c>
      <c r="O75" s="64">
        <v>84935.869999999792</v>
      </c>
      <c r="P75" s="64">
        <v>84955.629999999786</v>
      </c>
      <c r="Q75" s="64">
        <v>84976.02</v>
      </c>
      <c r="R75" s="64">
        <v>84995.76</v>
      </c>
      <c r="S75" s="64">
        <v>85013.4</v>
      </c>
      <c r="T75" s="64">
        <v>85028.59</v>
      </c>
      <c r="U75" s="64">
        <v>85050.01</v>
      </c>
      <c r="V75" s="64">
        <v>85071.43</v>
      </c>
      <c r="W75" s="64">
        <v>85092.76</v>
      </c>
      <c r="X75" s="64">
        <v>85111.73</v>
      </c>
      <c r="Y75" s="64">
        <v>85122.41</v>
      </c>
      <c r="Z75" s="64">
        <v>85139.03</v>
      </c>
      <c r="AA75" s="64">
        <v>85159.37</v>
      </c>
      <c r="AB75" s="64">
        <v>85179.71</v>
      </c>
      <c r="AC75" s="64">
        <v>85189.01</v>
      </c>
      <c r="AD75" s="64">
        <v>85192.29</v>
      </c>
      <c r="AE75" s="64">
        <v>85201.51</v>
      </c>
      <c r="AF75" s="224"/>
      <c r="AG75" s="51">
        <f t="shared" si="2"/>
        <v>85201.51</v>
      </c>
      <c r="AH75" s="44">
        <v>84714.33</v>
      </c>
    </row>
    <row r="76" spans="1:34" x14ac:dyDescent="0.35">
      <c r="A76" s="33" t="s">
        <v>82</v>
      </c>
      <c r="B76" s="223">
        <v>84911.610000000161</v>
      </c>
      <c r="C76" s="64">
        <v>84925.840000000157</v>
      </c>
      <c r="D76" s="64">
        <v>84939.290000000154</v>
      </c>
      <c r="E76" s="64">
        <v>84952.920000000158</v>
      </c>
      <c r="F76" s="64">
        <v>84973.370000000155</v>
      </c>
      <c r="G76" s="64">
        <v>84993.800000000148</v>
      </c>
      <c r="H76" s="64">
        <v>85014.490000000151</v>
      </c>
      <c r="I76" s="64">
        <v>85020.890000000145</v>
      </c>
      <c r="J76" s="64">
        <v>85038.850000000151</v>
      </c>
      <c r="K76" s="64">
        <v>85049.110000000146</v>
      </c>
      <c r="L76" s="64">
        <v>85069.870000000141</v>
      </c>
      <c r="M76" s="64">
        <v>85080.230000000141</v>
      </c>
      <c r="N76" s="64">
        <v>85098.750000000146</v>
      </c>
      <c r="O76" s="64">
        <v>85112.100000000151</v>
      </c>
      <c r="P76" s="64">
        <v>85115.600000000151</v>
      </c>
      <c r="Q76" s="64">
        <v>85116.74</v>
      </c>
      <c r="R76" s="64">
        <v>85128.49</v>
      </c>
      <c r="S76" s="64">
        <v>85147.35</v>
      </c>
      <c r="T76" s="64">
        <v>85166.18</v>
      </c>
      <c r="U76" s="64">
        <v>85186.89</v>
      </c>
      <c r="V76" s="64">
        <v>85207.6</v>
      </c>
      <c r="W76" s="64">
        <v>85207.6</v>
      </c>
      <c r="X76" s="64">
        <v>85207.6</v>
      </c>
      <c r="Y76" s="64">
        <v>85207.6</v>
      </c>
      <c r="Z76" s="64">
        <v>85207.6</v>
      </c>
      <c r="AA76" s="64">
        <v>85209.72</v>
      </c>
      <c r="AB76" s="64">
        <v>85211.839999999997</v>
      </c>
      <c r="AC76" s="64">
        <v>85221.56</v>
      </c>
      <c r="AD76" s="64">
        <v>85227.33</v>
      </c>
      <c r="AE76" s="64">
        <v>85227.33</v>
      </c>
      <c r="AF76" s="224"/>
      <c r="AG76" s="51">
        <f t="shared" si="2"/>
        <v>85227.33</v>
      </c>
      <c r="AH76" s="44">
        <v>84906.53</v>
      </c>
    </row>
    <row r="77" spans="1:34" x14ac:dyDescent="0.35">
      <c r="A77" s="33" t="s">
        <v>83</v>
      </c>
      <c r="B77" s="223">
        <v>83918.169999999955</v>
      </c>
      <c r="C77" s="64">
        <v>83939.669999999955</v>
      </c>
      <c r="D77" s="64">
        <v>83961.03999999995</v>
      </c>
      <c r="E77" s="64">
        <v>83982.299999999945</v>
      </c>
      <c r="F77" s="64">
        <v>84001.889999999941</v>
      </c>
      <c r="G77" s="64">
        <v>84003.019999999946</v>
      </c>
      <c r="H77" s="64">
        <v>84016.059999999939</v>
      </c>
      <c r="I77" s="64">
        <v>84033.929999999935</v>
      </c>
      <c r="J77" s="64">
        <v>84055.209999999934</v>
      </c>
      <c r="K77" s="64">
        <v>84069.149999999936</v>
      </c>
      <c r="L77" s="64">
        <v>84090.979999999938</v>
      </c>
      <c r="M77" s="64">
        <v>84112.049999999945</v>
      </c>
      <c r="N77" s="64">
        <v>84127.449999999939</v>
      </c>
      <c r="O77" s="64">
        <v>84148.969999999943</v>
      </c>
      <c r="P77" s="64">
        <v>84168.299999999945</v>
      </c>
      <c r="Q77" s="64">
        <v>84181.68</v>
      </c>
      <c r="R77" s="64">
        <v>84196.7</v>
      </c>
      <c r="S77" s="64">
        <v>84214.88</v>
      </c>
      <c r="T77" s="64">
        <v>84226.39</v>
      </c>
      <c r="U77" s="64">
        <v>84240.91</v>
      </c>
      <c r="V77" s="64">
        <v>84255.43</v>
      </c>
      <c r="W77" s="64">
        <v>84276.51</v>
      </c>
      <c r="X77" s="64">
        <v>84293.09</v>
      </c>
      <c r="Y77" s="64">
        <v>84308.92</v>
      </c>
      <c r="Z77" s="64">
        <v>84329.16</v>
      </c>
      <c r="AA77" s="64">
        <v>84350.59</v>
      </c>
      <c r="AB77" s="64">
        <v>84372.02</v>
      </c>
      <c r="AC77" s="64">
        <v>84393.55</v>
      </c>
      <c r="AD77" s="64">
        <v>84411.08</v>
      </c>
      <c r="AE77" s="64">
        <v>84418.11</v>
      </c>
      <c r="AF77" s="224"/>
      <c r="AG77" s="51">
        <f t="shared" si="2"/>
        <v>84418.11</v>
      </c>
      <c r="AH77" s="44">
        <v>83898.25</v>
      </c>
    </row>
    <row r="78" spans="1:34" x14ac:dyDescent="0.35">
      <c r="A78" s="33" t="s">
        <v>84</v>
      </c>
      <c r="B78" s="223">
        <v>86604.329999999987</v>
      </c>
      <c r="C78" s="64">
        <v>86625.889999999985</v>
      </c>
      <c r="D78" s="64">
        <v>86636.89999999998</v>
      </c>
      <c r="E78" s="64">
        <v>86651.889999999985</v>
      </c>
      <c r="F78" s="64">
        <v>86663.589999999982</v>
      </c>
      <c r="G78" s="64">
        <v>86678.679999999978</v>
      </c>
      <c r="H78" s="64">
        <v>86699.50999999998</v>
      </c>
      <c r="I78" s="64">
        <v>86716.349999999977</v>
      </c>
      <c r="J78" s="64">
        <v>86737.849999999977</v>
      </c>
      <c r="K78" s="64">
        <v>86753.269999999975</v>
      </c>
      <c r="L78" s="64">
        <v>86759.989999999976</v>
      </c>
      <c r="M78" s="64">
        <v>86774.249999999971</v>
      </c>
      <c r="N78" s="64">
        <v>86787.859999999971</v>
      </c>
      <c r="O78" s="64">
        <v>86792.929999999978</v>
      </c>
      <c r="P78" s="64">
        <v>86794.569999999978</v>
      </c>
      <c r="Q78" s="64">
        <v>86802.09</v>
      </c>
      <c r="R78" s="64">
        <v>86805.759999999995</v>
      </c>
      <c r="S78" s="64">
        <v>86826.15</v>
      </c>
      <c r="T78" s="64">
        <v>86841.32</v>
      </c>
      <c r="U78" s="64">
        <v>86841.32</v>
      </c>
      <c r="V78" s="64">
        <v>86841.32</v>
      </c>
      <c r="W78" s="64">
        <v>86841.32</v>
      </c>
      <c r="X78" s="64">
        <v>86841.32</v>
      </c>
      <c r="Y78" s="64">
        <v>86860.15</v>
      </c>
      <c r="Z78" s="64">
        <v>86881.27</v>
      </c>
      <c r="AA78" s="64">
        <v>86893.27</v>
      </c>
      <c r="AB78" s="64">
        <v>86905.27</v>
      </c>
      <c r="AC78" s="64">
        <v>86925.53</v>
      </c>
      <c r="AD78" s="64">
        <v>86940.74</v>
      </c>
      <c r="AE78" s="64">
        <v>86956.71</v>
      </c>
      <c r="AF78" s="224"/>
      <c r="AG78" s="51">
        <f t="shared" si="2"/>
        <v>86956.71</v>
      </c>
      <c r="AH78" s="44">
        <v>86585.64</v>
      </c>
    </row>
    <row r="79" spans="1:34" x14ac:dyDescent="0.35">
      <c r="A79" s="33" t="s">
        <v>85</v>
      </c>
      <c r="B79" s="223">
        <v>87283.429999999935</v>
      </c>
      <c r="C79" s="64">
        <v>87304.729999999938</v>
      </c>
      <c r="D79" s="64">
        <v>87326.039999999935</v>
      </c>
      <c r="E79" s="64">
        <v>87345.43999999993</v>
      </c>
      <c r="F79" s="64">
        <v>87364.929999999935</v>
      </c>
      <c r="G79" s="64">
        <v>87374.569999999934</v>
      </c>
      <c r="H79" s="64">
        <v>87395.389999999941</v>
      </c>
      <c r="I79" s="64">
        <v>87416.959999999948</v>
      </c>
      <c r="J79" s="64">
        <v>87437.899999999951</v>
      </c>
      <c r="K79" s="64">
        <v>87459.559999999954</v>
      </c>
      <c r="L79" s="64">
        <v>87464.589999999953</v>
      </c>
      <c r="M79" s="64">
        <v>87478.119999999952</v>
      </c>
      <c r="N79" s="64">
        <v>87493.779999999955</v>
      </c>
      <c r="O79" s="64">
        <v>87515.28999999995</v>
      </c>
      <c r="P79" s="64">
        <v>87536.209999999948</v>
      </c>
      <c r="Q79" s="64">
        <v>87554.8</v>
      </c>
      <c r="R79" s="64">
        <v>87574.97</v>
      </c>
      <c r="S79" s="64">
        <v>87597</v>
      </c>
      <c r="T79" s="64">
        <v>87617.73</v>
      </c>
      <c r="U79" s="64">
        <v>87637.3</v>
      </c>
      <c r="V79" s="64">
        <v>87656.87</v>
      </c>
      <c r="W79" s="64">
        <v>87676.78</v>
      </c>
      <c r="X79" s="64">
        <v>87698.44</v>
      </c>
      <c r="Y79" s="64">
        <v>87719.22</v>
      </c>
      <c r="Z79" s="64">
        <v>87732.7</v>
      </c>
      <c r="AA79" s="64">
        <v>87747.95</v>
      </c>
      <c r="AB79" s="64">
        <v>87763.199999999997</v>
      </c>
      <c r="AC79" s="64">
        <v>87784.82</v>
      </c>
      <c r="AD79" s="64">
        <v>87806.54</v>
      </c>
      <c r="AE79" s="64">
        <v>87817.34</v>
      </c>
      <c r="AF79" s="224"/>
      <c r="AG79" s="51">
        <f t="shared" si="2"/>
        <v>87817.34</v>
      </c>
      <c r="AH79" s="44">
        <v>87262.63</v>
      </c>
    </row>
    <row r="80" spans="1:34" x14ac:dyDescent="0.35">
      <c r="A80" s="33" t="s">
        <v>86</v>
      </c>
      <c r="B80" s="223">
        <v>85215.829999999914</v>
      </c>
      <c r="C80" s="64">
        <v>85215.829999999914</v>
      </c>
      <c r="D80" s="64">
        <v>85215.829999999914</v>
      </c>
      <c r="E80" s="64">
        <v>85215.829999999914</v>
      </c>
      <c r="F80" s="64">
        <v>85215.829999999914</v>
      </c>
      <c r="G80" s="64">
        <v>85215.829999999914</v>
      </c>
      <c r="H80" s="64">
        <v>85215.829999999914</v>
      </c>
      <c r="I80" s="64">
        <v>85215.829999999914</v>
      </c>
      <c r="J80" s="64">
        <v>85215.829999999914</v>
      </c>
      <c r="K80" s="64">
        <v>85215.829999999914</v>
      </c>
      <c r="L80" s="64">
        <v>85215.829999999914</v>
      </c>
      <c r="M80" s="64">
        <v>85215.829999999914</v>
      </c>
      <c r="N80" s="64">
        <v>85215.829999999914</v>
      </c>
      <c r="O80" s="64">
        <v>85215.829999999914</v>
      </c>
      <c r="P80" s="64">
        <v>85215.829999999914</v>
      </c>
      <c r="Q80" s="64">
        <v>85215.83</v>
      </c>
      <c r="R80" s="64">
        <v>85215.83</v>
      </c>
      <c r="S80" s="64">
        <v>85215.83</v>
      </c>
      <c r="T80" s="64">
        <v>85215.83</v>
      </c>
      <c r="U80" s="64">
        <v>85215.83</v>
      </c>
      <c r="V80" s="64">
        <v>85215.83</v>
      </c>
      <c r="W80" s="64">
        <v>85215.83</v>
      </c>
      <c r="X80" s="64">
        <v>85215.83</v>
      </c>
      <c r="Y80" s="64">
        <v>85215.83</v>
      </c>
      <c r="Z80" s="64">
        <v>85215.83</v>
      </c>
      <c r="AA80" s="64">
        <v>85215.83</v>
      </c>
      <c r="AB80" s="64">
        <v>85215.83</v>
      </c>
      <c r="AC80" s="64">
        <v>85215.83</v>
      </c>
      <c r="AD80" s="64">
        <v>85215.83</v>
      </c>
      <c r="AE80" s="64">
        <v>85215.83</v>
      </c>
      <c r="AF80" s="224"/>
      <c r="AG80" s="51">
        <f t="shared" si="2"/>
        <v>85215.83</v>
      </c>
      <c r="AH80" s="44">
        <v>85211.09</v>
      </c>
    </row>
    <row r="81" spans="1:34" x14ac:dyDescent="0.35">
      <c r="A81" s="33" t="s">
        <v>87</v>
      </c>
      <c r="B81" s="223">
        <v>84993.530000000188</v>
      </c>
      <c r="C81" s="64">
        <v>85011.510000000184</v>
      </c>
      <c r="D81" s="64">
        <v>85033.120000000185</v>
      </c>
      <c r="E81" s="64">
        <v>85054.180000000182</v>
      </c>
      <c r="F81" s="64">
        <v>85075.780000000188</v>
      </c>
      <c r="G81" s="64">
        <v>85097.550000000192</v>
      </c>
      <c r="H81" s="64">
        <v>85111.690000000192</v>
      </c>
      <c r="I81" s="64">
        <v>85117.680000000197</v>
      </c>
      <c r="J81" s="64">
        <v>85134.620000000199</v>
      </c>
      <c r="K81" s="64">
        <v>85150.570000000196</v>
      </c>
      <c r="L81" s="64">
        <v>85171.22000000019</v>
      </c>
      <c r="M81" s="64">
        <v>85189.990000000194</v>
      </c>
      <c r="N81" s="64">
        <v>85211.36000000019</v>
      </c>
      <c r="O81" s="64">
        <v>85232.840000000186</v>
      </c>
      <c r="P81" s="64">
        <v>85251.390000000189</v>
      </c>
      <c r="Q81" s="64">
        <v>85272.62</v>
      </c>
      <c r="R81" s="64">
        <v>85294.68</v>
      </c>
      <c r="S81" s="64">
        <v>85314.32</v>
      </c>
      <c r="T81" s="64">
        <v>85328.5</v>
      </c>
      <c r="U81" s="64">
        <v>85349.8</v>
      </c>
      <c r="V81" s="64">
        <v>85371.1</v>
      </c>
      <c r="W81" s="64">
        <v>85391.97</v>
      </c>
      <c r="X81" s="64">
        <v>85413.45</v>
      </c>
      <c r="Y81" s="64">
        <v>85424.26</v>
      </c>
      <c r="Z81" s="64">
        <v>85442.83</v>
      </c>
      <c r="AA81" s="64">
        <v>85464.44</v>
      </c>
      <c r="AB81" s="64">
        <v>85486.05</v>
      </c>
      <c r="AC81" s="64">
        <v>85507.46</v>
      </c>
      <c r="AD81" s="64">
        <v>85522.89</v>
      </c>
      <c r="AE81" s="64">
        <v>85536.31</v>
      </c>
      <c r="AF81" s="224"/>
      <c r="AG81" s="51">
        <f t="shared" si="2"/>
        <v>85536.31</v>
      </c>
      <c r="AH81" s="44">
        <v>84978.880000000005</v>
      </c>
    </row>
    <row r="82" spans="1:34" x14ac:dyDescent="0.35">
      <c r="A82" s="33" t="s">
        <v>88</v>
      </c>
      <c r="B82" s="223">
        <v>85507.989999999903</v>
      </c>
      <c r="C82" s="64">
        <v>85529.469999999899</v>
      </c>
      <c r="D82" s="64">
        <v>85550.8299999999</v>
      </c>
      <c r="E82" s="64">
        <v>85572.479999999894</v>
      </c>
      <c r="F82" s="64">
        <v>85593.9399999999</v>
      </c>
      <c r="G82" s="64">
        <v>85615.409999999902</v>
      </c>
      <c r="H82" s="64">
        <v>85636.659999999902</v>
      </c>
      <c r="I82" s="64">
        <v>85658.1899999999</v>
      </c>
      <c r="J82" s="64">
        <v>85668.969999999899</v>
      </c>
      <c r="K82" s="64">
        <v>85689.4399999999</v>
      </c>
      <c r="L82" s="64">
        <v>85712.029999999897</v>
      </c>
      <c r="M82" s="64">
        <v>85728.069999999891</v>
      </c>
      <c r="N82" s="64">
        <v>85749.469999999885</v>
      </c>
      <c r="O82" s="64">
        <v>85765.099999999889</v>
      </c>
      <c r="P82" s="64">
        <v>85776.019999999888</v>
      </c>
      <c r="Q82" s="64">
        <v>85796.46</v>
      </c>
      <c r="R82" s="64">
        <v>85817.95</v>
      </c>
      <c r="S82" s="64">
        <v>85836.800000000003</v>
      </c>
      <c r="T82" s="64">
        <v>85850.75</v>
      </c>
      <c r="U82" s="64">
        <v>85870.09</v>
      </c>
      <c r="V82" s="64">
        <v>85889.43</v>
      </c>
      <c r="W82" s="64">
        <v>85910.720000000001</v>
      </c>
      <c r="X82" s="64">
        <v>85931.94</v>
      </c>
      <c r="Y82" s="64">
        <v>85953.17</v>
      </c>
      <c r="Z82" s="64">
        <v>85968.11</v>
      </c>
      <c r="AA82" s="64">
        <v>85989.68</v>
      </c>
      <c r="AB82" s="64">
        <v>86011.25</v>
      </c>
      <c r="AC82" s="64">
        <v>86031.4</v>
      </c>
      <c r="AD82" s="64">
        <v>86052.7</v>
      </c>
      <c r="AE82" s="64">
        <v>86055.679999999993</v>
      </c>
      <c r="AF82" s="224"/>
      <c r="AG82" s="51">
        <f t="shared" si="2"/>
        <v>86055.679999999993</v>
      </c>
      <c r="AH82" s="44">
        <v>85500.38</v>
      </c>
    </row>
    <row r="83" spans="1:34" x14ac:dyDescent="0.35">
      <c r="A83" s="33" t="s">
        <v>89</v>
      </c>
      <c r="B83" s="223">
        <v>85461.029999999679</v>
      </c>
      <c r="C83" s="64">
        <v>85478.559999999678</v>
      </c>
      <c r="D83" s="64">
        <v>85489.089999999676</v>
      </c>
      <c r="E83" s="64">
        <v>85504.849999999671</v>
      </c>
      <c r="F83" s="64">
        <v>85521.729999999676</v>
      </c>
      <c r="G83" s="64">
        <v>85535.189999999682</v>
      </c>
      <c r="H83" s="64">
        <v>85548.739999999685</v>
      </c>
      <c r="I83" s="64">
        <v>85559.409999999683</v>
      </c>
      <c r="J83" s="64">
        <v>85559.409999999683</v>
      </c>
      <c r="K83" s="64">
        <v>85559.409999999683</v>
      </c>
      <c r="L83" s="64">
        <v>85575.099999999686</v>
      </c>
      <c r="M83" s="64">
        <v>85575.099999999686</v>
      </c>
      <c r="N83" s="64">
        <v>85595.47999999969</v>
      </c>
      <c r="O83" s="64">
        <v>85617.609999999695</v>
      </c>
      <c r="P83" s="64">
        <v>85636.829999999696</v>
      </c>
      <c r="Q83" s="64">
        <v>85636.83</v>
      </c>
      <c r="R83" s="64">
        <v>85636.83</v>
      </c>
      <c r="S83" s="64">
        <v>85649.24</v>
      </c>
      <c r="T83" s="64">
        <v>85670.21</v>
      </c>
      <c r="U83" s="64">
        <v>85689.75</v>
      </c>
      <c r="V83" s="64">
        <v>85709.29</v>
      </c>
      <c r="W83" s="64">
        <v>85726.02</v>
      </c>
      <c r="X83" s="64">
        <v>85741.06</v>
      </c>
      <c r="Y83" s="64">
        <v>85755.29</v>
      </c>
      <c r="Z83" s="64">
        <v>85767.66</v>
      </c>
      <c r="AA83" s="64">
        <v>85789.37</v>
      </c>
      <c r="AB83" s="64">
        <v>85811.08</v>
      </c>
      <c r="AC83" s="64">
        <v>85815.91</v>
      </c>
      <c r="AD83" s="64">
        <v>85833.12</v>
      </c>
      <c r="AE83" s="64">
        <v>85841.59</v>
      </c>
      <c r="AF83" s="224"/>
      <c r="AG83" s="51">
        <f t="shared" si="2"/>
        <v>85841.59</v>
      </c>
      <c r="AH83" s="44">
        <v>85448.26</v>
      </c>
    </row>
    <row r="84" spans="1:34" x14ac:dyDescent="0.35">
      <c r="A84" s="33" t="s">
        <v>90</v>
      </c>
      <c r="B84" s="223">
        <v>86208.810000000027</v>
      </c>
      <c r="C84" s="64">
        <v>86217.820000000022</v>
      </c>
      <c r="D84" s="64">
        <v>86238.160000000018</v>
      </c>
      <c r="E84" s="64">
        <v>86257.700000000012</v>
      </c>
      <c r="F84" s="64">
        <v>86277.410000000018</v>
      </c>
      <c r="G84" s="64">
        <v>86294.530000000013</v>
      </c>
      <c r="H84" s="64">
        <v>86314.310000000012</v>
      </c>
      <c r="I84" s="64">
        <v>86334.280000000013</v>
      </c>
      <c r="J84" s="64">
        <v>86346.21</v>
      </c>
      <c r="K84" s="64">
        <v>86356.89</v>
      </c>
      <c r="L84" s="64">
        <v>86363.53</v>
      </c>
      <c r="M84" s="64">
        <v>86377.38</v>
      </c>
      <c r="N84" s="64">
        <v>86398.700000000012</v>
      </c>
      <c r="O84" s="64">
        <v>86418.62000000001</v>
      </c>
      <c r="P84" s="64">
        <v>86436.330000000016</v>
      </c>
      <c r="Q84" s="64">
        <v>86454.13</v>
      </c>
      <c r="R84" s="64">
        <v>86469.31</v>
      </c>
      <c r="S84" s="64">
        <v>86485.99</v>
      </c>
      <c r="T84" s="64">
        <v>86499.44</v>
      </c>
      <c r="U84" s="64">
        <v>86520.65</v>
      </c>
      <c r="V84" s="64">
        <v>86541.86</v>
      </c>
      <c r="W84" s="64">
        <v>86562.76</v>
      </c>
      <c r="X84" s="64">
        <v>86579.33</v>
      </c>
      <c r="Y84" s="64">
        <v>86600.75</v>
      </c>
      <c r="Z84" s="64">
        <v>86622.37</v>
      </c>
      <c r="AA84" s="64">
        <v>86644.4</v>
      </c>
      <c r="AB84" s="64">
        <v>86666.43</v>
      </c>
      <c r="AC84" s="64">
        <v>86687.88</v>
      </c>
      <c r="AD84" s="64">
        <v>86706.15</v>
      </c>
      <c r="AE84" s="64">
        <v>86707.98</v>
      </c>
      <c r="AF84" s="224"/>
      <c r="AG84" s="51">
        <f t="shared" si="2"/>
        <v>86707.98</v>
      </c>
      <c r="AH84" s="44">
        <v>86187.67</v>
      </c>
    </row>
    <row r="85" spans="1:34" x14ac:dyDescent="0.35">
      <c r="A85" s="33" t="s">
        <v>91</v>
      </c>
      <c r="B85" s="223">
        <v>86503.08999999972</v>
      </c>
      <c r="C85" s="64">
        <v>86524.33999999972</v>
      </c>
      <c r="D85" s="64">
        <v>86544.869999999719</v>
      </c>
      <c r="E85" s="64">
        <v>86566.349999999715</v>
      </c>
      <c r="F85" s="64">
        <v>86587.669999999722</v>
      </c>
      <c r="G85" s="64">
        <v>86608.969999999725</v>
      </c>
      <c r="H85" s="64">
        <v>86629.789999999732</v>
      </c>
      <c r="I85" s="64">
        <v>86636.929999999731</v>
      </c>
      <c r="J85" s="64">
        <v>86643.889999999737</v>
      </c>
      <c r="K85" s="64">
        <v>86665.269999999742</v>
      </c>
      <c r="L85" s="64">
        <v>86687.069999999745</v>
      </c>
      <c r="M85" s="64">
        <v>86708.589999999749</v>
      </c>
      <c r="N85" s="64">
        <v>86730.109999999753</v>
      </c>
      <c r="O85" s="64">
        <v>86747.189999999755</v>
      </c>
      <c r="P85" s="64">
        <v>86762.759999999762</v>
      </c>
      <c r="Q85" s="64">
        <v>86778.63</v>
      </c>
      <c r="R85" s="64">
        <v>86799.31</v>
      </c>
      <c r="S85" s="64">
        <v>86820.09</v>
      </c>
      <c r="T85" s="64">
        <v>86839.89</v>
      </c>
      <c r="U85" s="64">
        <v>86857.16</v>
      </c>
      <c r="V85" s="64">
        <v>86874.43</v>
      </c>
      <c r="W85" s="64">
        <v>86894.5</v>
      </c>
      <c r="X85" s="64">
        <v>86904.78</v>
      </c>
      <c r="Y85" s="64">
        <v>86919.65</v>
      </c>
      <c r="Z85" s="64">
        <v>86919.65</v>
      </c>
      <c r="AA85" s="64">
        <v>86919.65</v>
      </c>
      <c r="AB85" s="64">
        <v>86919.65</v>
      </c>
      <c r="AC85" s="64">
        <v>86932.77</v>
      </c>
      <c r="AD85" s="64">
        <v>86954.240000000005</v>
      </c>
      <c r="AE85" s="64">
        <v>86971.03</v>
      </c>
      <c r="AF85" s="224"/>
      <c r="AG85" s="51">
        <f t="shared" si="2"/>
        <v>86971.03</v>
      </c>
      <c r="AH85" s="44">
        <v>86485.78</v>
      </c>
    </row>
    <row r="86" spans="1:34" x14ac:dyDescent="0.35">
      <c r="A86" s="33" t="s">
        <v>92</v>
      </c>
      <c r="B86" s="223">
        <v>86804.580000000104</v>
      </c>
      <c r="C86" s="64">
        <v>86821.250000000102</v>
      </c>
      <c r="D86" s="64">
        <v>86836.580000000104</v>
      </c>
      <c r="E86" s="64">
        <v>86857.840000000098</v>
      </c>
      <c r="F86" s="64">
        <v>86878.370000000097</v>
      </c>
      <c r="G86" s="64">
        <v>86899.750000000102</v>
      </c>
      <c r="H86" s="64">
        <v>86917.490000000107</v>
      </c>
      <c r="I86" s="64">
        <v>86935.400000000111</v>
      </c>
      <c r="J86" s="64">
        <v>86935.400000000111</v>
      </c>
      <c r="K86" s="64">
        <v>86945.880000000107</v>
      </c>
      <c r="L86" s="64">
        <v>86963.380000000107</v>
      </c>
      <c r="M86" s="64">
        <v>86984.970000000103</v>
      </c>
      <c r="N86" s="64">
        <v>87004.550000000105</v>
      </c>
      <c r="O86" s="64">
        <v>87026.100000000108</v>
      </c>
      <c r="P86" s="64">
        <v>87039.54000000011</v>
      </c>
      <c r="Q86" s="64">
        <v>87060.46</v>
      </c>
      <c r="R86" s="64">
        <v>87081.69</v>
      </c>
      <c r="S86" s="64">
        <v>87090.27</v>
      </c>
      <c r="T86" s="64">
        <v>87090.27</v>
      </c>
      <c r="U86" s="64">
        <v>87090.27</v>
      </c>
      <c r="V86" s="64">
        <v>87090.27</v>
      </c>
      <c r="W86" s="64">
        <v>87090.27</v>
      </c>
      <c r="X86" s="64">
        <v>87099.04</v>
      </c>
      <c r="Y86" s="64">
        <v>87118.31</v>
      </c>
      <c r="Z86" s="64">
        <v>87140.1</v>
      </c>
      <c r="AA86" s="64">
        <v>87155.86</v>
      </c>
      <c r="AB86" s="64">
        <v>87171.62</v>
      </c>
      <c r="AC86" s="64">
        <v>87187.68</v>
      </c>
      <c r="AD86" s="64">
        <v>87209.46</v>
      </c>
      <c r="AE86" s="64">
        <v>87230.88</v>
      </c>
      <c r="AF86" s="224"/>
      <c r="AG86" s="51">
        <f t="shared" si="2"/>
        <v>87230.88</v>
      </c>
      <c r="AH86" s="44">
        <v>86788.34</v>
      </c>
    </row>
    <row r="87" spans="1:34" x14ac:dyDescent="0.35">
      <c r="A87" s="33" t="s">
        <v>93</v>
      </c>
      <c r="B87" s="223">
        <v>80333.649999999907</v>
      </c>
      <c r="C87" s="64">
        <v>80353.919999999911</v>
      </c>
      <c r="D87" s="64">
        <v>80369.569999999905</v>
      </c>
      <c r="E87" s="64">
        <v>80390.009999999907</v>
      </c>
      <c r="F87" s="64">
        <v>80411.429999999906</v>
      </c>
      <c r="G87" s="64">
        <v>80426.289999999906</v>
      </c>
      <c r="H87" s="64">
        <v>80447.3299999999</v>
      </c>
      <c r="I87" s="64">
        <v>80468.5799999999</v>
      </c>
      <c r="J87" s="64">
        <v>80489.919999999896</v>
      </c>
      <c r="K87" s="64">
        <v>80511.45999999989</v>
      </c>
      <c r="L87" s="64">
        <v>80521.359999999884</v>
      </c>
      <c r="M87" s="64">
        <v>80535.739999999889</v>
      </c>
      <c r="N87" s="64">
        <v>80557.359999999884</v>
      </c>
      <c r="O87" s="64">
        <v>80578.369999999879</v>
      </c>
      <c r="P87" s="64">
        <v>80599.889999999883</v>
      </c>
      <c r="Q87" s="64">
        <v>80618.490000000005</v>
      </c>
      <c r="R87" s="64">
        <v>80639.95</v>
      </c>
      <c r="S87" s="64">
        <v>80661.13</v>
      </c>
      <c r="T87" s="64">
        <v>80669.42</v>
      </c>
      <c r="U87" s="64">
        <v>80690.36</v>
      </c>
      <c r="V87" s="64">
        <v>80711.3</v>
      </c>
      <c r="W87" s="64">
        <v>80725.64</v>
      </c>
      <c r="X87" s="64">
        <v>80727.520000000004</v>
      </c>
      <c r="Y87" s="64">
        <v>80746.600000000006</v>
      </c>
      <c r="Z87" s="64">
        <v>80761.97</v>
      </c>
      <c r="AA87" s="64">
        <v>80783.48</v>
      </c>
      <c r="AB87" s="64">
        <v>80804.990000000005</v>
      </c>
      <c r="AC87" s="64">
        <v>80826.490000000005</v>
      </c>
      <c r="AD87" s="64">
        <v>80844.02</v>
      </c>
      <c r="AE87" s="64">
        <v>80854.820000000007</v>
      </c>
      <c r="AF87" s="224"/>
      <c r="AG87" s="51">
        <f t="shared" si="2"/>
        <v>80854.820000000007</v>
      </c>
      <c r="AH87" s="44">
        <v>80319.149999999994</v>
      </c>
    </row>
    <row r="88" spans="1:34" x14ac:dyDescent="0.35">
      <c r="A88" s="33" t="s">
        <v>94</v>
      </c>
      <c r="B88" s="223">
        <v>88334.379999999801</v>
      </c>
      <c r="C88" s="64">
        <v>88353.809999999794</v>
      </c>
      <c r="D88" s="64">
        <v>88375.489999999787</v>
      </c>
      <c r="E88" s="64">
        <v>88379.879999999786</v>
      </c>
      <c r="F88" s="64">
        <v>88379.879999999786</v>
      </c>
      <c r="G88" s="64">
        <v>88394.619999999792</v>
      </c>
      <c r="H88" s="64">
        <v>88405.549999999785</v>
      </c>
      <c r="I88" s="64">
        <v>88427.03999999979</v>
      </c>
      <c r="J88" s="64">
        <v>88433.599999999788</v>
      </c>
      <c r="K88" s="64">
        <v>88454.369999999792</v>
      </c>
      <c r="L88" s="64">
        <v>88472.449999999793</v>
      </c>
      <c r="M88" s="64">
        <v>88490.9099999998</v>
      </c>
      <c r="N88" s="64">
        <v>88495.029999999795</v>
      </c>
      <c r="O88" s="64">
        <v>88495.029999999795</v>
      </c>
      <c r="P88" s="64">
        <v>88509.369999999792</v>
      </c>
      <c r="Q88" s="64">
        <v>88531.4</v>
      </c>
      <c r="R88" s="64">
        <v>88552.76</v>
      </c>
      <c r="S88" s="64">
        <v>88574.44</v>
      </c>
      <c r="T88" s="64">
        <v>88596.02</v>
      </c>
      <c r="U88" s="64">
        <v>88612.38</v>
      </c>
      <c r="V88" s="64">
        <v>88628.74</v>
      </c>
      <c r="W88" s="64">
        <v>88633.79</v>
      </c>
      <c r="X88" s="64">
        <v>88655.21</v>
      </c>
      <c r="Y88" s="64">
        <v>88676.81</v>
      </c>
      <c r="Z88" s="64">
        <v>88698.48</v>
      </c>
      <c r="AA88" s="64">
        <v>88714.57</v>
      </c>
      <c r="AB88" s="64">
        <v>88730.66</v>
      </c>
      <c r="AC88" s="64">
        <v>88730.66</v>
      </c>
      <c r="AD88" s="64">
        <v>88735.74</v>
      </c>
      <c r="AE88" s="64">
        <v>88756.84</v>
      </c>
      <c r="AF88" s="224"/>
      <c r="AG88" s="51">
        <f t="shared" si="2"/>
        <v>88756.84</v>
      </c>
      <c r="AH88" s="44">
        <v>88316.01</v>
      </c>
    </row>
    <row r="89" spans="1:34" x14ac:dyDescent="0.35">
      <c r="A89" s="33" t="s">
        <v>95</v>
      </c>
      <c r="B89" s="223">
        <v>84311.799999999741</v>
      </c>
      <c r="C89" s="64">
        <v>84312.569999999745</v>
      </c>
      <c r="D89" s="64">
        <v>84312.569999999745</v>
      </c>
      <c r="E89" s="64">
        <v>84312.569999999745</v>
      </c>
      <c r="F89" s="64">
        <v>84312.569999999745</v>
      </c>
      <c r="G89" s="64">
        <v>84312.569999999745</v>
      </c>
      <c r="H89" s="64">
        <v>84312.569999999745</v>
      </c>
      <c r="I89" s="64">
        <v>84312.569999999745</v>
      </c>
      <c r="J89" s="64">
        <v>84312.569999999745</v>
      </c>
      <c r="K89" s="64">
        <v>84312.569999999745</v>
      </c>
      <c r="L89" s="64">
        <v>84320.969999999739</v>
      </c>
      <c r="M89" s="64">
        <v>84340.039999999746</v>
      </c>
      <c r="N89" s="64">
        <v>84360.719999999739</v>
      </c>
      <c r="O89" s="64">
        <v>84372.429999999746</v>
      </c>
      <c r="P89" s="64">
        <v>84389.159999999742</v>
      </c>
      <c r="Q89" s="64">
        <v>84405.47</v>
      </c>
      <c r="R89" s="64">
        <v>84421.14</v>
      </c>
      <c r="S89" s="64">
        <v>84431.26</v>
      </c>
      <c r="T89" s="64">
        <v>84448.87</v>
      </c>
      <c r="U89" s="64">
        <v>84469.57</v>
      </c>
      <c r="V89" s="64">
        <v>84490.27</v>
      </c>
      <c r="W89" s="64">
        <v>84511.14</v>
      </c>
      <c r="X89" s="64">
        <v>84531.75</v>
      </c>
      <c r="Y89" s="64">
        <v>84542.68</v>
      </c>
      <c r="Z89" s="64">
        <v>84558.67</v>
      </c>
      <c r="AA89" s="64">
        <v>84574.85</v>
      </c>
      <c r="AB89" s="64">
        <v>84591.03</v>
      </c>
      <c r="AC89" s="64">
        <v>84600.960000000006</v>
      </c>
      <c r="AD89" s="64">
        <v>84620.21</v>
      </c>
      <c r="AE89" s="64">
        <v>84641.45</v>
      </c>
      <c r="AF89" s="224"/>
      <c r="AG89" s="51">
        <f t="shared" si="2"/>
        <v>84641.45</v>
      </c>
      <c r="AH89" s="44">
        <v>84299.91</v>
      </c>
    </row>
    <row r="90" spans="1:34" x14ac:dyDescent="0.35">
      <c r="A90" s="33" t="s">
        <v>96</v>
      </c>
      <c r="B90" s="223">
        <v>85681.669999999867</v>
      </c>
      <c r="C90" s="64">
        <v>85702.46999999987</v>
      </c>
      <c r="D90" s="64">
        <v>85722.869999999864</v>
      </c>
      <c r="E90" s="64">
        <v>85744.059999999867</v>
      </c>
      <c r="F90" s="64">
        <v>85765.639999999868</v>
      </c>
      <c r="G90" s="64">
        <v>85786.71999999987</v>
      </c>
      <c r="H90" s="64">
        <v>85808.389999999868</v>
      </c>
      <c r="I90" s="64">
        <v>85830.329999999871</v>
      </c>
      <c r="J90" s="64">
        <v>85851.849999999875</v>
      </c>
      <c r="K90" s="64">
        <v>85864.739999999874</v>
      </c>
      <c r="L90" s="64">
        <v>85880.249999999869</v>
      </c>
      <c r="M90" s="64">
        <v>85902.339999999866</v>
      </c>
      <c r="N90" s="64">
        <v>85920.269999999859</v>
      </c>
      <c r="O90" s="64">
        <v>85941.879999999859</v>
      </c>
      <c r="P90" s="64">
        <v>85962.629999999859</v>
      </c>
      <c r="Q90" s="64">
        <v>85984.53</v>
      </c>
      <c r="R90" s="64">
        <v>86005.87</v>
      </c>
      <c r="S90" s="64">
        <v>86025.49</v>
      </c>
      <c r="T90" s="64">
        <v>86046.15</v>
      </c>
      <c r="U90" s="64">
        <v>86067.16</v>
      </c>
      <c r="V90" s="64">
        <v>86088.17</v>
      </c>
      <c r="W90" s="64">
        <v>86109.35</v>
      </c>
      <c r="X90" s="64">
        <v>86131.25</v>
      </c>
      <c r="Y90" s="64">
        <v>86145.04</v>
      </c>
      <c r="Z90" s="64">
        <v>86163.89</v>
      </c>
      <c r="AA90" s="64">
        <v>86182.44</v>
      </c>
      <c r="AB90" s="64">
        <v>86200.99</v>
      </c>
      <c r="AC90" s="64">
        <v>86222.52</v>
      </c>
      <c r="AD90" s="64">
        <v>86243.6</v>
      </c>
      <c r="AE90" s="64">
        <v>86265.03</v>
      </c>
      <c r="AF90" s="224"/>
      <c r="AG90" s="51">
        <f t="shared" si="2"/>
        <v>86265.03</v>
      </c>
      <c r="AH90" s="44">
        <v>85660.23</v>
      </c>
    </row>
    <row r="91" spans="1:34" x14ac:dyDescent="0.35">
      <c r="A91" s="33" t="s">
        <v>97</v>
      </c>
      <c r="B91" s="223">
        <v>86567.630000000048</v>
      </c>
      <c r="C91" s="64">
        <v>86588.970000000045</v>
      </c>
      <c r="D91" s="64">
        <v>86610.330000000045</v>
      </c>
      <c r="E91" s="64">
        <v>86631.930000000051</v>
      </c>
      <c r="F91" s="64">
        <v>86653.320000000051</v>
      </c>
      <c r="G91" s="64">
        <v>86675.020000000048</v>
      </c>
      <c r="H91" s="64">
        <v>86695.200000000041</v>
      </c>
      <c r="I91" s="64">
        <v>86716.500000000044</v>
      </c>
      <c r="J91" s="64">
        <v>86732.650000000038</v>
      </c>
      <c r="K91" s="64">
        <v>86745.620000000039</v>
      </c>
      <c r="L91" s="64">
        <v>86767.420000000042</v>
      </c>
      <c r="M91" s="64">
        <v>86788.640000000043</v>
      </c>
      <c r="N91" s="64">
        <v>86805.150000000038</v>
      </c>
      <c r="O91" s="64">
        <v>86811.990000000034</v>
      </c>
      <c r="P91" s="64">
        <v>86822.500000000029</v>
      </c>
      <c r="Q91" s="64">
        <v>86841.17</v>
      </c>
      <c r="R91" s="64">
        <v>86859.199999999997</v>
      </c>
      <c r="S91" s="64">
        <v>86880.4</v>
      </c>
      <c r="T91" s="64">
        <v>86901.58</v>
      </c>
      <c r="U91" s="64">
        <v>86922.93</v>
      </c>
      <c r="V91" s="64">
        <v>86944.28</v>
      </c>
      <c r="W91" s="64">
        <v>86963.78</v>
      </c>
      <c r="X91" s="64">
        <v>86985.1</v>
      </c>
      <c r="Y91" s="64">
        <v>87007.039999999994</v>
      </c>
      <c r="Z91" s="64">
        <v>87022.15</v>
      </c>
      <c r="AA91" s="64">
        <v>87043.8</v>
      </c>
      <c r="AB91" s="64">
        <v>87065.45</v>
      </c>
      <c r="AC91" s="64">
        <v>87079.93</v>
      </c>
      <c r="AD91" s="64">
        <v>87101.5</v>
      </c>
      <c r="AE91" s="64">
        <v>87113.83</v>
      </c>
      <c r="AF91" s="224"/>
      <c r="AG91" s="51">
        <f t="shared" si="2"/>
        <v>87113.83</v>
      </c>
      <c r="AH91" s="44">
        <v>86557.36</v>
      </c>
    </row>
    <row r="92" spans="1:34" x14ac:dyDescent="0.35">
      <c r="A92" s="33" t="s">
        <v>98</v>
      </c>
      <c r="B92" s="223">
        <v>85752.890000000029</v>
      </c>
      <c r="C92" s="64">
        <v>85774.650000000023</v>
      </c>
      <c r="D92" s="64">
        <v>85783.22000000003</v>
      </c>
      <c r="E92" s="64">
        <v>85804.630000000034</v>
      </c>
      <c r="F92" s="64">
        <v>85810.410000000033</v>
      </c>
      <c r="G92" s="64">
        <v>85826.680000000037</v>
      </c>
      <c r="H92" s="64">
        <v>85843.140000000043</v>
      </c>
      <c r="I92" s="64">
        <v>85863.660000000047</v>
      </c>
      <c r="J92" s="64">
        <v>85879.980000000054</v>
      </c>
      <c r="K92" s="64">
        <v>85900.800000000061</v>
      </c>
      <c r="L92" s="64">
        <v>85922.270000000062</v>
      </c>
      <c r="M92" s="64">
        <v>85943.480000000069</v>
      </c>
      <c r="N92" s="64">
        <v>85965.260000000068</v>
      </c>
      <c r="O92" s="64">
        <v>85981.95000000007</v>
      </c>
      <c r="P92" s="64">
        <v>85986.910000000076</v>
      </c>
      <c r="Q92" s="64">
        <v>86007.57</v>
      </c>
      <c r="R92" s="64">
        <v>86028.57</v>
      </c>
      <c r="S92" s="64">
        <v>86037.68</v>
      </c>
      <c r="T92" s="64">
        <v>86046</v>
      </c>
      <c r="U92" s="64">
        <v>86064.75</v>
      </c>
      <c r="V92" s="64">
        <v>86083.5</v>
      </c>
      <c r="W92" s="64">
        <v>86104.63</v>
      </c>
      <c r="X92" s="64">
        <v>86118.05</v>
      </c>
      <c r="Y92" s="64">
        <v>86127.28</v>
      </c>
      <c r="Z92" s="64">
        <v>86127.28</v>
      </c>
      <c r="AA92" s="64">
        <v>86127.28</v>
      </c>
      <c r="AB92" s="64">
        <v>86127.28</v>
      </c>
      <c r="AC92" s="64">
        <v>86127.28</v>
      </c>
      <c r="AD92" s="64">
        <v>86127.28</v>
      </c>
      <c r="AE92" s="64">
        <v>86133.94</v>
      </c>
      <c r="AF92" s="224"/>
      <c r="AG92" s="51">
        <f t="shared" si="2"/>
        <v>86133.94</v>
      </c>
      <c r="AH92" s="44">
        <v>85731.94</v>
      </c>
    </row>
    <row r="93" spans="1:34" x14ac:dyDescent="0.35">
      <c r="A93" s="33" t="s">
        <v>99</v>
      </c>
      <c r="B93" s="223">
        <v>82600.290000000168</v>
      </c>
      <c r="C93" s="64">
        <v>82616.180000000168</v>
      </c>
      <c r="D93" s="64">
        <v>82637.600000000166</v>
      </c>
      <c r="E93" s="64">
        <v>82659.010000000169</v>
      </c>
      <c r="F93" s="64">
        <v>82673.770000000164</v>
      </c>
      <c r="G93" s="64">
        <v>82689.960000000166</v>
      </c>
      <c r="H93" s="64">
        <v>82689.960000000166</v>
      </c>
      <c r="I93" s="64">
        <v>82689.960000000166</v>
      </c>
      <c r="J93" s="64">
        <v>82702.50000000016</v>
      </c>
      <c r="K93" s="64">
        <v>82702.50000000016</v>
      </c>
      <c r="L93" s="64">
        <v>82702.50000000016</v>
      </c>
      <c r="M93" s="64">
        <v>82702.50000000016</v>
      </c>
      <c r="N93" s="64">
        <v>82702.50000000016</v>
      </c>
      <c r="O93" s="64">
        <v>82702.50000000016</v>
      </c>
      <c r="P93" s="64">
        <v>82702.50000000016</v>
      </c>
      <c r="Q93" s="64">
        <v>82702.5</v>
      </c>
      <c r="R93" s="64">
        <v>82702.5</v>
      </c>
      <c r="S93" s="64">
        <v>82702.5</v>
      </c>
      <c r="T93" s="64">
        <v>82712.149999999994</v>
      </c>
      <c r="U93" s="64">
        <v>82718.710000000006</v>
      </c>
      <c r="V93" s="64">
        <v>82725.27</v>
      </c>
      <c r="W93" s="64">
        <v>82732.509999999995</v>
      </c>
      <c r="X93" s="64">
        <v>82732.509999999995</v>
      </c>
      <c r="Y93" s="64">
        <v>82732.509999999995</v>
      </c>
      <c r="Z93" s="64">
        <v>82742.81</v>
      </c>
      <c r="AA93" s="64">
        <v>82763.89</v>
      </c>
      <c r="AB93" s="64">
        <v>82784.97</v>
      </c>
      <c r="AC93" s="64">
        <v>82805.259999999995</v>
      </c>
      <c r="AD93" s="64">
        <v>82826.070000000007</v>
      </c>
      <c r="AE93" s="64">
        <v>82845.37</v>
      </c>
      <c r="AF93" s="224"/>
      <c r="AG93" s="51">
        <f t="shared" si="2"/>
        <v>82845.37</v>
      </c>
      <c r="AH93" s="44">
        <v>82590.81</v>
      </c>
    </row>
    <row r="94" spans="1:34" x14ac:dyDescent="0.35">
      <c r="A94" s="293" t="s">
        <v>100</v>
      </c>
      <c r="B94" s="223">
        <v>81277.610000000015</v>
      </c>
      <c r="C94" s="64">
        <v>81277.610000000015</v>
      </c>
      <c r="D94" s="64">
        <v>81277.610000000015</v>
      </c>
      <c r="E94" s="64">
        <v>81277.610000000015</v>
      </c>
      <c r="F94" s="64">
        <v>81277.610000000015</v>
      </c>
      <c r="G94" s="64">
        <v>81277.610000000015</v>
      </c>
      <c r="H94" s="64">
        <v>81277.610000000015</v>
      </c>
      <c r="I94" s="64">
        <v>81277.610000000015</v>
      </c>
      <c r="J94" s="64">
        <v>81277.610000000015</v>
      </c>
      <c r="K94" s="64">
        <v>81277.610000000015</v>
      </c>
      <c r="L94" s="64">
        <v>81277.610000000015</v>
      </c>
      <c r="M94" s="64">
        <v>81277.610000000015</v>
      </c>
      <c r="N94" s="64">
        <v>81277.610000000015</v>
      </c>
      <c r="O94" s="64">
        <v>81277.610000000015</v>
      </c>
      <c r="P94" s="64">
        <v>81277.610000000015</v>
      </c>
      <c r="Q94" s="64">
        <v>81277.61</v>
      </c>
      <c r="R94" s="64">
        <v>81277.61</v>
      </c>
      <c r="S94" s="64">
        <v>81277.61</v>
      </c>
      <c r="T94" s="64">
        <v>81277.61</v>
      </c>
      <c r="U94" s="64">
        <v>81277.61</v>
      </c>
      <c r="V94" s="64">
        <v>81277.61</v>
      </c>
      <c r="W94" s="64">
        <v>81277.61</v>
      </c>
      <c r="X94" s="64">
        <v>81277.61</v>
      </c>
      <c r="Y94" s="64">
        <v>81277.61</v>
      </c>
      <c r="Z94" s="64">
        <v>81277.61</v>
      </c>
      <c r="AA94" s="64">
        <v>81277.61</v>
      </c>
      <c r="AB94" s="64">
        <v>81277.61</v>
      </c>
      <c r="AC94" s="64">
        <v>81277.61</v>
      </c>
      <c r="AD94" s="64">
        <v>81277.61</v>
      </c>
      <c r="AE94" s="64">
        <v>81277.61</v>
      </c>
      <c r="AF94" s="224"/>
      <c r="AG94" s="51">
        <f t="shared" si="2"/>
        <v>81277.610000000015</v>
      </c>
      <c r="AH94" s="44">
        <v>81277.61</v>
      </c>
    </row>
    <row r="95" spans="1:34" x14ac:dyDescent="0.35">
      <c r="A95" s="33" t="s">
        <v>101</v>
      </c>
      <c r="B95" s="223">
        <v>83754.760000000024</v>
      </c>
      <c r="C95" s="64">
        <v>83754.760000000024</v>
      </c>
      <c r="D95" s="64">
        <v>83768.770000000019</v>
      </c>
      <c r="E95" s="64">
        <v>83790.150000000023</v>
      </c>
      <c r="F95" s="64">
        <v>83808.120000000024</v>
      </c>
      <c r="G95" s="64">
        <v>83817.540000000023</v>
      </c>
      <c r="H95" s="64">
        <v>83819.330000000016</v>
      </c>
      <c r="I95" s="64">
        <v>83829.150000000023</v>
      </c>
      <c r="J95" s="64">
        <v>83842.520000000019</v>
      </c>
      <c r="K95" s="64">
        <v>83848.230000000025</v>
      </c>
      <c r="L95" s="64">
        <v>83867.340000000026</v>
      </c>
      <c r="M95" s="64">
        <v>83888.960000000021</v>
      </c>
      <c r="N95" s="64">
        <v>83910.99000000002</v>
      </c>
      <c r="O95" s="64">
        <v>83932.810000000027</v>
      </c>
      <c r="P95" s="64">
        <v>83943.24000000002</v>
      </c>
      <c r="Q95" s="64">
        <v>83944.25</v>
      </c>
      <c r="R95" s="64">
        <v>83961.05</v>
      </c>
      <c r="S95" s="64">
        <v>83974.7</v>
      </c>
      <c r="T95" s="64">
        <v>83995.7</v>
      </c>
      <c r="U95" s="64">
        <v>84017.09</v>
      </c>
      <c r="V95" s="64">
        <v>84038.48</v>
      </c>
      <c r="W95" s="64">
        <v>84056.22</v>
      </c>
      <c r="X95" s="64">
        <v>84069.24</v>
      </c>
      <c r="Y95" s="64">
        <v>84087.26</v>
      </c>
      <c r="Z95" s="64">
        <v>84108.76</v>
      </c>
      <c r="AA95" s="64">
        <v>84130.46</v>
      </c>
      <c r="AB95" s="64">
        <v>84152.16</v>
      </c>
      <c r="AC95" s="64">
        <v>84156.65</v>
      </c>
      <c r="AD95" s="64">
        <v>84171.05</v>
      </c>
      <c r="AE95" s="64">
        <v>84192.85</v>
      </c>
      <c r="AF95" s="224"/>
      <c r="AG95" s="51">
        <f t="shared" si="2"/>
        <v>84192.85</v>
      </c>
      <c r="AH95" s="44">
        <v>83743.89</v>
      </c>
    </row>
    <row r="96" spans="1:34" x14ac:dyDescent="0.35">
      <c r="A96" s="33" t="s">
        <v>102</v>
      </c>
      <c r="B96" s="223">
        <v>84855.030000000217</v>
      </c>
      <c r="C96" s="64">
        <v>84863.990000000224</v>
      </c>
      <c r="D96" s="64">
        <v>84878.45000000023</v>
      </c>
      <c r="E96" s="64">
        <v>84894.770000000237</v>
      </c>
      <c r="F96" s="64">
        <v>84916.340000000244</v>
      </c>
      <c r="G96" s="64">
        <v>84937.700000000244</v>
      </c>
      <c r="H96" s="64">
        <v>84958.230000000243</v>
      </c>
      <c r="I96" s="64">
        <v>84965.540000000241</v>
      </c>
      <c r="J96" s="64">
        <v>84976.750000000247</v>
      </c>
      <c r="K96" s="64">
        <v>84977.250000000247</v>
      </c>
      <c r="L96" s="64">
        <v>84994.040000000241</v>
      </c>
      <c r="M96" s="64">
        <v>85004.080000000235</v>
      </c>
      <c r="N96" s="64">
        <v>85004.080000000235</v>
      </c>
      <c r="O96" s="64">
        <v>85007.560000000231</v>
      </c>
      <c r="P96" s="64">
        <v>85013.150000000227</v>
      </c>
      <c r="Q96" s="64">
        <v>85024.57</v>
      </c>
      <c r="R96" s="64">
        <v>85046.52</v>
      </c>
      <c r="S96" s="64">
        <v>85068.07</v>
      </c>
      <c r="T96" s="64">
        <v>85085.03</v>
      </c>
      <c r="U96" s="64">
        <v>85106.72</v>
      </c>
      <c r="V96" s="64">
        <v>85128.41</v>
      </c>
      <c r="W96" s="64">
        <v>85141.75</v>
      </c>
      <c r="X96" s="64">
        <v>85153.29</v>
      </c>
      <c r="Y96" s="64">
        <v>85174.69</v>
      </c>
      <c r="Z96" s="64">
        <v>85195.75</v>
      </c>
      <c r="AA96" s="64">
        <v>85217.57</v>
      </c>
      <c r="AB96" s="64">
        <v>85239.39</v>
      </c>
      <c r="AC96" s="64">
        <v>85260.57</v>
      </c>
      <c r="AD96" s="64">
        <v>85281.64</v>
      </c>
      <c r="AE96" s="64">
        <v>85302.64</v>
      </c>
      <c r="AF96" s="224"/>
      <c r="AG96" s="51">
        <f t="shared" si="2"/>
        <v>85302.64</v>
      </c>
      <c r="AH96" s="44">
        <v>84833.97</v>
      </c>
    </row>
    <row r="97" spans="1:34" x14ac:dyDescent="0.35">
      <c r="A97" s="33" t="s">
        <v>103</v>
      </c>
      <c r="B97" s="223">
        <v>85961.089999999764</v>
      </c>
      <c r="C97" s="64">
        <v>85979.189999999769</v>
      </c>
      <c r="D97" s="64">
        <v>86000.589999999764</v>
      </c>
      <c r="E97" s="64">
        <v>86017.579999999769</v>
      </c>
      <c r="F97" s="64">
        <v>86033.849999999773</v>
      </c>
      <c r="G97" s="64">
        <v>86054.639999999767</v>
      </c>
      <c r="H97" s="64">
        <v>86068.539999999761</v>
      </c>
      <c r="I97" s="64">
        <v>86083.329999999754</v>
      </c>
      <c r="J97" s="64">
        <v>86097.129999999757</v>
      </c>
      <c r="K97" s="64">
        <v>86118.699999999764</v>
      </c>
      <c r="L97" s="64">
        <v>86139.889999999767</v>
      </c>
      <c r="M97" s="64">
        <v>86161.489999999772</v>
      </c>
      <c r="N97" s="64">
        <v>86182.649999999776</v>
      </c>
      <c r="O97" s="64">
        <v>86193.539999999775</v>
      </c>
      <c r="P97" s="64">
        <v>86214.349999999773</v>
      </c>
      <c r="Q97" s="64">
        <v>86235.78</v>
      </c>
      <c r="R97" s="64">
        <v>86252.51</v>
      </c>
      <c r="S97" s="64">
        <v>86273.77</v>
      </c>
      <c r="T97" s="64">
        <v>86295.4</v>
      </c>
      <c r="U97" s="64">
        <v>86314.93</v>
      </c>
      <c r="V97" s="64">
        <v>86334.46</v>
      </c>
      <c r="W97" s="64">
        <v>86353.88</v>
      </c>
      <c r="X97" s="64">
        <v>86357.53</v>
      </c>
      <c r="Y97" s="64">
        <v>86378.77</v>
      </c>
      <c r="Z97" s="64">
        <v>86400.22</v>
      </c>
      <c r="AA97" s="64">
        <v>86420.1</v>
      </c>
      <c r="AB97" s="64">
        <v>86439.98</v>
      </c>
      <c r="AC97" s="64">
        <v>86461.54</v>
      </c>
      <c r="AD97" s="64">
        <v>86482.14</v>
      </c>
      <c r="AE97" s="64">
        <v>86503.13</v>
      </c>
      <c r="AF97" s="224"/>
      <c r="AG97" s="51">
        <f t="shared" si="2"/>
        <v>86503.13</v>
      </c>
      <c r="AH97" s="44">
        <v>85944.23</v>
      </c>
    </row>
    <row r="98" spans="1:34" x14ac:dyDescent="0.35">
      <c r="A98" s="33" t="s">
        <v>104</v>
      </c>
      <c r="B98" s="223">
        <v>84328.130000000325</v>
      </c>
      <c r="C98" s="64">
        <v>84349.410000000324</v>
      </c>
      <c r="D98" s="64">
        <v>84369.110000000321</v>
      </c>
      <c r="E98" s="64">
        <v>84390.420000000318</v>
      </c>
      <c r="F98" s="64">
        <v>84411.090000000317</v>
      </c>
      <c r="G98" s="64">
        <v>84432.63000000031</v>
      </c>
      <c r="H98" s="64">
        <v>84445.470000000307</v>
      </c>
      <c r="I98" s="64">
        <v>84445.470000000307</v>
      </c>
      <c r="J98" s="64">
        <v>84445.470000000307</v>
      </c>
      <c r="K98" s="64">
        <v>84454.390000000305</v>
      </c>
      <c r="L98" s="64">
        <v>84475.990000000311</v>
      </c>
      <c r="M98" s="64">
        <v>84497.77000000031</v>
      </c>
      <c r="N98" s="64">
        <v>84519.040000000314</v>
      </c>
      <c r="O98" s="64">
        <v>84540.510000000315</v>
      </c>
      <c r="P98" s="64">
        <v>84562.190000000308</v>
      </c>
      <c r="Q98" s="64">
        <v>84583.89</v>
      </c>
      <c r="R98" s="64">
        <v>84606.04</v>
      </c>
      <c r="S98" s="64">
        <v>84621.33</v>
      </c>
      <c r="T98" s="64">
        <v>84642.76</v>
      </c>
      <c r="U98" s="64">
        <v>84664.65</v>
      </c>
      <c r="V98" s="64">
        <v>84686.54</v>
      </c>
      <c r="W98" s="64">
        <v>84707.09</v>
      </c>
      <c r="X98" s="64">
        <v>84729.32</v>
      </c>
      <c r="Y98" s="64">
        <v>84750.31</v>
      </c>
      <c r="Z98" s="64">
        <v>84771.9</v>
      </c>
      <c r="AA98" s="64">
        <v>84793.63</v>
      </c>
      <c r="AB98" s="64">
        <v>84815.360000000001</v>
      </c>
      <c r="AC98" s="64">
        <v>84836.96</v>
      </c>
      <c r="AD98" s="64">
        <v>84858.79</v>
      </c>
      <c r="AE98" s="64">
        <v>84880.58</v>
      </c>
      <c r="AF98" s="224"/>
      <c r="AG98" s="51">
        <f t="shared" si="2"/>
        <v>84880.58</v>
      </c>
      <c r="AH98" s="44">
        <v>84310.22</v>
      </c>
    </row>
    <row r="99" spans="1:34" x14ac:dyDescent="0.35">
      <c r="A99" s="33" t="s">
        <v>105</v>
      </c>
      <c r="B99" s="223">
        <v>82693.260000000038</v>
      </c>
      <c r="C99" s="64">
        <v>82709.110000000044</v>
      </c>
      <c r="D99" s="64">
        <v>82730.820000000051</v>
      </c>
      <c r="E99" s="64">
        <v>82752.090000000055</v>
      </c>
      <c r="F99" s="64">
        <v>82764.21000000005</v>
      </c>
      <c r="G99" s="64">
        <v>82785.260000000053</v>
      </c>
      <c r="H99" s="64">
        <v>82804.140000000058</v>
      </c>
      <c r="I99" s="64">
        <v>82823.320000000051</v>
      </c>
      <c r="J99" s="64">
        <v>82844.050000000047</v>
      </c>
      <c r="K99" s="64">
        <v>82854.890000000043</v>
      </c>
      <c r="L99" s="64">
        <v>82871.180000000037</v>
      </c>
      <c r="M99" s="64">
        <v>82892.600000000035</v>
      </c>
      <c r="N99" s="64">
        <v>82913.510000000038</v>
      </c>
      <c r="O99" s="64">
        <v>82933.370000000039</v>
      </c>
      <c r="P99" s="64">
        <v>82948.640000000043</v>
      </c>
      <c r="Q99" s="64">
        <v>82964.7</v>
      </c>
      <c r="R99" s="64">
        <v>82978.66</v>
      </c>
      <c r="S99" s="64">
        <v>82995.600000000006</v>
      </c>
      <c r="T99" s="64">
        <v>83017.16</v>
      </c>
      <c r="U99" s="64">
        <v>83038.320000000007</v>
      </c>
      <c r="V99" s="64">
        <v>83059.48</v>
      </c>
      <c r="W99" s="64">
        <v>83076.47</v>
      </c>
      <c r="X99" s="64">
        <v>83091.88</v>
      </c>
      <c r="Y99" s="64">
        <v>83102.899999999994</v>
      </c>
      <c r="Z99" s="64">
        <v>83120.08</v>
      </c>
      <c r="AA99" s="64">
        <v>83133.55</v>
      </c>
      <c r="AB99" s="64">
        <v>83147.02</v>
      </c>
      <c r="AC99" s="64">
        <v>83168.210000000006</v>
      </c>
      <c r="AD99" s="64">
        <v>83189.570000000007</v>
      </c>
      <c r="AE99" s="64">
        <v>83209.67</v>
      </c>
      <c r="AF99" s="224"/>
      <c r="AG99" s="51">
        <f t="shared" si="2"/>
        <v>83209.67</v>
      </c>
      <c r="AH99" s="44">
        <v>82671.850000000006</v>
      </c>
    </row>
    <row r="100" spans="1:34" x14ac:dyDescent="0.35">
      <c r="A100" s="33" t="s">
        <v>106</v>
      </c>
      <c r="B100" s="223">
        <v>80763.84000000004</v>
      </c>
      <c r="C100" s="64">
        <v>80763.84000000004</v>
      </c>
      <c r="D100" s="64">
        <v>80778.740000000034</v>
      </c>
      <c r="E100" s="64">
        <v>80798.72000000003</v>
      </c>
      <c r="F100" s="64">
        <v>80815.890000000029</v>
      </c>
      <c r="G100" s="64">
        <v>80831.350000000035</v>
      </c>
      <c r="H100" s="64">
        <v>80842.440000000031</v>
      </c>
      <c r="I100" s="64">
        <v>80860.650000000038</v>
      </c>
      <c r="J100" s="64">
        <v>80862.870000000039</v>
      </c>
      <c r="K100" s="64">
        <v>80883.200000000041</v>
      </c>
      <c r="L100" s="64">
        <v>80900.390000000043</v>
      </c>
      <c r="M100" s="64">
        <v>80916.050000000047</v>
      </c>
      <c r="N100" s="64">
        <v>80923.780000000042</v>
      </c>
      <c r="O100" s="64">
        <v>80940.23000000004</v>
      </c>
      <c r="P100" s="64">
        <v>80958.940000000046</v>
      </c>
      <c r="Q100" s="64">
        <v>80980.5</v>
      </c>
      <c r="R100" s="64">
        <v>81002.33</v>
      </c>
      <c r="S100" s="64">
        <v>81023.25</v>
      </c>
      <c r="T100" s="64">
        <v>81036.539999999994</v>
      </c>
      <c r="U100" s="64">
        <v>81058.16</v>
      </c>
      <c r="V100" s="64">
        <v>81079.78</v>
      </c>
      <c r="W100" s="64">
        <v>81098.899999999994</v>
      </c>
      <c r="X100" s="64">
        <v>81119.210000000006</v>
      </c>
      <c r="Y100" s="64">
        <v>81130.080000000002</v>
      </c>
      <c r="Z100" s="64">
        <v>81147.61</v>
      </c>
      <c r="AA100" s="64">
        <v>81165.81</v>
      </c>
      <c r="AB100" s="64">
        <v>81184.009999999995</v>
      </c>
      <c r="AC100" s="64">
        <v>81194.55</v>
      </c>
      <c r="AD100" s="64">
        <v>81211.87</v>
      </c>
      <c r="AE100" s="64">
        <v>81220.56</v>
      </c>
      <c r="AF100" s="224"/>
      <c r="AG100" s="51">
        <f t="shared" ref="AG100:AG106" si="3">MAX(B100:AF100)</f>
        <v>81220.56</v>
      </c>
      <c r="AH100" s="44">
        <v>80763.839999999997</v>
      </c>
    </row>
    <row r="101" spans="1:34" x14ac:dyDescent="0.35">
      <c r="A101" s="33" t="s">
        <v>107</v>
      </c>
      <c r="B101" s="223">
        <v>84099.419999999984</v>
      </c>
      <c r="C101" s="64">
        <v>84099.419999999984</v>
      </c>
      <c r="D101" s="64">
        <v>84099.419999999984</v>
      </c>
      <c r="E101" s="64">
        <v>84119.799999999988</v>
      </c>
      <c r="F101" s="64">
        <v>84138.799999999988</v>
      </c>
      <c r="G101" s="64">
        <v>84149.409999999989</v>
      </c>
      <c r="H101" s="64">
        <v>84169.439999999988</v>
      </c>
      <c r="I101" s="64">
        <v>84189.299999999988</v>
      </c>
      <c r="J101" s="64">
        <v>84210.969999999987</v>
      </c>
      <c r="K101" s="64">
        <v>84222.169999999984</v>
      </c>
      <c r="L101" s="64">
        <v>84228.079999999987</v>
      </c>
      <c r="M101" s="64">
        <v>84248.959999999992</v>
      </c>
      <c r="N101" s="64">
        <v>84265.81</v>
      </c>
      <c r="O101" s="64">
        <v>84287.039999999994</v>
      </c>
      <c r="P101" s="64">
        <v>84307.03</v>
      </c>
      <c r="Q101" s="64">
        <v>84327.89</v>
      </c>
      <c r="R101" s="64">
        <v>84349.1</v>
      </c>
      <c r="S101" s="64">
        <v>84371.07</v>
      </c>
      <c r="T101" s="64">
        <v>84389.52</v>
      </c>
      <c r="U101" s="64">
        <v>84401.94</v>
      </c>
      <c r="V101" s="64">
        <v>84414.36</v>
      </c>
      <c r="W101" s="64">
        <v>84431.73</v>
      </c>
      <c r="X101" s="64">
        <v>84453.33</v>
      </c>
      <c r="Y101" s="64">
        <v>84469.72</v>
      </c>
      <c r="Z101" s="64">
        <v>84486.31</v>
      </c>
      <c r="AA101" s="64">
        <v>84507.26</v>
      </c>
      <c r="AB101" s="64">
        <v>84528.21</v>
      </c>
      <c r="AC101" s="64">
        <v>84545.52</v>
      </c>
      <c r="AD101" s="64">
        <v>84562.03</v>
      </c>
      <c r="AE101" s="64">
        <v>84569.93</v>
      </c>
      <c r="AF101" s="224"/>
      <c r="AG101" s="51">
        <f t="shared" si="3"/>
        <v>84569.93</v>
      </c>
      <c r="AH101" s="44">
        <v>84087.83</v>
      </c>
    </row>
    <row r="102" spans="1:34" x14ac:dyDescent="0.35">
      <c r="A102" s="33" t="s">
        <v>108</v>
      </c>
      <c r="B102" s="223">
        <v>84675.239999999991</v>
      </c>
      <c r="C102" s="64">
        <v>84695.279999999984</v>
      </c>
      <c r="D102" s="64">
        <v>84707.01999999999</v>
      </c>
      <c r="E102" s="64">
        <v>84728.43</v>
      </c>
      <c r="F102" s="64">
        <v>84749.579999999987</v>
      </c>
      <c r="G102" s="64">
        <v>84771.069999999992</v>
      </c>
      <c r="H102" s="64">
        <v>84792.26</v>
      </c>
      <c r="I102" s="64">
        <v>84813.049999999988</v>
      </c>
      <c r="J102" s="64">
        <v>84834.04</v>
      </c>
      <c r="K102" s="64">
        <v>84855.61</v>
      </c>
      <c r="L102" s="64">
        <v>84876.57</v>
      </c>
      <c r="M102" s="64">
        <v>84898.170000000013</v>
      </c>
      <c r="N102" s="64">
        <v>84919.82</v>
      </c>
      <c r="O102" s="64">
        <v>84941.670000000013</v>
      </c>
      <c r="P102" s="64">
        <v>84963.220000000016</v>
      </c>
      <c r="Q102" s="64">
        <v>84984.77</v>
      </c>
      <c r="R102" s="64">
        <v>85006.19</v>
      </c>
      <c r="S102" s="64">
        <v>85026.96</v>
      </c>
      <c r="T102" s="64">
        <v>85049.05</v>
      </c>
      <c r="U102" s="64">
        <v>85070.14</v>
      </c>
      <c r="V102" s="64">
        <v>85091.23</v>
      </c>
      <c r="W102" s="64">
        <v>85106.07</v>
      </c>
      <c r="X102" s="64">
        <v>85127.52</v>
      </c>
      <c r="Y102" s="64">
        <v>85149.34</v>
      </c>
      <c r="Z102" s="64">
        <v>85170.05</v>
      </c>
      <c r="AA102" s="64">
        <v>85187.51</v>
      </c>
      <c r="AB102" s="64">
        <v>85204.97</v>
      </c>
      <c r="AC102" s="64">
        <v>85226.78</v>
      </c>
      <c r="AD102" s="64">
        <v>85248.33</v>
      </c>
      <c r="AE102" s="64">
        <v>85269.81</v>
      </c>
      <c r="AF102" s="224"/>
      <c r="AG102" s="51">
        <f t="shared" si="3"/>
        <v>85269.81</v>
      </c>
      <c r="AH102" s="44">
        <v>84654.98</v>
      </c>
    </row>
    <row r="103" spans="1:34" x14ac:dyDescent="0.35">
      <c r="A103" s="33" t="s">
        <v>109</v>
      </c>
      <c r="B103" s="223">
        <v>83720.78000000013</v>
      </c>
      <c r="C103" s="64">
        <v>83730.490000000136</v>
      </c>
      <c r="D103" s="64">
        <v>83746.040000000139</v>
      </c>
      <c r="E103" s="64">
        <v>83767.590000000142</v>
      </c>
      <c r="F103" s="64">
        <v>83789.250000000146</v>
      </c>
      <c r="G103" s="64">
        <v>83803.02000000015</v>
      </c>
      <c r="H103" s="64">
        <v>83822.460000000152</v>
      </c>
      <c r="I103" s="64">
        <v>83835.510000000155</v>
      </c>
      <c r="J103" s="64">
        <v>83856.090000000157</v>
      </c>
      <c r="K103" s="64">
        <v>83877.680000000153</v>
      </c>
      <c r="L103" s="64">
        <v>83899.210000000152</v>
      </c>
      <c r="M103" s="64">
        <v>83917.410000000149</v>
      </c>
      <c r="N103" s="64">
        <v>83938.540000000154</v>
      </c>
      <c r="O103" s="64">
        <v>83957.510000000155</v>
      </c>
      <c r="P103" s="64">
        <v>83968.930000000153</v>
      </c>
      <c r="Q103" s="64">
        <v>83986.12</v>
      </c>
      <c r="R103" s="64">
        <v>84001.41</v>
      </c>
      <c r="S103" s="64">
        <v>84021.02</v>
      </c>
      <c r="T103" s="64">
        <v>84042.99</v>
      </c>
      <c r="U103" s="64">
        <v>84060.34</v>
      </c>
      <c r="V103" s="64">
        <v>84077.69</v>
      </c>
      <c r="W103" s="64">
        <v>84098.41</v>
      </c>
      <c r="X103" s="64">
        <v>84119.67</v>
      </c>
      <c r="Y103" s="64">
        <v>84139.54</v>
      </c>
      <c r="Z103" s="64">
        <v>84160.960000000006</v>
      </c>
      <c r="AA103" s="64">
        <v>84178.21</v>
      </c>
      <c r="AB103" s="64">
        <v>84195.46</v>
      </c>
      <c r="AC103" s="64">
        <v>84206.74</v>
      </c>
      <c r="AD103" s="64">
        <v>84206.74</v>
      </c>
      <c r="AE103" s="64">
        <v>84206.74</v>
      </c>
      <c r="AF103" s="224"/>
      <c r="AG103" s="51">
        <f t="shared" si="3"/>
        <v>84206.74</v>
      </c>
      <c r="AH103" s="44">
        <v>83714.240000000005</v>
      </c>
    </row>
    <row r="104" spans="1:34" x14ac:dyDescent="0.35">
      <c r="A104" s="33" t="s">
        <v>110</v>
      </c>
      <c r="B104" s="223">
        <v>84939.760000000068</v>
      </c>
      <c r="C104" s="64">
        <v>84957.880000000063</v>
      </c>
      <c r="D104" s="64">
        <v>84974.08000000006</v>
      </c>
      <c r="E104" s="64">
        <v>84995.280000000057</v>
      </c>
      <c r="F104" s="64">
        <v>85013.540000000052</v>
      </c>
      <c r="G104" s="64">
        <v>85034.96000000005</v>
      </c>
      <c r="H104" s="64">
        <v>85049.540000000052</v>
      </c>
      <c r="I104" s="64">
        <v>85065.150000000052</v>
      </c>
      <c r="J104" s="64">
        <v>85086.310000000056</v>
      </c>
      <c r="K104" s="64">
        <v>85099.560000000056</v>
      </c>
      <c r="L104" s="64">
        <v>85114.590000000055</v>
      </c>
      <c r="M104" s="64">
        <v>85133.490000000049</v>
      </c>
      <c r="N104" s="64">
        <v>85154.890000000043</v>
      </c>
      <c r="O104" s="64">
        <v>85176.470000000045</v>
      </c>
      <c r="P104" s="64">
        <v>85191.690000000046</v>
      </c>
      <c r="Q104" s="64">
        <v>85213</v>
      </c>
      <c r="R104" s="64">
        <v>85233.919999999998</v>
      </c>
      <c r="S104" s="64">
        <v>85252.74</v>
      </c>
      <c r="T104" s="64">
        <v>85269.05</v>
      </c>
      <c r="U104" s="64">
        <v>85286.65</v>
      </c>
      <c r="V104" s="64">
        <v>85304.25</v>
      </c>
      <c r="W104" s="64">
        <v>85325.22</v>
      </c>
      <c r="X104" s="64">
        <v>85344.93</v>
      </c>
      <c r="Y104" s="64">
        <v>85366.39</v>
      </c>
      <c r="Z104" s="64">
        <v>85387.38</v>
      </c>
      <c r="AA104" s="64">
        <v>85399.41</v>
      </c>
      <c r="AB104" s="64">
        <v>85411.44</v>
      </c>
      <c r="AC104" s="64">
        <v>85432.91</v>
      </c>
      <c r="AD104" s="64">
        <v>85448.89</v>
      </c>
      <c r="AE104" s="64">
        <v>85454.76</v>
      </c>
      <c r="AF104" s="224"/>
      <c r="AG104" s="51">
        <f t="shared" si="3"/>
        <v>85454.76</v>
      </c>
      <c r="AH104" s="44">
        <v>84926.25</v>
      </c>
    </row>
    <row r="105" spans="1:34" x14ac:dyDescent="0.35">
      <c r="A105" s="33" t="s">
        <v>111</v>
      </c>
      <c r="B105" s="223">
        <v>76516.090000000069</v>
      </c>
      <c r="C105" s="64">
        <v>76525.610000000073</v>
      </c>
      <c r="D105" s="64">
        <v>76547.020000000077</v>
      </c>
      <c r="E105" s="64">
        <v>76568.220000000074</v>
      </c>
      <c r="F105" s="64">
        <v>76587.970000000074</v>
      </c>
      <c r="G105" s="64">
        <v>76609.090000000069</v>
      </c>
      <c r="H105" s="64">
        <v>76629.460000000065</v>
      </c>
      <c r="I105" s="64">
        <v>76643.290000000066</v>
      </c>
      <c r="J105" s="64">
        <v>76655.140000000072</v>
      </c>
      <c r="K105" s="64">
        <v>76670.650000000067</v>
      </c>
      <c r="L105" s="64">
        <v>76681.770000000062</v>
      </c>
      <c r="M105" s="64">
        <v>76703.33000000006</v>
      </c>
      <c r="N105" s="64">
        <v>76724.540000000066</v>
      </c>
      <c r="O105" s="64">
        <v>76741.70000000007</v>
      </c>
      <c r="P105" s="64">
        <v>76756.650000000067</v>
      </c>
      <c r="Q105" s="64">
        <v>76762.77</v>
      </c>
      <c r="R105" s="64">
        <v>76773.61</v>
      </c>
      <c r="S105" s="64">
        <v>76781.97</v>
      </c>
      <c r="T105" s="64">
        <v>76803.39</v>
      </c>
      <c r="U105" s="64">
        <v>76820.08</v>
      </c>
      <c r="V105" s="64">
        <v>76836.77</v>
      </c>
      <c r="W105" s="64">
        <v>76849.38</v>
      </c>
      <c r="X105" s="64">
        <v>76871</v>
      </c>
      <c r="Y105" s="64">
        <v>76890.87</v>
      </c>
      <c r="Z105" s="64">
        <v>76912.23</v>
      </c>
      <c r="AA105" s="64">
        <v>76924.210000000006</v>
      </c>
      <c r="AB105" s="64">
        <v>76936.19</v>
      </c>
      <c r="AC105" s="64">
        <v>76957.33</v>
      </c>
      <c r="AD105" s="64">
        <v>76976.62</v>
      </c>
      <c r="AE105" s="64">
        <v>76997.98</v>
      </c>
      <c r="AF105" s="224"/>
      <c r="AG105" s="51">
        <f t="shared" si="3"/>
        <v>76997.98</v>
      </c>
      <c r="AH105" s="44">
        <v>76506.94</v>
      </c>
    </row>
    <row r="106" spans="1:34" ht="15" thickBot="1" x14ac:dyDescent="0.4">
      <c r="A106" s="34" t="s">
        <v>112</v>
      </c>
      <c r="B106" s="225">
        <v>84572.880000000034</v>
      </c>
      <c r="C106" s="226">
        <v>84593.72000000003</v>
      </c>
      <c r="D106" s="226">
        <v>84612.020000000033</v>
      </c>
      <c r="E106" s="226">
        <v>84628.61000000003</v>
      </c>
      <c r="F106" s="226">
        <v>84649.290000000023</v>
      </c>
      <c r="G106" s="226">
        <v>84670.580000000016</v>
      </c>
      <c r="H106" s="226">
        <v>84688.550000000017</v>
      </c>
      <c r="I106" s="226">
        <v>84710.450000000012</v>
      </c>
      <c r="J106" s="226">
        <v>84731.830000000016</v>
      </c>
      <c r="K106" s="226">
        <v>84753.760000000009</v>
      </c>
      <c r="L106" s="226">
        <v>84775.290000000008</v>
      </c>
      <c r="M106" s="226">
        <v>84796.44</v>
      </c>
      <c r="N106" s="226">
        <v>84818.47</v>
      </c>
      <c r="O106" s="226">
        <v>84831.85</v>
      </c>
      <c r="P106" s="226">
        <v>84847.03</v>
      </c>
      <c r="Q106" s="226">
        <v>84867.7</v>
      </c>
      <c r="R106" s="226">
        <v>84885.97</v>
      </c>
      <c r="S106" s="226">
        <v>84902.99</v>
      </c>
      <c r="T106" s="226">
        <v>84919.15</v>
      </c>
      <c r="U106" s="226">
        <v>84941.119999999995</v>
      </c>
      <c r="V106" s="226">
        <v>84963.09</v>
      </c>
      <c r="W106" s="226">
        <v>84984.16</v>
      </c>
      <c r="X106" s="226">
        <v>85002.57</v>
      </c>
      <c r="Y106" s="226">
        <v>85018.74</v>
      </c>
      <c r="Z106" s="226">
        <v>85040.04</v>
      </c>
      <c r="AA106" s="226">
        <v>85056.26</v>
      </c>
      <c r="AB106" s="226">
        <v>85072.48</v>
      </c>
      <c r="AC106" s="226">
        <v>85094.31</v>
      </c>
      <c r="AD106" s="64">
        <v>85111.48</v>
      </c>
      <c r="AE106" s="226">
        <v>85133.08</v>
      </c>
      <c r="AF106" s="227"/>
      <c r="AG106" s="52">
        <f t="shared" si="3"/>
        <v>85133.08</v>
      </c>
      <c r="AH106" s="44">
        <v>84562.14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45536</v>
      </c>
      <c r="C108" s="46">
        <v>45537</v>
      </c>
      <c r="D108" s="46">
        <v>45538</v>
      </c>
      <c r="E108" s="46">
        <v>45539</v>
      </c>
      <c r="F108" s="46">
        <v>45540</v>
      </c>
      <c r="G108" s="46">
        <v>45541</v>
      </c>
      <c r="H108" s="46">
        <v>45542</v>
      </c>
      <c r="I108" s="46">
        <v>45543</v>
      </c>
      <c r="J108" s="46">
        <v>45544</v>
      </c>
      <c r="K108" s="46">
        <v>45545</v>
      </c>
      <c r="L108" s="46">
        <v>45546</v>
      </c>
      <c r="M108" s="46">
        <v>45547</v>
      </c>
      <c r="N108" s="46">
        <v>45548</v>
      </c>
      <c r="O108" s="46">
        <v>45549</v>
      </c>
      <c r="P108" s="46">
        <v>45550</v>
      </c>
      <c r="Q108" s="46">
        <v>45551</v>
      </c>
      <c r="R108" s="46">
        <v>45552</v>
      </c>
      <c r="S108" s="46">
        <v>45553</v>
      </c>
      <c r="T108" s="46">
        <v>45554</v>
      </c>
      <c r="U108" s="46">
        <v>45555</v>
      </c>
      <c r="V108" s="46">
        <v>45556</v>
      </c>
      <c r="W108" s="46">
        <v>45557</v>
      </c>
      <c r="X108" s="46">
        <v>45558</v>
      </c>
      <c r="Y108" s="46">
        <v>45559</v>
      </c>
      <c r="Z108" s="46">
        <v>45560</v>
      </c>
      <c r="AA108" s="46">
        <v>45561</v>
      </c>
      <c r="AB108" s="46">
        <v>45562</v>
      </c>
      <c r="AC108" s="46">
        <v>45563</v>
      </c>
      <c r="AD108" s="46">
        <v>45564</v>
      </c>
      <c r="AE108" s="46">
        <v>45565</v>
      </c>
      <c r="AF108" s="49"/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228">
        <v>40803.719999999987</v>
      </c>
      <c r="C109" s="221">
        <v>40825.579999999987</v>
      </c>
      <c r="D109" s="221">
        <v>40846.499999999985</v>
      </c>
      <c r="E109" s="221">
        <v>40862.979999999989</v>
      </c>
      <c r="F109" s="221">
        <v>40882.929999999986</v>
      </c>
      <c r="G109" s="221">
        <v>40903.529999999984</v>
      </c>
      <c r="H109" s="221">
        <v>40924.429999999986</v>
      </c>
      <c r="I109" s="221">
        <v>40945.489999999983</v>
      </c>
      <c r="J109" s="221">
        <v>40967.059999999983</v>
      </c>
      <c r="K109" s="221">
        <v>40983.209999999985</v>
      </c>
      <c r="L109" s="221">
        <v>41003.609999999986</v>
      </c>
      <c r="M109" s="221">
        <v>41022.009999999987</v>
      </c>
      <c r="N109" s="221">
        <v>41022.009999999987</v>
      </c>
      <c r="O109" s="221">
        <v>41031.01999999999</v>
      </c>
      <c r="P109" s="221">
        <v>41041.659999999989</v>
      </c>
      <c r="Q109" s="221">
        <v>41062.11</v>
      </c>
      <c r="R109" s="221">
        <v>41082.400000000001</v>
      </c>
      <c r="S109" s="221">
        <v>41103.440000000002</v>
      </c>
      <c r="T109" s="221">
        <v>41122.67</v>
      </c>
      <c r="U109" s="221">
        <v>41143.599999999999</v>
      </c>
      <c r="V109" s="221">
        <v>41164.53</v>
      </c>
      <c r="W109" s="221">
        <v>41183.99</v>
      </c>
      <c r="X109" s="221">
        <v>41205.54</v>
      </c>
      <c r="Y109" s="221">
        <v>41226.75</v>
      </c>
      <c r="Z109" s="221">
        <v>41246.68</v>
      </c>
      <c r="AA109" s="221">
        <v>41268.239999999998</v>
      </c>
      <c r="AB109" s="221">
        <v>41289.800000000003</v>
      </c>
      <c r="AC109" s="221">
        <v>41311.57</v>
      </c>
      <c r="AD109" s="221">
        <v>41333.11</v>
      </c>
      <c r="AE109" s="221">
        <v>41347.5</v>
      </c>
      <c r="AF109" s="229"/>
      <c r="AG109" s="51">
        <f t="shared" ref="AG109:AG124" si="4">MAX(B109:AF109)</f>
        <v>41347.5</v>
      </c>
      <c r="AH109" s="44">
        <v>40788.43</v>
      </c>
    </row>
    <row r="110" spans="1:34" x14ac:dyDescent="0.35">
      <c r="A110" s="26" t="s">
        <v>114</v>
      </c>
      <c r="B110" s="77">
        <v>41121.110000000117</v>
      </c>
      <c r="C110" s="64">
        <v>41142.940000000119</v>
      </c>
      <c r="D110" s="64">
        <v>41164.380000000121</v>
      </c>
      <c r="E110" s="64">
        <v>41185.52000000012</v>
      </c>
      <c r="F110" s="64">
        <v>41206.650000000118</v>
      </c>
      <c r="G110" s="64">
        <v>41227.530000000115</v>
      </c>
      <c r="H110" s="64">
        <v>41248.780000000115</v>
      </c>
      <c r="I110" s="64">
        <v>41268.700000000114</v>
      </c>
      <c r="J110" s="64">
        <v>41284.140000000116</v>
      </c>
      <c r="K110" s="64">
        <v>41284.140000000116</v>
      </c>
      <c r="L110" s="64">
        <v>41284.140000000116</v>
      </c>
      <c r="M110" s="64">
        <v>41284.140000000116</v>
      </c>
      <c r="N110" s="64">
        <v>41284.140000000116</v>
      </c>
      <c r="O110" s="64">
        <v>41284.140000000116</v>
      </c>
      <c r="P110" s="64">
        <v>41284.140000000116</v>
      </c>
      <c r="Q110" s="64">
        <v>41284.14</v>
      </c>
      <c r="R110" s="64">
        <v>41302.980000000003</v>
      </c>
      <c r="S110" s="64">
        <v>41324.15</v>
      </c>
      <c r="T110" s="64">
        <v>41345.440000000002</v>
      </c>
      <c r="U110" s="64">
        <v>41366.85</v>
      </c>
      <c r="V110" s="64">
        <v>41388.26</v>
      </c>
      <c r="W110" s="64">
        <v>41408.83</v>
      </c>
      <c r="X110" s="64">
        <v>41428.800000000003</v>
      </c>
      <c r="Y110" s="64">
        <v>41449.14</v>
      </c>
      <c r="Z110" s="64">
        <v>41469.78</v>
      </c>
      <c r="AA110" s="64">
        <v>41491.64</v>
      </c>
      <c r="AB110" s="64">
        <v>41513.5</v>
      </c>
      <c r="AC110" s="64">
        <v>41529.64</v>
      </c>
      <c r="AD110" s="64">
        <v>41551.56</v>
      </c>
      <c r="AE110" s="64">
        <v>41570.449999999997</v>
      </c>
      <c r="AF110" s="55"/>
      <c r="AG110" s="51">
        <f t="shared" si="4"/>
        <v>41570.449999999997</v>
      </c>
      <c r="AH110" s="44">
        <v>41099.42</v>
      </c>
    </row>
    <row r="111" spans="1:34" x14ac:dyDescent="0.35">
      <c r="A111" s="26" t="s">
        <v>115</v>
      </c>
      <c r="B111" s="77">
        <v>36404.130000000005</v>
      </c>
      <c r="C111" s="64">
        <v>36404.130000000005</v>
      </c>
      <c r="D111" s="64">
        <v>36404.540000000008</v>
      </c>
      <c r="E111" s="64">
        <v>36416.720000000008</v>
      </c>
      <c r="F111" s="64">
        <v>36434.510000000009</v>
      </c>
      <c r="G111" s="64">
        <v>36439.600000000006</v>
      </c>
      <c r="H111" s="64">
        <v>36455.950000000004</v>
      </c>
      <c r="I111" s="64">
        <v>36477.320000000007</v>
      </c>
      <c r="J111" s="64">
        <v>36492.37000000001</v>
      </c>
      <c r="K111" s="64">
        <v>36502.630000000012</v>
      </c>
      <c r="L111" s="64">
        <v>36523.810000000012</v>
      </c>
      <c r="M111" s="64">
        <v>36542.30000000001</v>
      </c>
      <c r="N111" s="64">
        <v>36563.94000000001</v>
      </c>
      <c r="O111" s="64">
        <v>36585.790000000008</v>
      </c>
      <c r="P111" s="64">
        <v>36607.530000000006</v>
      </c>
      <c r="Q111" s="64">
        <v>36627.94</v>
      </c>
      <c r="R111" s="64">
        <v>36648.949999999997</v>
      </c>
      <c r="S111" s="64">
        <v>36669.730000000003</v>
      </c>
      <c r="T111" s="64">
        <v>36691.07</v>
      </c>
      <c r="U111" s="64">
        <v>36712.43</v>
      </c>
      <c r="V111" s="64">
        <v>36733.79</v>
      </c>
      <c r="W111" s="64">
        <v>36748.089999999997</v>
      </c>
      <c r="X111" s="64">
        <v>36764.07</v>
      </c>
      <c r="Y111" s="64">
        <v>36766.11</v>
      </c>
      <c r="Z111" s="64">
        <v>36783.67</v>
      </c>
      <c r="AA111" s="64">
        <v>36805.300000000003</v>
      </c>
      <c r="AB111" s="64">
        <v>36826.93</v>
      </c>
      <c r="AC111" s="64">
        <v>36846.129999999997</v>
      </c>
      <c r="AD111" s="64">
        <v>36866.83</v>
      </c>
      <c r="AE111" s="64">
        <v>36888.160000000003</v>
      </c>
      <c r="AF111" s="55"/>
      <c r="AG111" s="51">
        <f t="shared" si="4"/>
        <v>36888.160000000003</v>
      </c>
      <c r="AH111" s="44">
        <v>36404.129999999997</v>
      </c>
    </row>
    <row r="112" spans="1:34" x14ac:dyDescent="0.35">
      <c r="A112" s="26" t="s">
        <v>116</v>
      </c>
      <c r="B112" s="77">
        <v>36419.609999999942</v>
      </c>
      <c r="C112" s="64">
        <v>36440.539999999943</v>
      </c>
      <c r="D112" s="64">
        <v>36462.469999999943</v>
      </c>
      <c r="E112" s="64">
        <v>36483.079999999944</v>
      </c>
      <c r="F112" s="64">
        <v>36504.309999999947</v>
      </c>
      <c r="G112" s="64">
        <v>36523.679999999949</v>
      </c>
      <c r="H112" s="64">
        <v>36544.919999999947</v>
      </c>
      <c r="I112" s="64">
        <v>36564.589999999946</v>
      </c>
      <c r="J112" s="64">
        <v>36582.389999999948</v>
      </c>
      <c r="K112" s="64">
        <v>36592.71999999995</v>
      </c>
      <c r="L112" s="64">
        <v>36614.369999999952</v>
      </c>
      <c r="M112" s="64">
        <v>36629.139999999948</v>
      </c>
      <c r="N112" s="64">
        <v>36644.03999999995</v>
      </c>
      <c r="O112" s="64">
        <v>36657.60999999995</v>
      </c>
      <c r="P112" s="64">
        <v>36678.119999999952</v>
      </c>
      <c r="Q112" s="64">
        <v>36689.22</v>
      </c>
      <c r="R112" s="64">
        <v>36707.89</v>
      </c>
      <c r="S112" s="64">
        <v>36728.959999999999</v>
      </c>
      <c r="T112" s="64">
        <v>36749.19</v>
      </c>
      <c r="U112" s="64">
        <v>36770.550000000003</v>
      </c>
      <c r="V112" s="64">
        <v>36791.910000000003</v>
      </c>
      <c r="W112" s="64">
        <v>36813.360000000001</v>
      </c>
      <c r="X112" s="64">
        <v>36833.51</v>
      </c>
      <c r="Y112" s="64">
        <v>36855.29</v>
      </c>
      <c r="Z112" s="64">
        <v>36862.58</v>
      </c>
      <c r="AA112" s="64">
        <v>36884.49</v>
      </c>
      <c r="AB112" s="64">
        <v>36906.400000000001</v>
      </c>
      <c r="AC112" s="64">
        <v>36924.79</v>
      </c>
      <c r="AD112" s="64">
        <v>36931.58</v>
      </c>
      <c r="AE112" s="64">
        <v>36951.22</v>
      </c>
      <c r="AF112" s="55"/>
      <c r="AG112" s="51">
        <f t="shared" si="4"/>
        <v>36951.22</v>
      </c>
      <c r="AH112" s="44">
        <v>36400.69</v>
      </c>
    </row>
    <row r="113" spans="1:34" x14ac:dyDescent="0.35">
      <c r="A113" s="26" t="s">
        <v>117</v>
      </c>
      <c r="B113" s="77">
        <v>35434.399999999987</v>
      </c>
      <c r="C113" s="64">
        <v>35456.149999999987</v>
      </c>
      <c r="D113" s="64">
        <v>35477.37999999999</v>
      </c>
      <c r="E113" s="64">
        <v>35498.469999999987</v>
      </c>
      <c r="F113" s="64">
        <v>35513.729999999989</v>
      </c>
      <c r="G113" s="64">
        <v>35527.26999999999</v>
      </c>
      <c r="H113" s="64">
        <v>35548.639999999992</v>
      </c>
      <c r="I113" s="64">
        <v>35569.69999999999</v>
      </c>
      <c r="J113" s="64">
        <v>35589.899999999987</v>
      </c>
      <c r="K113" s="64">
        <v>35611.709999999985</v>
      </c>
      <c r="L113" s="64">
        <v>35628.879999999983</v>
      </c>
      <c r="M113" s="64">
        <v>35649.779999999984</v>
      </c>
      <c r="N113" s="64">
        <v>35663.339999999982</v>
      </c>
      <c r="O113" s="64">
        <v>35684.819999999985</v>
      </c>
      <c r="P113" s="64">
        <v>35700.399999999987</v>
      </c>
      <c r="Q113" s="64">
        <v>35714.199999999997</v>
      </c>
      <c r="R113" s="64">
        <v>35735.54</v>
      </c>
      <c r="S113" s="64">
        <v>35744.49</v>
      </c>
      <c r="T113" s="64">
        <v>35758.89</v>
      </c>
      <c r="U113" s="64">
        <v>35761.9</v>
      </c>
      <c r="V113" s="64">
        <v>35764.910000000003</v>
      </c>
      <c r="W113" s="64">
        <v>35769.980000000003</v>
      </c>
      <c r="X113" s="64">
        <v>35781.39</v>
      </c>
      <c r="Y113" s="64">
        <v>35793.46</v>
      </c>
      <c r="Z113" s="64">
        <v>35808.550000000003</v>
      </c>
      <c r="AA113" s="64">
        <v>35828.699999999997</v>
      </c>
      <c r="AB113" s="64">
        <v>35848.85</v>
      </c>
      <c r="AC113" s="64">
        <v>35869.879999999997</v>
      </c>
      <c r="AD113" s="64">
        <v>35891.410000000003</v>
      </c>
      <c r="AE113" s="64">
        <v>35902.019999999997</v>
      </c>
      <c r="AF113" s="55"/>
      <c r="AG113" s="51">
        <f t="shared" si="4"/>
        <v>35902.019999999997</v>
      </c>
      <c r="AH113" s="44">
        <v>35423.910000000003</v>
      </c>
    </row>
    <row r="114" spans="1:34" x14ac:dyDescent="0.35">
      <c r="A114" s="26" t="s">
        <v>118</v>
      </c>
      <c r="B114" s="77">
        <v>27130.550000000028</v>
      </c>
      <c r="C114" s="64">
        <v>27152.210000000028</v>
      </c>
      <c r="D114" s="64">
        <v>27173.580000000027</v>
      </c>
      <c r="E114" s="64">
        <v>27193.690000000028</v>
      </c>
      <c r="F114" s="64">
        <v>27214.780000000028</v>
      </c>
      <c r="G114" s="64">
        <v>27233.370000000028</v>
      </c>
      <c r="H114" s="64">
        <v>27242.530000000028</v>
      </c>
      <c r="I114" s="64">
        <v>27263.830000000027</v>
      </c>
      <c r="J114" s="64">
        <v>27280.400000000027</v>
      </c>
      <c r="K114" s="64">
        <v>27302.140000000029</v>
      </c>
      <c r="L114" s="64">
        <v>27318.830000000027</v>
      </c>
      <c r="M114" s="64">
        <v>27318.830000000027</v>
      </c>
      <c r="N114" s="64">
        <v>27332.260000000028</v>
      </c>
      <c r="O114" s="64">
        <v>27353.600000000028</v>
      </c>
      <c r="P114" s="64">
        <v>27373.660000000029</v>
      </c>
      <c r="Q114" s="64">
        <v>27393.22</v>
      </c>
      <c r="R114" s="64">
        <v>27397.64</v>
      </c>
      <c r="S114" s="64">
        <v>27397.64</v>
      </c>
      <c r="T114" s="64">
        <v>27397.64</v>
      </c>
      <c r="U114" s="64">
        <v>27397.64</v>
      </c>
      <c r="V114" s="64">
        <v>27397.64</v>
      </c>
      <c r="W114" s="64">
        <v>27397.64</v>
      </c>
      <c r="X114" s="64">
        <v>27397.64</v>
      </c>
      <c r="Y114" s="64">
        <v>27418.68</v>
      </c>
      <c r="Z114" s="64">
        <v>27432.75</v>
      </c>
      <c r="AA114" s="64">
        <v>27446.26</v>
      </c>
      <c r="AB114" s="64">
        <v>27459.77</v>
      </c>
      <c r="AC114" s="64">
        <v>27481.41</v>
      </c>
      <c r="AD114" s="64">
        <v>27503</v>
      </c>
      <c r="AE114" s="64">
        <v>27523.26</v>
      </c>
      <c r="AF114" s="55"/>
      <c r="AG114" s="51">
        <f t="shared" si="4"/>
        <v>27523.26</v>
      </c>
      <c r="AH114" s="44">
        <v>27109.33</v>
      </c>
    </row>
    <row r="115" spans="1:34" x14ac:dyDescent="0.35">
      <c r="A115" s="26" t="s">
        <v>119</v>
      </c>
      <c r="B115" s="77">
        <v>26024.470000000012</v>
      </c>
      <c r="C115" s="64">
        <v>26042.760000000013</v>
      </c>
      <c r="D115" s="64">
        <v>26064.020000000011</v>
      </c>
      <c r="E115" s="64">
        <v>26085.200000000012</v>
      </c>
      <c r="F115" s="64">
        <v>26106.37000000001</v>
      </c>
      <c r="G115" s="64">
        <v>26126.94000000001</v>
      </c>
      <c r="H115" s="64">
        <v>26140.80000000001</v>
      </c>
      <c r="I115" s="64">
        <v>26158.100000000009</v>
      </c>
      <c r="J115" s="64">
        <v>26167.380000000008</v>
      </c>
      <c r="K115" s="64">
        <v>26187.100000000009</v>
      </c>
      <c r="L115" s="64">
        <v>26208.930000000011</v>
      </c>
      <c r="M115" s="64">
        <v>26230.740000000013</v>
      </c>
      <c r="N115" s="64">
        <v>26252.600000000013</v>
      </c>
      <c r="O115" s="64">
        <v>26273.140000000014</v>
      </c>
      <c r="P115" s="64">
        <v>26294.510000000013</v>
      </c>
      <c r="Q115" s="64">
        <v>26315.48</v>
      </c>
      <c r="R115" s="64">
        <v>26322.62</v>
      </c>
      <c r="S115" s="64">
        <v>26324.98</v>
      </c>
      <c r="T115" s="64">
        <v>26346.15</v>
      </c>
      <c r="U115" s="64">
        <v>26356.87</v>
      </c>
      <c r="V115" s="64">
        <v>26367.59</v>
      </c>
      <c r="W115" s="64">
        <v>26388.66</v>
      </c>
      <c r="X115" s="64">
        <v>26409.97</v>
      </c>
      <c r="Y115" s="64">
        <v>26429.93</v>
      </c>
      <c r="Z115" s="64">
        <v>26438.59</v>
      </c>
      <c r="AA115" s="64">
        <v>26459.4</v>
      </c>
      <c r="AB115" s="64">
        <v>26480.21</v>
      </c>
      <c r="AC115" s="64">
        <v>26501.66</v>
      </c>
      <c r="AD115" s="64">
        <v>26514.39</v>
      </c>
      <c r="AE115" s="64">
        <v>26514.39</v>
      </c>
      <c r="AF115" s="55"/>
      <c r="AG115" s="51">
        <f t="shared" si="4"/>
        <v>26514.39</v>
      </c>
      <c r="AH115" s="44">
        <v>26011.56</v>
      </c>
    </row>
    <row r="116" spans="1:34" x14ac:dyDescent="0.35">
      <c r="A116" s="26" t="s">
        <v>120</v>
      </c>
      <c r="B116" s="77">
        <v>25994.820000000029</v>
      </c>
      <c r="C116" s="64">
        <v>26016.820000000029</v>
      </c>
      <c r="D116" s="64">
        <v>26025.600000000028</v>
      </c>
      <c r="E116" s="64">
        <v>26040.890000000029</v>
      </c>
      <c r="F116" s="64">
        <v>26061.750000000029</v>
      </c>
      <c r="G116" s="64">
        <v>26081.77000000003</v>
      </c>
      <c r="H116" s="64">
        <v>26102.150000000031</v>
      </c>
      <c r="I116" s="64">
        <v>26121.330000000031</v>
      </c>
      <c r="J116" s="64">
        <v>26142.730000000032</v>
      </c>
      <c r="K116" s="64">
        <v>26145.250000000033</v>
      </c>
      <c r="L116" s="64">
        <v>26145.250000000033</v>
      </c>
      <c r="M116" s="64">
        <v>26145.250000000033</v>
      </c>
      <c r="N116" s="64">
        <v>26145.250000000033</v>
      </c>
      <c r="O116" s="64">
        <v>26145.250000000033</v>
      </c>
      <c r="P116" s="64">
        <v>26145.250000000033</v>
      </c>
      <c r="Q116" s="64">
        <v>26145.25</v>
      </c>
      <c r="R116" s="64">
        <v>26155.32</v>
      </c>
      <c r="S116" s="64">
        <v>26176.48</v>
      </c>
      <c r="T116" s="64">
        <v>26197.65</v>
      </c>
      <c r="U116" s="64">
        <v>26218.52</v>
      </c>
      <c r="V116" s="64">
        <v>26239.39</v>
      </c>
      <c r="W116" s="64">
        <v>26259.09</v>
      </c>
      <c r="X116" s="64">
        <v>26276.43</v>
      </c>
      <c r="Y116" s="64">
        <v>26289.35</v>
      </c>
      <c r="Z116" s="64">
        <v>26310.080000000002</v>
      </c>
      <c r="AA116" s="64">
        <v>26327.89</v>
      </c>
      <c r="AB116" s="64">
        <v>26345.7</v>
      </c>
      <c r="AC116" s="64">
        <v>26367.439999999999</v>
      </c>
      <c r="AD116" s="64">
        <v>26387.05</v>
      </c>
      <c r="AE116" s="64">
        <v>26407.45</v>
      </c>
      <c r="AF116" s="55"/>
      <c r="AG116" s="51">
        <f t="shared" si="4"/>
        <v>26407.45</v>
      </c>
      <c r="AH116" s="44">
        <v>25973.68</v>
      </c>
    </row>
    <row r="117" spans="1:34" x14ac:dyDescent="0.35">
      <c r="A117" s="26" t="s">
        <v>121</v>
      </c>
      <c r="B117" s="77">
        <v>25741.899999999987</v>
      </c>
      <c r="C117" s="64">
        <v>25744.289999999986</v>
      </c>
      <c r="D117" s="64">
        <v>25765.249999999985</v>
      </c>
      <c r="E117" s="64">
        <v>25786.619999999984</v>
      </c>
      <c r="F117" s="64">
        <v>25807.999999999985</v>
      </c>
      <c r="G117" s="64">
        <v>25829.199999999986</v>
      </c>
      <c r="H117" s="64">
        <v>25850.659999999985</v>
      </c>
      <c r="I117" s="64">
        <v>25871.879999999986</v>
      </c>
      <c r="J117" s="64">
        <v>25892.509999999987</v>
      </c>
      <c r="K117" s="64">
        <v>25913.289999999986</v>
      </c>
      <c r="L117" s="64">
        <v>25934.999999999985</v>
      </c>
      <c r="M117" s="64">
        <v>25946.059999999987</v>
      </c>
      <c r="N117" s="64">
        <v>25966.339999999986</v>
      </c>
      <c r="O117" s="64">
        <v>25966.339999999986</v>
      </c>
      <c r="P117" s="64">
        <v>25981.799999999985</v>
      </c>
      <c r="Q117" s="64">
        <v>26003.45</v>
      </c>
      <c r="R117" s="64">
        <v>26022.73</v>
      </c>
      <c r="S117" s="64">
        <v>26038.12</v>
      </c>
      <c r="T117" s="64">
        <v>26059.07</v>
      </c>
      <c r="U117" s="64">
        <v>26080.240000000002</v>
      </c>
      <c r="V117" s="64">
        <v>26101.41</v>
      </c>
      <c r="W117" s="64">
        <v>26122.38</v>
      </c>
      <c r="X117" s="64">
        <v>26140.98</v>
      </c>
      <c r="Y117" s="64">
        <v>26160.41</v>
      </c>
      <c r="Z117" s="64">
        <v>26177.4</v>
      </c>
      <c r="AA117" s="64">
        <v>26198.799999999999</v>
      </c>
      <c r="AB117" s="64">
        <v>26220.2</v>
      </c>
      <c r="AC117" s="64">
        <v>26241.84</v>
      </c>
      <c r="AD117" s="64">
        <v>26262.76</v>
      </c>
      <c r="AE117" s="64">
        <v>26284.07</v>
      </c>
      <c r="AF117" s="55"/>
      <c r="AG117" s="51">
        <f t="shared" si="4"/>
        <v>26284.07</v>
      </c>
      <c r="AH117" s="44">
        <v>25720.39</v>
      </c>
    </row>
    <row r="118" spans="1:34" x14ac:dyDescent="0.35">
      <c r="A118" s="26" t="s">
        <v>122</v>
      </c>
      <c r="B118" s="77">
        <v>7711.8799999999965</v>
      </c>
      <c r="C118" s="64">
        <v>7733.7999999999965</v>
      </c>
      <c r="D118" s="64">
        <v>7755.4299999999967</v>
      </c>
      <c r="E118" s="64">
        <v>7777.0399999999963</v>
      </c>
      <c r="F118" s="64">
        <v>7798.109999999996</v>
      </c>
      <c r="G118" s="64">
        <v>7815.0899999999956</v>
      </c>
      <c r="H118" s="64">
        <v>7835.4699999999957</v>
      </c>
      <c r="I118" s="64">
        <v>7857.0499999999956</v>
      </c>
      <c r="J118" s="64">
        <v>7878.0499999999956</v>
      </c>
      <c r="K118" s="64">
        <v>7899.4099999999953</v>
      </c>
      <c r="L118" s="64">
        <v>7908.3299999999954</v>
      </c>
      <c r="M118" s="64">
        <v>7928.1399999999958</v>
      </c>
      <c r="N118" s="64">
        <v>7945.2499999999955</v>
      </c>
      <c r="O118" s="64">
        <v>7966.1599999999953</v>
      </c>
      <c r="P118" s="64">
        <v>7987.3899999999949</v>
      </c>
      <c r="Q118" s="64">
        <v>8008.02</v>
      </c>
      <c r="R118" s="64">
        <v>8027.87</v>
      </c>
      <c r="S118" s="64">
        <v>8048.83</v>
      </c>
      <c r="T118" s="64">
        <v>8070.45</v>
      </c>
      <c r="U118" s="64">
        <v>8091.52</v>
      </c>
      <c r="V118" s="64">
        <v>8112.59</v>
      </c>
      <c r="W118" s="64">
        <v>8133.76</v>
      </c>
      <c r="X118" s="64">
        <v>8155.11</v>
      </c>
      <c r="Y118" s="64">
        <v>8176.67</v>
      </c>
      <c r="Z118" s="64">
        <v>8193.7900000000009</v>
      </c>
      <c r="AA118" s="64">
        <v>8205.4599999999991</v>
      </c>
      <c r="AB118" s="64">
        <v>8217.1299999999992</v>
      </c>
      <c r="AC118" s="64">
        <v>8230.16</v>
      </c>
      <c r="AD118" s="64">
        <v>8251.57</v>
      </c>
      <c r="AE118" s="64">
        <v>8272.73</v>
      </c>
      <c r="AF118" s="55"/>
      <c r="AG118" s="51">
        <f t="shared" si="4"/>
        <v>8272.73</v>
      </c>
      <c r="AH118" s="44">
        <v>7689.99</v>
      </c>
    </row>
    <row r="119" spans="1:34" x14ac:dyDescent="0.35">
      <c r="A119" s="26" t="s">
        <v>123</v>
      </c>
      <c r="B119" s="77">
        <v>8100.2700000000032</v>
      </c>
      <c r="C119" s="64">
        <v>8122.0500000000029</v>
      </c>
      <c r="D119" s="64">
        <v>8143.8100000000031</v>
      </c>
      <c r="E119" s="64">
        <v>8165.4900000000034</v>
      </c>
      <c r="F119" s="64">
        <v>8178.2900000000036</v>
      </c>
      <c r="G119" s="64">
        <v>8196.9100000000035</v>
      </c>
      <c r="H119" s="64">
        <v>8207.5700000000033</v>
      </c>
      <c r="I119" s="64">
        <v>8226.2300000000032</v>
      </c>
      <c r="J119" s="64">
        <v>8232.9900000000034</v>
      </c>
      <c r="K119" s="64">
        <v>8232.9900000000034</v>
      </c>
      <c r="L119" s="64">
        <v>8243.6400000000031</v>
      </c>
      <c r="M119" s="64">
        <v>8264.9600000000028</v>
      </c>
      <c r="N119" s="64">
        <v>8270.5500000000029</v>
      </c>
      <c r="O119" s="64">
        <v>8292.0200000000023</v>
      </c>
      <c r="P119" s="64">
        <v>8312.9200000000019</v>
      </c>
      <c r="Q119" s="64">
        <v>8333.66</v>
      </c>
      <c r="R119" s="64">
        <v>8354.1200000000008</v>
      </c>
      <c r="S119" s="64">
        <v>8375.7800000000007</v>
      </c>
      <c r="T119" s="64">
        <v>8389.49</v>
      </c>
      <c r="U119" s="64">
        <v>8410.67</v>
      </c>
      <c r="V119" s="64">
        <v>8431.85</v>
      </c>
      <c r="W119" s="64">
        <v>8453.1</v>
      </c>
      <c r="X119" s="64">
        <v>8472.9500000000007</v>
      </c>
      <c r="Y119" s="64">
        <v>8492.83</v>
      </c>
      <c r="Z119" s="64">
        <v>8513.8799999999992</v>
      </c>
      <c r="AA119" s="64">
        <v>8527.4599999999991</v>
      </c>
      <c r="AB119" s="64">
        <v>8541.0400000000009</v>
      </c>
      <c r="AC119" s="64">
        <v>8562.77</v>
      </c>
      <c r="AD119" s="64">
        <v>8584.41</v>
      </c>
      <c r="AE119" s="64">
        <v>8606.2199999999993</v>
      </c>
      <c r="AF119" s="55"/>
      <c r="AG119" s="51">
        <f t="shared" si="4"/>
        <v>8606.2199999999993</v>
      </c>
      <c r="AH119" s="44">
        <v>8078.5</v>
      </c>
    </row>
    <row r="120" spans="1:34" x14ac:dyDescent="0.35">
      <c r="A120" s="26" t="s">
        <v>124</v>
      </c>
      <c r="B120" s="77">
        <v>7498.2899999999909</v>
      </c>
      <c r="C120" s="64">
        <v>7498.2899999999909</v>
      </c>
      <c r="D120" s="64">
        <v>7519.2799999999907</v>
      </c>
      <c r="E120" s="64">
        <v>7540.7299999999905</v>
      </c>
      <c r="F120" s="64">
        <v>7562.1399999999903</v>
      </c>
      <c r="G120" s="64">
        <v>7583.1199999999899</v>
      </c>
      <c r="H120" s="64">
        <v>7604.70999999999</v>
      </c>
      <c r="I120" s="64">
        <v>7625.6399999999903</v>
      </c>
      <c r="J120" s="64">
        <v>7646.1599999999908</v>
      </c>
      <c r="K120" s="64">
        <v>7667.2699999999904</v>
      </c>
      <c r="L120" s="64">
        <v>7688.3399999999901</v>
      </c>
      <c r="M120" s="64">
        <v>7706.3399999999901</v>
      </c>
      <c r="N120" s="64">
        <v>7727.6999999999898</v>
      </c>
      <c r="O120" s="64">
        <v>7748.7399999999898</v>
      </c>
      <c r="P120" s="64">
        <v>7769.9699999999893</v>
      </c>
      <c r="Q120" s="64">
        <v>7791.31</v>
      </c>
      <c r="R120" s="64">
        <v>7812.58</v>
      </c>
      <c r="S120" s="64">
        <v>7833.64</v>
      </c>
      <c r="T120" s="64">
        <v>7852</v>
      </c>
      <c r="U120" s="64">
        <v>7871.42</v>
      </c>
      <c r="V120" s="64">
        <v>7890.84</v>
      </c>
      <c r="W120" s="64">
        <v>7900.91</v>
      </c>
      <c r="X120" s="64">
        <v>7900.91</v>
      </c>
      <c r="Y120" s="64">
        <v>7915.53</v>
      </c>
      <c r="Z120" s="64">
        <v>7935.78</v>
      </c>
      <c r="AA120" s="64">
        <v>7952.62</v>
      </c>
      <c r="AB120" s="64">
        <v>7969.46</v>
      </c>
      <c r="AC120" s="64">
        <v>7972.68</v>
      </c>
      <c r="AD120" s="64">
        <v>7982.1</v>
      </c>
      <c r="AE120" s="64">
        <v>8003.88</v>
      </c>
      <c r="AF120" s="55"/>
      <c r="AG120" s="51">
        <f t="shared" si="4"/>
        <v>8003.88</v>
      </c>
      <c r="AH120" s="44">
        <v>7480.61</v>
      </c>
    </row>
    <row r="121" spans="1:34" x14ac:dyDescent="0.35">
      <c r="A121" s="26" t="s">
        <v>125</v>
      </c>
      <c r="B121" s="77">
        <v>5939.9500000000016</v>
      </c>
      <c r="C121" s="64">
        <v>5961.5700000000015</v>
      </c>
      <c r="D121" s="64">
        <v>5982.9400000000014</v>
      </c>
      <c r="E121" s="64">
        <v>5992.0000000000018</v>
      </c>
      <c r="F121" s="64">
        <v>6012.9100000000017</v>
      </c>
      <c r="G121" s="64">
        <v>6032.5800000000017</v>
      </c>
      <c r="H121" s="64">
        <v>6054.1300000000019</v>
      </c>
      <c r="I121" s="64">
        <v>6075.4700000000021</v>
      </c>
      <c r="J121" s="64">
        <v>6095.6000000000022</v>
      </c>
      <c r="K121" s="64">
        <v>6111.1900000000023</v>
      </c>
      <c r="L121" s="64">
        <v>6133.0300000000025</v>
      </c>
      <c r="M121" s="64">
        <v>6154.3100000000022</v>
      </c>
      <c r="N121" s="64">
        <v>6170.9400000000023</v>
      </c>
      <c r="O121" s="64">
        <v>6193.2100000000028</v>
      </c>
      <c r="P121" s="64">
        <v>6215.0500000000029</v>
      </c>
      <c r="Q121" s="64">
        <v>6236.79</v>
      </c>
      <c r="R121" s="64">
        <v>6257.35</v>
      </c>
      <c r="S121" s="64">
        <v>6271.15</v>
      </c>
      <c r="T121" s="64">
        <v>6292.52</v>
      </c>
      <c r="U121" s="64">
        <v>6299.43</v>
      </c>
      <c r="V121" s="64">
        <v>6306.34</v>
      </c>
      <c r="W121" s="64">
        <v>6320.1</v>
      </c>
      <c r="X121" s="64">
        <v>6325.7</v>
      </c>
      <c r="Y121" s="64">
        <v>6347.58</v>
      </c>
      <c r="Z121" s="64">
        <v>6365.44</v>
      </c>
      <c r="AA121" s="64">
        <v>6375.06</v>
      </c>
      <c r="AB121" s="64">
        <v>6384.68</v>
      </c>
      <c r="AC121" s="64">
        <v>6406.39</v>
      </c>
      <c r="AD121" s="64">
        <v>6428.23</v>
      </c>
      <c r="AE121" s="64">
        <v>6448.5</v>
      </c>
      <c r="AF121" s="55"/>
      <c r="AG121" s="51">
        <f t="shared" si="4"/>
        <v>6448.5</v>
      </c>
      <c r="AH121" s="44">
        <v>5918.33</v>
      </c>
    </row>
    <row r="122" spans="1:34" x14ac:dyDescent="0.35">
      <c r="A122" s="26" t="s">
        <v>126</v>
      </c>
      <c r="B122" s="77">
        <v>7003.8599999999979</v>
      </c>
      <c r="C122" s="64">
        <v>7018.1499999999978</v>
      </c>
      <c r="D122" s="64">
        <v>7024.3299999999981</v>
      </c>
      <c r="E122" s="64">
        <v>7045.5499999999984</v>
      </c>
      <c r="F122" s="64">
        <v>7066.1499999999987</v>
      </c>
      <c r="G122" s="64">
        <v>7087.6299999999983</v>
      </c>
      <c r="H122" s="64">
        <v>7104.8799999999983</v>
      </c>
      <c r="I122" s="64">
        <v>7104.8799999999983</v>
      </c>
      <c r="J122" s="64">
        <v>7116.9299999999985</v>
      </c>
      <c r="K122" s="64">
        <v>7138.2099999999982</v>
      </c>
      <c r="L122" s="64">
        <v>7152.449999999998</v>
      </c>
      <c r="M122" s="64">
        <v>7172.2599999999984</v>
      </c>
      <c r="N122" s="64">
        <v>7192.4399999999987</v>
      </c>
      <c r="O122" s="64">
        <v>7213.9199999999983</v>
      </c>
      <c r="P122" s="64">
        <v>7235.5099999999984</v>
      </c>
      <c r="Q122" s="64">
        <v>7236.15</v>
      </c>
      <c r="R122" s="64">
        <v>7255.2</v>
      </c>
      <c r="S122" s="64">
        <v>7271.02</v>
      </c>
      <c r="T122" s="64">
        <v>7290.85</v>
      </c>
      <c r="U122" s="64">
        <v>7311.87</v>
      </c>
      <c r="V122" s="64">
        <v>7332.89</v>
      </c>
      <c r="W122" s="64">
        <v>7353.8</v>
      </c>
      <c r="X122" s="64">
        <v>7372.28</v>
      </c>
      <c r="Y122" s="64">
        <v>7393.14</v>
      </c>
      <c r="Z122" s="64">
        <v>7411.11</v>
      </c>
      <c r="AA122" s="64">
        <v>7433.27</v>
      </c>
      <c r="AB122" s="64">
        <v>7455.43</v>
      </c>
      <c r="AC122" s="64">
        <v>7476.83</v>
      </c>
      <c r="AD122" s="64">
        <v>7498.55</v>
      </c>
      <c r="AE122" s="64">
        <v>7520.46</v>
      </c>
      <c r="AF122" s="55"/>
      <c r="AG122" s="51">
        <f t="shared" si="4"/>
        <v>7520.46</v>
      </c>
      <c r="AH122" s="44">
        <v>6982.47</v>
      </c>
    </row>
    <row r="123" spans="1:34" x14ac:dyDescent="0.35">
      <c r="A123" s="26" t="s">
        <v>127</v>
      </c>
      <c r="B123" s="77">
        <v>7190.32</v>
      </c>
      <c r="C123" s="64">
        <v>7210.09</v>
      </c>
      <c r="D123" s="64">
        <v>7230.2</v>
      </c>
      <c r="E123" s="64">
        <v>7251.74</v>
      </c>
      <c r="F123" s="64">
        <v>7272.94</v>
      </c>
      <c r="G123" s="64">
        <v>7294.0599999999995</v>
      </c>
      <c r="H123" s="64">
        <v>7315.1799999999994</v>
      </c>
      <c r="I123" s="64">
        <v>7336.9099999999989</v>
      </c>
      <c r="J123" s="64">
        <v>7357.5699999999988</v>
      </c>
      <c r="K123" s="64">
        <v>7379.2099999999991</v>
      </c>
      <c r="L123" s="64">
        <v>7397.6399999999994</v>
      </c>
      <c r="M123" s="64">
        <v>7419.11</v>
      </c>
      <c r="N123" s="64">
        <v>7440.5599999999995</v>
      </c>
      <c r="O123" s="64">
        <v>7461.19</v>
      </c>
      <c r="P123" s="64">
        <v>7479.54</v>
      </c>
      <c r="Q123" s="64">
        <v>7501.27</v>
      </c>
      <c r="R123" s="64">
        <v>7513.3</v>
      </c>
      <c r="S123" s="64">
        <v>7531.94</v>
      </c>
      <c r="T123" s="64">
        <v>7552.91</v>
      </c>
      <c r="U123" s="64">
        <v>7573.4</v>
      </c>
      <c r="V123" s="64">
        <v>7593.89</v>
      </c>
      <c r="W123" s="64">
        <v>7614.74</v>
      </c>
      <c r="X123" s="64">
        <v>7636.15</v>
      </c>
      <c r="Y123" s="64">
        <v>7657.57</v>
      </c>
      <c r="Z123" s="64">
        <v>7678.34</v>
      </c>
      <c r="AA123" s="64">
        <v>7700.07</v>
      </c>
      <c r="AB123" s="64">
        <v>7721.8</v>
      </c>
      <c r="AC123" s="64">
        <v>7733.76</v>
      </c>
      <c r="AD123" s="64">
        <v>7749.02</v>
      </c>
      <c r="AE123" s="64">
        <v>7769.65</v>
      </c>
      <c r="AF123" s="55"/>
      <c r="AG123" s="51">
        <f t="shared" si="4"/>
        <v>7769.65</v>
      </c>
      <c r="AH123" s="44">
        <v>7178.61</v>
      </c>
    </row>
    <row r="124" spans="1:34" ht="15" thickBot="1" x14ac:dyDescent="0.4">
      <c r="A124" s="36" t="s">
        <v>128</v>
      </c>
      <c r="B124" s="230">
        <v>6971.2799999999943</v>
      </c>
      <c r="C124" s="226">
        <v>6976.4699999999939</v>
      </c>
      <c r="D124" s="226">
        <v>6997.7799999999943</v>
      </c>
      <c r="E124" s="226">
        <v>7018.9899999999943</v>
      </c>
      <c r="F124" s="226">
        <v>7039.849999999994</v>
      </c>
      <c r="G124" s="226">
        <v>7060.809999999994</v>
      </c>
      <c r="H124" s="226">
        <v>7082.0799999999945</v>
      </c>
      <c r="I124" s="226">
        <v>7102.0099999999948</v>
      </c>
      <c r="J124" s="226">
        <v>7115.1899999999951</v>
      </c>
      <c r="K124" s="226">
        <v>7136.7499999999955</v>
      </c>
      <c r="L124" s="226">
        <v>7158.1299999999956</v>
      </c>
      <c r="M124" s="226">
        <v>7179.5399999999954</v>
      </c>
      <c r="N124" s="226">
        <v>7200.9099999999953</v>
      </c>
      <c r="O124" s="226">
        <v>7222.5599999999949</v>
      </c>
      <c r="P124" s="226">
        <v>7244.0399999999945</v>
      </c>
      <c r="Q124" s="226">
        <v>7265.44</v>
      </c>
      <c r="R124" s="226">
        <v>7285.94</v>
      </c>
      <c r="S124" s="226">
        <v>7306.1</v>
      </c>
      <c r="T124" s="226">
        <v>7328.22</v>
      </c>
      <c r="U124" s="226">
        <v>7349.71</v>
      </c>
      <c r="V124" s="226">
        <v>7371.2</v>
      </c>
      <c r="W124" s="226">
        <v>7389.16</v>
      </c>
      <c r="X124" s="226">
        <v>7409.72</v>
      </c>
      <c r="Y124" s="226">
        <v>7430.92</v>
      </c>
      <c r="Z124" s="226">
        <v>7451.69</v>
      </c>
      <c r="AA124" s="226">
        <v>7473.28</v>
      </c>
      <c r="AB124" s="226">
        <v>7494.87</v>
      </c>
      <c r="AC124" s="226">
        <v>7512.46</v>
      </c>
      <c r="AD124" s="226">
        <v>7512.46</v>
      </c>
      <c r="AE124" s="226">
        <v>7533.77</v>
      </c>
      <c r="AF124" s="231"/>
      <c r="AG124" s="52">
        <f t="shared" si="4"/>
        <v>7533.77</v>
      </c>
      <c r="AH124" s="44">
        <v>6971.28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45536</v>
      </c>
      <c r="C126" s="46">
        <v>45537</v>
      </c>
      <c r="D126" s="46">
        <v>45538</v>
      </c>
      <c r="E126" s="46">
        <v>45539</v>
      </c>
      <c r="F126" s="46">
        <v>45540</v>
      </c>
      <c r="G126" s="46">
        <v>45541</v>
      </c>
      <c r="H126" s="46">
        <v>45542</v>
      </c>
      <c r="I126" s="46">
        <v>45543</v>
      </c>
      <c r="J126" s="46">
        <v>45544</v>
      </c>
      <c r="K126" s="46">
        <v>45545</v>
      </c>
      <c r="L126" s="46">
        <v>45546</v>
      </c>
      <c r="M126" s="46">
        <v>45547</v>
      </c>
      <c r="N126" s="46">
        <v>45548</v>
      </c>
      <c r="O126" s="46">
        <v>45549</v>
      </c>
      <c r="P126" s="46">
        <v>45550</v>
      </c>
      <c r="Q126" s="46">
        <v>45551</v>
      </c>
      <c r="R126" s="46">
        <v>45552</v>
      </c>
      <c r="S126" s="46">
        <v>45553</v>
      </c>
      <c r="T126" s="46">
        <v>45554</v>
      </c>
      <c r="U126" s="46">
        <v>45555</v>
      </c>
      <c r="V126" s="46">
        <v>45556</v>
      </c>
      <c r="W126" s="46">
        <v>45557</v>
      </c>
      <c r="X126" s="46">
        <v>45558</v>
      </c>
      <c r="Y126" s="46">
        <v>45559</v>
      </c>
      <c r="Z126" s="46">
        <v>45560</v>
      </c>
      <c r="AA126" s="46">
        <v>45561</v>
      </c>
      <c r="AB126" s="46">
        <v>45562</v>
      </c>
      <c r="AC126" s="46">
        <v>45563</v>
      </c>
      <c r="AD126" s="46">
        <v>45564</v>
      </c>
      <c r="AE126" s="46">
        <v>45565</v>
      </c>
      <c r="AF126" s="46"/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77">
        <v>87652.000000000015</v>
      </c>
      <c r="C127" s="64">
        <v>87652.000000000015</v>
      </c>
      <c r="D127" s="64">
        <v>87652.000000000015</v>
      </c>
      <c r="E127" s="64">
        <v>87652.000000000015</v>
      </c>
      <c r="F127" s="64">
        <v>87652.000000000015</v>
      </c>
      <c r="G127" s="64">
        <v>87652.000000000015</v>
      </c>
      <c r="H127" s="64">
        <v>87652.000000000015</v>
      </c>
      <c r="I127" s="64">
        <v>87652.000000000015</v>
      </c>
      <c r="J127" s="64">
        <v>87652.000000000015</v>
      </c>
      <c r="K127" s="64">
        <v>87652.000000000015</v>
      </c>
      <c r="L127" s="64">
        <v>87652.000000000015</v>
      </c>
      <c r="M127" s="64">
        <v>87652.000000000015</v>
      </c>
      <c r="N127" s="64">
        <v>87687.4</v>
      </c>
      <c r="O127" s="64">
        <v>87687.4</v>
      </c>
      <c r="P127" s="64">
        <v>87687.4</v>
      </c>
      <c r="Q127" s="64">
        <v>87687.4</v>
      </c>
      <c r="R127" s="64">
        <v>87687.4</v>
      </c>
      <c r="S127" s="64">
        <v>87687.4</v>
      </c>
      <c r="T127" s="64">
        <v>87687.4</v>
      </c>
      <c r="U127" s="64">
        <v>87687.4</v>
      </c>
      <c r="V127" s="64">
        <v>87687.4</v>
      </c>
      <c r="W127" s="64">
        <v>87687.4</v>
      </c>
      <c r="X127" s="64">
        <v>87687.4</v>
      </c>
      <c r="Y127" s="64">
        <v>87702.720000000001</v>
      </c>
      <c r="Z127" s="64">
        <v>87704.19</v>
      </c>
      <c r="AA127" s="64">
        <v>87704.19</v>
      </c>
      <c r="AB127" s="64">
        <v>87704.19</v>
      </c>
      <c r="AC127" s="64">
        <v>87704.19</v>
      </c>
      <c r="AD127" s="64">
        <v>87704.19</v>
      </c>
      <c r="AE127" s="64">
        <v>87704.19</v>
      </c>
      <c r="AF127" s="55"/>
      <c r="AG127" s="91">
        <f t="shared" ref="AG127:AG163" si="5">MAX(B127:AF127)</f>
        <v>87704.19</v>
      </c>
      <c r="AH127" s="44">
        <v>87652</v>
      </c>
    </row>
    <row r="128" spans="1:34" x14ac:dyDescent="0.35">
      <c r="A128" s="40" t="s">
        <v>297</v>
      </c>
      <c r="B128" s="228">
        <v>112922.26</v>
      </c>
      <c r="C128" s="221">
        <v>112922.26</v>
      </c>
      <c r="D128" s="221">
        <v>112922.26</v>
      </c>
      <c r="E128" s="221">
        <v>112922.26</v>
      </c>
      <c r="F128" s="221">
        <v>112922.26</v>
      </c>
      <c r="G128" s="221">
        <v>112922.26</v>
      </c>
      <c r="H128" s="221">
        <v>112922.26</v>
      </c>
      <c r="I128" s="221">
        <v>112922.26</v>
      </c>
      <c r="J128" s="221">
        <v>112922.26</v>
      </c>
      <c r="K128" s="221">
        <v>112922.26</v>
      </c>
      <c r="L128" s="221">
        <v>112922.26</v>
      </c>
      <c r="M128" s="221">
        <v>112922.26</v>
      </c>
      <c r="N128" s="221">
        <v>112975.8</v>
      </c>
      <c r="O128" s="221">
        <v>112975.8</v>
      </c>
      <c r="P128" s="221">
        <v>112975.8</v>
      </c>
      <c r="Q128" s="221">
        <v>112982.98</v>
      </c>
      <c r="R128" s="221">
        <v>113006.98</v>
      </c>
      <c r="S128" s="221">
        <v>113006.98</v>
      </c>
      <c r="T128" s="221">
        <v>113006.98</v>
      </c>
      <c r="U128" s="221">
        <v>113006.98</v>
      </c>
      <c r="V128" s="221">
        <v>113006.98</v>
      </c>
      <c r="W128" s="221">
        <v>113006.98</v>
      </c>
      <c r="X128" s="221">
        <v>113008.64</v>
      </c>
      <c r="Y128" s="221">
        <v>113008.64</v>
      </c>
      <c r="Z128" s="221">
        <v>113023.86</v>
      </c>
      <c r="AA128" s="221">
        <v>113039.33</v>
      </c>
      <c r="AB128" s="221">
        <v>113054.8</v>
      </c>
      <c r="AC128" s="221">
        <v>113078.8</v>
      </c>
      <c r="AD128" s="221">
        <v>113083.93</v>
      </c>
      <c r="AE128" s="221">
        <v>113090.22</v>
      </c>
      <c r="AF128" s="229"/>
      <c r="AG128" s="51">
        <f t="shared" si="5"/>
        <v>113090.22</v>
      </c>
      <c r="AH128" s="44">
        <v>112271.3</v>
      </c>
    </row>
    <row r="129" spans="1:34" x14ac:dyDescent="0.35">
      <c r="A129" s="27" t="s">
        <v>271</v>
      </c>
      <c r="B129" s="39">
        <v>104751.3</v>
      </c>
      <c r="C129" s="64">
        <v>104751.3</v>
      </c>
      <c r="D129" s="64">
        <v>104751.3</v>
      </c>
      <c r="E129" s="64">
        <v>104751.3</v>
      </c>
      <c r="F129" s="64">
        <v>104751.3</v>
      </c>
      <c r="G129" s="64">
        <v>104751.3</v>
      </c>
      <c r="H129" s="64">
        <v>104751.3</v>
      </c>
      <c r="I129" s="64">
        <v>104751.3</v>
      </c>
      <c r="J129" s="64">
        <v>104751.3</v>
      </c>
      <c r="K129" s="64">
        <v>104751.3</v>
      </c>
      <c r="L129" s="64">
        <v>104751.3</v>
      </c>
      <c r="M129" s="64">
        <v>104751.3</v>
      </c>
      <c r="N129" s="64">
        <v>104963.7</v>
      </c>
      <c r="O129" s="64">
        <v>104963.7</v>
      </c>
      <c r="P129" s="64">
        <v>104963.7</v>
      </c>
      <c r="Q129" s="64">
        <v>104963.7</v>
      </c>
      <c r="R129" s="64">
        <v>105235.65</v>
      </c>
      <c r="S129" s="64">
        <v>105235.65</v>
      </c>
      <c r="T129" s="64">
        <v>105235.65</v>
      </c>
      <c r="U129" s="64">
        <v>105235.65</v>
      </c>
      <c r="V129" s="64">
        <v>105235.65</v>
      </c>
      <c r="W129" s="64">
        <v>105235.65</v>
      </c>
      <c r="X129" s="64">
        <v>105235.65</v>
      </c>
      <c r="Y129" s="64">
        <v>105235.65</v>
      </c>
      <c r="Z129" s="64">
        <v>105235.65</v>
      </c>
      <c r="AA129" s="64">
        <v>105235.65</v>
      </c>
      <c r="AB129" s="64">
        <v>105235.65</v>
      </c>
      <c r="AC129" s="64">
        <v>105235.65</v>
      </c>
      <c r="AD129" s="64">
        <v>105235.65</v>
      </c>
      <c r="AE129" s="64">
        <v>105235.65</v>
      </c>
      <c r="AF129" s="55"/>
      <c r="AG129" s="91">
        <f t="shared" si="5"/>
        <v>105235.65</v>
      </c>
      <c r="AH129" s="44">
        <v>104751.3</v>
      </c>
    </row>
    <row r="130" spans="1:34" x14ac:dyDescent="0.35">
      <c r="A130" s="27" t="s">
        <v>274</v>
      </c>
      <c r="B130" s="64">
        <v>102824.7</v>
      </c>
      <c r="C130" s="64">
        <v>102824.7</v>
      </c>
      <c r="D130" s="64">
        <v>102824.7</v>
      </c>
      <c r="E130" s="64">
        <v>102824.7</v>
      </c>
      <c r="F130" s="64">
        <v>102824.7</v>
      </c>
      <c r="G130" s="64">
        <v>102824.7</v>
      </c>
      <c r="H130" s="64">
        <v>102824.7</v>
      </c>
      <c r="I130" s="64">
        <v>102824.7</v>
      </c>
      <c r="J130" s="64">
        <v>102824.7</v>
      </c>
      <c r="K130" s="64">
        <v>102824.7</v>
      </c>
      <c r="L130" s="64">
        <v>102824.7</v>
      </c>
      <c r="M130" s="64">
        <v>102824.7</v>
      </c>
      <c r="N130" s="64">
        <v>102824.7</v>
      </c>
      <c r="O130" s="64">
        <v>102824.7</v>
      </c>
      <c r="P130" s="64">
        <v>102824.7</v>
      </c>
      <c r="Q130" s="64">
        <v>102824.7</v>
      </c>
      <c r="R130" s="64">
        <v>102824.7</v>
      </c>
      <c r="S130" s="64">
        <v>102824.7</v>
      </c>
      <c r="T130" s="64">
        <v>102824.7</v>
      </c>
      <c r="U130" s="64">
        <v>102824.7</v>
      </c>
      <c r="V130" s="64">
        <v>102824.7</v>
      </c>
      <c r="W130" s="64">
        <v>102824.7</v>
      </c>
      <c r="X130" s="64">
        <v>102827.87</v>
      </c>
      <c r="Y130" s="64">
        <v>102845.41</v>
      </c>
      <c r="Z130" s="64">
        <v>102869.41</v>
      </c>
      <c r="AA130" s="64">
        <v>102893.41</v>
      </c>
      <c r="AB130" s="64">
        <v>102917.41</v>
      </c>
      <c r="AC130" s="64">
        <v>102917.41</v>
      </c>
      <c r="AD130" s="64">
        <v>102917.41</v>
      </c>
      <c r="AE130" s="64">
        <v>102917.41</v>
      </c>
      <c r="AF130" s="55"/>
      <c r="AG130" s="91">
        <f t="shared" si="5"/>
        <v>102917.41</v>
      </c>
      <c r="AH130" s="44">
        <v>102835</v>
      </c>
    </row>
    <row r="131" spans="1:34" x14ac:dyDescent="0.35">
      <c r="A131" s="27" t="s">
        <v>272</v>
      </c>
      <c r="B131" s="77">
        <v>102062.38999999998</v>
      </c>
      <c r="C131" s="77">
        <v>102062.38999999998</v>
      </c>
      <c r="D131" s="77">
        <v>102062.38999999998</v>
      </c>
      <c r="E131" s="77">
        <v>102062.38999999998</v>
      </c>
      <c r="F131" s="77">
        <v>102062.38999999998</v>
      </c>
      <c r="G131" s="77">
        <v>102062.38999999998</v>
      </c>
      <c r="H131" s="77">
        <v>102062.38999999998</v>
      </c>
      <c r="I131" s="77">
        <v>102062.38999999998</v>
      </c>
      <c r="J131" s="77">
        <v>102062.38999999998</v>
      </c>
      <c r="K131" s="77">
        <v>102062.38999999998</v>
      </c>
      <c r="L131" s="77">
        <v>102062.38999999998</v>
      </c>
      <c r="M131" s="77">
        <v>102062.38999999998</v>
      </c>
      <c r="N131" s="77">
        <v>102145</v>
      </c>
      <c r="O131" s="77">
        <v>102145</v>
      </c>
      <c r="P131" s="77">
        <v>102145</v>
      </c>
      <c r="Q131" s="77">
        <v>102162.55</v>
      </c>
      <c r="R131" s="77">
        <v>102167.2</v>
      </c>
      <c r="S131" s="77">
        <v>102167.2</v>
      </c>
      <c r="T131" s="77">
        <v>102167.2</v>
      </c>
      <c r="U131" s="77">
        <v>102167.2</v>
      </c>
      <c r="V131" s="77">
        <v>102167.2</v>
      </c>
      <c r="W131" s="77">
        <v>102167.2</v>
      </c>
      <c r="X131" s="77">
        <v>102167.2</v>
      </c>
      <c r="Y131" s="77">
        <v>102178.99</v>
      </c>
      <c r="Z131" s="77">
        <v>102189.99</v>
      </c>
      <c r="AA131" s="77">
        <v>102200.39</v>
      </c>
      <c r="AB131" s="77">
        <v>102210.79</v>
      </c>
      <c r="AC131" s="77">
        <v>102210.79</v>
      </c>
      <c r="AD131" s="77">
        <v>102222.76</v>
      </c>
      <c r="AE131" s="77">
        <v>102246.76</v>
      </c>
      <c r="AF131" s="64"/>
      <c r="AG131" s="91">
        <f t="shared" si="5"/>
        <v>102246.76</v>
      </c>
      <c r="AH131" s="44">
        <v>102062.39</v>
      </c>
    </row>
    <row r="132" spans="1:34" x14ac:dyDescent="0.35">
      <c r="A132" s="27" t="s">
        <v>285</v>
      </c>
      <c r="B132" s="77">
        <v>101476.09999999999</v>
      </c>
      <c r="C132" s="64">
        <v>101476.09999999999</v>
      </c>
      <c r="D132" s="64">
        <v>101476.09999999999</v>
      </c>
      <c r="E132" s="64">
        <v>101476.09999999999</v>
      </c>
      <c r="F132" s="64">
        <v>101476.09999999999</v>
      </c>
      <c r="G132" s="64">
        <v>101476.09999999999</v>
      </c>
      <c r="H132" s="64">
        <v>101476.09999999999</v>
      </c>
      <c r="I132" s="64">
        <v>101476.09999999999</v>
      </c>
      <c r="J132" s="64">
        <v>101476.09999999999</v>
      </c>
      <c r="K132" s="64">
        <v>101476.09999999999</v>
      </c>
      <c r="L132" s="64">
        <v>101476.09999999999</v>
      </c>
      <c r="M132" s="64">
        <v>101476.09999999999</v>
      </c>
      <c r="N132" s="64">
        <v>101476.4</v>
      </c>
      <c r="O132" s="64">
        <v>101476.4</v>
      </c>
      <c r="P132" s="64">
        <v>101476.4</v>
      </c>
      <c r="Q132" s="64">
        <v>101476.1</v>
      </c>
      <c r="R132" s="64">
        <v>101476.1</v>
      </c>
      <c r="S132" s="64">
        <v>101476.1</v>
      </c>
      <c r="T132" s="64">
        <v>101476.1</v>
      </c>
      <c r="U132" s="64">
        <v>101476.1</v>
      </c>
      <c r="V132" s="64">
        <v>101476.1</v>
      </c>
      <c r="W132" s="64">
        <v>101476.1</v>
      </c>
      <c r="X132" s="64">
        <v>101476.1</v>
      </c>
      <c r="Y132" s="64">
        <v>101476.1</v>
      </c>
      <c r="Z132" s="64">
        <v>101476.1</v>
      </c>
      <c r="AA132" s="64">
        <v>101476.1</v>
      </c>
      <c r="AB132" s="64">
        <v>101476.1</v>
      </c>
      <c r="AC132" s="64">
        <v>101476.1</v>
      </c>
      <c r="AD132" s="64">
        <v>101476.1</v>
      </c>
      <c r="AE132" s="64">
        <v>101476.1</v>
      </c>
      <c r="AF132" s="55"/>
      <c r="AG132" s="91">
        <f t="shared" si="5"/>
        <v>101476.4</v>
      </c>
      <c r="AH132" s="44">
        <v>101476.1</v>
      </c>
    </row>
    <row r="133" spans="1:34" x14ac:dyDescent="0.35">
      <c r="A133" s="27" t="s">
        <v>306</v>
      </c>
      <c r="B133" s="64">
        <v>100000</v>
      </c>
      <c r="C133" s="64">
        <v>100000</v>
      </c>
      <c r="D133" s="64">
        <v>100000</v>
      </c>
      <c r="E133" s="64">
        <v>100000</v>
      </c>
      <c r="F133" s="64">
        <v>100000</v>
      </c>
      <c r="G133" s="64">
        <v>100000</v>
      </c>
      <c r="H133" s="64">
        <v>100000</v>
      </c>
      <c r="I133" s="64">
        <v>100000</v>
      </c>
      <c r="J133" s="64">
        <v>100000</v>
      </c>
      <c r="K133" s="64">
        <v>100000</v>
      </c>
      <c r="L133" s="64">
        <v>100000</v>
      </c>
      <c r="M133" s="64">
        <v>100000</v>
      </c>
      <c r="N133" s="64">
        <v>100000</v>
      </c>
      <c r="O133" s="64">
        <v>100000</v>
      </c>
      <c r="P133" s="64">
        <v>100000</v>
      </c>
      <c r="Q133" s="64">
        <v>100000</v>
      </c>
      <c r="R133" s="64">
        <v>100000</v>
      </c>
      <c r="S133" s="64">
        <v>100000</v>
      </c>
      <c r="T133" s="64">
        <v>100000</v>
      </c>
      <c r="U133" s="64">
        <v>100000</v>
      </c>
      <c r="V133" s="64">
        <v>100000</v>
      </c>
      <c r="W133" s="64">
        <v>100000</v>
      </c>
      <c r="X133" s="64">
        <v>100000</v>
      </c>
      <c r="Y133" s="64">
        <v>100000</v>
      </c>
      <c r="Z133" s="64">
        <v>100000</v>
      </c>
      <c r="AA133" s="64">
        <v>100000</v>
      </c>
      <c r="AB133" s="64">
        <v>100000</v>
      </c>
      <c r="AC133" s="64">
        <v>100000</v>
      </c>
      <c r="AD133" s="64">
        <v>100000</v>
      </c>
      <c r="AE133" s="64">
        <v>100000</v>
      </c>
      <c r="AF133" s="55"/>
      <c r="AG133" s="91">
        <f t="shared" si="5"/>
        <v>100000</v>
      </c>
      <c r="AH133" s="44">
        <v>100000</v>
      </c>
    </row>
    <row r="134" spans="1:34" x14ac:dyDescent="0.35">
      <c r="A134" s="28" t="s">
        <v>308</v>
      </c>
      <c r="B134" s="64">
        <v>100000</v>
      </c>
      <c r="C134" s="64">
        <v>100000</v>
      </c>
      <c r="D134" s="64">
        <v>100000</v>
      </c>
      <c r="E134" s="64">
        <v>100000</v>
      </c>
      <c r="F134" s="64">
        <v>100000</v>
      </c>
      <c r="G134" s="64">
        <v>100000</v>
      </c>
      <c r="H134" s="64">
        <v>100000</v>
      </c>
      <c r="I134" s="64">
        <v>100000</v>
      </c>
      <c r="J134" s="64">
        <v>100000</v>
      </c>
      <c r="K134" s="64">
        <v>100000</v>
      </c>
      <c r="L134" s="64">
        <v>100000</v>
      </c>
      <c r="M134" s="64">
        <v>100000</v>
      </c>
      <c r="N134" s="64">
        <v>100000</v>
      </c>
      <c r="O134" s="64">
        <v>100000</v>
      </c>
      <c r="P134" s="64">
        <v>100000</v>
      </c>
      <c r="Q134" s="64">
        <v>100000</v>
      </c>
      <c r="R134" s="64">
        <v>100000</v>
      </c>
      <c r="S134" s="64">
        <v>100000</v>
      </c>
      <c r="T134" s="64">
        <v>100000</v>
      </c>
      <c r="U134" s="64">
        <v>100000</v>
      </c>
      <c r="V134" s="64">
        <v>100000</v>
      </c>
      <c r="W134" s="64">
        <v>100000</v>
      </c>
      <c r="X134" s="64">
        <v>100000</v>
      </c>
      <c r="Y134" s="64">
        <v>100000</v>
      </c>
      <c r="Z134" s="64">
        <v>100000</v>
      </c>
      <c r="AA134" s="64">
        <v>100000</v>
      </c>
      <c r="AB134" s="64">
        <v>100000</v>
      </c>
      <c r="AC134" s="64">
        <v>100000</v>
      </c>
      <c r="AD134" s="64">
        <v>100000</v>
      </c>
      <c r="AE134" s="64">
        <v>100000</v>
      </c>
      <c r="AF134" s="73"/>
      <c r="AG134" s="91">
        <f t="shared" si="5"/>
        <v>100000</v>
      </c>
      <c r="AH134" s="44">
        <v>100000</v>
      </c>
    </row>
    <row r="135" spans="1:34" ht="15" thickBot="1" x14ac:dyDescent="0.4">
      <c r="A135" s="27" t="s">
        <v>307</v>
      </c>
      <c r="B135" s="77">
        <v>102275.73000000001</v>
      </c>
      <c r="C135" s="64">
        <v>102275.73000000001</v>
      </c>
      <c r="D135" s="64">
        <v>102275.73000000001</v>
      </c>
      <c r="E135" s="64">
        <v>102275.73000000001</v>
      </c>
      <c r="F135" s="64">
        <v>102275.73000000001</v>
      </c>
      <c r="G135" s="64">
        <v>102275.73000000001</v>
      </c>
      <c r="H135" s="64">
        <v>102275.73000000001</v>
      </c>
      <c r="I135" s="64">
        <v>102275.73000000001</v>
      </c>
      <c r="J135" s="64">
        <v>102275.73000000001</v>
      </c>
      <c r="K135" s="64">
        <v>102275.73000000001</v>
      </c>
      <c r="L135" s="64">
        <v>102275.73000000001</v>
      </c>
      <c r="M135" s="64">
        <v>102275.73000000001</v>
      </c>
      <c r="N135" s="64">
        <v>101617.8</v>
      </c>
      <c r="O135" s="64">
        <v>101617.8</v>
      </c>
      <c r="P135" s="64">
        <v>101617.8</v>
      </c>
      <c r="Q135" s="64">
        <v>102275.73</v>
      </c>
      <c r="R135" s="64">
        <v>102275.73</v>
      </c>
      <c r="S135" s="64">
        <v>102275.73</v>
      </c>
      <c r="T135" s="64">
        <v>102275.73</v>
      </c>
      <c r="U135" s="64">
        <v>102275.73</v>
      </c>
      <c r="V135" s="64">
        <v>102275.73</v>
      </c>
      <c r="W135" s="64">
        <v>102275.73</v>
      </c>
      <c r="X135" s="64">
        <v>102275.73</v>
      </c>
      <c r="Y135" s="64">
        <v>102275.73</v>
      </c>
      <c r="Z135" s="64">
        <v>102275.73</v>
      </c>
      <c r="AA135" s="64">
        <v>102275.73</v>
      </c>
      <c r="AB135" s="64">
        <v>102275.73</v>
      </c>
      <c r="AC135" s="64">
        <v>102275.73</v>
      </c>
      <c r="AD135" s="64">
        <v>102275.73</v>
      </c>
      <c r="AE135" s="64">
        <v>102275.73</v>
      </c>
      <c r="AF135" s="64"/>
      <c r="AG135" s="51">
        <f t="shared" si="5"/>
        <v>102275.73000000001</v>
      </c>
      <c r="AH135" s="44">
        <v>102275.73</v>
      </c>
    </row>
    <row r="136" spans="1:34" x14ac:dyDescent="0.35">
      <c r="A136" s="29" t="s">
        <v>273</v>
      </c>
      <c r="B136" s="252">
        <v>112345</v>
      </c>
      <c r="C136" s="252">
        <v>112345</v>
      </c>
      <c r="D136" s="252">
        <v>112345</v>
      </c>
      <c r="E136" s="252">
        <v>112345</v>
      </c>
      <c r="F136" s="252">
        <v>112345</v>
      </c>
      <c r="G136" s="252">
        <v>112345</v>
      </c>
      <c r="H136" s="252">
        <v>112345</v>
      </c>
      <c r="I136" s="252">
        <v>112345</v>
      </c>
      <c r="J136" s="252">
        <v>112345</v>
      </c>
      <c r="K136" s="252">
        <v>112345</v>
      </c>
      <c r="L136" s="252">
        <v>112345</v>
      </c>
      <c r="M136" s="252">
        <v>112345</v>
      </c>
      <c r="N136" s="252">
        <v>112345</v>
      </c>
      <c r="O136" s="252">
        <v>112345</v>
      </c>
      <c r="P136" s="252">
        <v>112345</v>
      </c>
      <c r="Q136" s="252">
        <v>112345</v>
      </c>
      <c r="R136" s="252">
        <v>112345</v>
      </c>
      <c r="S136" s="252">
        <v>112345</v>
      </c>
      <c r="T136" s="252">
        <v>112345</v>
      </c>
      <c r="U136" s="252">
        <v>112345</v>
      </c>
      <c r="V136" s="252">
        <v>112345</v>
      </c>
      <c r="W136" s="252">
        <v>112345</v>
      </c>
      <c r="X136" s="252">
        <v>112345</v>
      </c>
      <c r="Y136" s="252">
        <v>112345</v>
      </c>
      <c r="Z136" s="252">
        <v>112345</v>
      </c>
      <c r="AA136" s="252">
        <v>112345</v>
      </c>
      <c r="AB136" s="252">
        <v>112345</v>
      </c>
      <c r="AC136" s="252">
        <v>112345</v>
      </c>
      <c r="AD136" s="252">
        <v>112345</v>
      </c>
      <c r="AE136" s="252">
        <v>112345</v>
      </c>
      <c r="AF136" s="253"/>
      <c r="AG136" s="264">
        <f t="shared" si="5"/>
        <v>112345</v>
      </c>
      <c r="AH136" s="44">
        <v>112345</v>
      </c>
    </row>
    <row r="137" spans="1:34" x14ac:dyDescent="0.35">
      <c r="A137" s="30" t="s">
        <v>275</v>
      </c>
      <c r="B137" s="255">
        <v>104483</v>
      </c>
      <c r="C137" s="255">
        <v>104483</v>
      </c>
      <c r="D137" s="255">
        <v>104483</v>
      </c>
      <c r="E137" s="255">
        <v>104483</v>
      </c>
      <c r="F137" s="255">
        <v>104483</v>
      </c>
      <c r="G137" s="255">
        <v>104483</v>
      </c>
      <c r="H137" s="255">
        <v>104483</v>
      </c>
      <c r="I137" s="255">
        <v>104483</v>
      </c>
      <c r="J137" s="255">
        <v>104483</v>
      </c>
      <c r="K137" s="255">
        <v>104483</v>
      </c>
      <c r="L137" s="255">
        <v>104483</v>
      </c>
      <c r="M137" s="255">
        <v>104483</v>
      </c>
      <c r="N137" s="255">
        <v>104483</v>
      </c>
      <c r="O137" s="255">
        <v>104483</v>
      </c>
      <c r="P137" s="255">
        <v>104483</v>
      </c>
      <c r="Q137" s="255">
        <v>104483</v>
      </c>
      <c r="R137" s="255">
        <v>104483</v>
      </c>
      <c r="S137" s="255">
        <v>104483</v>
      </c>
      <c r="T137" s="255">
        <v>104483</v>
      </c>
      <c r="U137" s="255">
        <v>104483</v>
      </c>
      <c r="V137" s="255">
        <v>104483</v>
      </c>
      <c r="W137" s="255">
        <v>104483</v>
      </c>
      <c r="X137" s="255">
        <v>104483</v>
      </c>
      <c r="Y137" s="255">
        <v>104483</v>
      </c>
      <c r="Z137" s="255">
        <v>104483</v>
      </c>
      <c r="AA137" s="255">
        <v>104483</v>
      </c>
      <c r="AB137" s="255">
        <v>104483</v>
      </c>
      <c r="AC137" s="255">
        <v>104483</v>
      </c>
      <c r="AD137" s="255">
        <v>104483</v>
      </c>
      <c r="AE137" s="255">
        <v>104483</v>
      </c>
      <c r="AF137" s="256"/>
      <c r="AG137" s="265">
        <f t="shared" si="5"/>
        <v>104483</v>
      </c>
      <c r="AH137" s="44">
        <v>104483</v>
      </c>
    </row>
    <row r="138" spans="1:34" x14ac:dyDescent="0.35">
      <c r="A138" s="30" t="s">
        <v>276</v>
      </c>
      <c r="B138" s="255">
        <v>110071</v>
      </c>
      <c r="C138" s="255">
        <v>110071</v>
      </c>
      <c r="D138" s="255">
        <v>110071</v>
      </c>
      <c r="E138" s="255">
        <v>110071</v>
      </c>
      <c r="F138" s="255">
        <v>110071</v>
      </c>
      <c r="G138" s="255">
        <v>110071</v>
      </c>
      <c r="H138" s="255">
        <v>110071</v>
      </c>
      <c r="I138" s="255">
        <v>110071</v>
      </c>
      <c r="J138" s="255">
        <v>110071</v>
      </c>
      <c r="K138" s="255">
        <v>110071</v>
      </c>
      <c r="L138" s="255">
        <v>110071</v>
      </c>
      <c r="M138" s="255">
        <v>110071</v>
      </c>
      <c r="N138" s="255">
        <v>110071</v>
      </c>
      <c r="O138" s="255">
        <v>110071</v>
      </c>
      <c r="P138" s="255">
        <v>110071</v>
      </c>
      <c r="Q138" s="255">
        <v>110071</v>
      </c>
      <c r="R138" s="255">
        <v>110071</v>
      </c>
      <c r="S138" s="255">
        <v>110071</v>
      </c>
      <c r="T138" s="255">
        <v>110071</v>
      </c>
      <c r="U138" s="255">
        <v>110071</v>
      </c>
      <c r="V138" s="255">
        <v>110071</v>
      </c>
      <c r="W138" s="255">
        <v>110071</v>
      </c>
      <c r="X138" s="255">
        <v>110071</v>
      </c>
      <c r="Y138" s="255">
        <v>110071</v>
      </c>
      <c r="Z138" s="255">
        <v>110071</v>
      </c>
      <c r="AA138" s="255">
        <v>110071</v>
      </c>
      <c r="AB138" s="255">
        <v>110071</v>
      </c>
      <c r="AC138" s="255">
        <v>110071</v>
      </c>
      <c r="AD138" s="255">
        <v>110071</v>
      </c>
      <c r="AE138" s="255">
        <v>110071</v>
      </c>
      <c r="AF138" s="256"/>
      <c r="AG138" s="265">
        <f t="shared" si="5"/>
        <v>110071</v>
      </c>
      <c r="AH138" s="44">
        <v>110071</v>
      </c>
    </row>
    <row r="139" spans="1:34" x14ac:dyDescent="0.35">
      <c r="A139" s="30" t="s">
        <v>277</v>
      </c>
      <c r="B139" s="258">
        <v>109858</v>
      </c>
      <c r="C139" s="258">
        <v>109858</v>
      </c>
      <c r="D139" s="258">
        <v>109858</v>
      </c>
      <c r="E139" s="258">
        <v>109858</v>
      </c>
      <c r="F139" s="258">
        <v>109858</v>
      </c>
      <c r="G139" s="258">
        <v>109858</v>
      </c>
      <c r="H139" s="258">
        <v>109858</v>
      </c>
      <c r="I139" s="258">
        <v>109858</v>
      </c>
      <c r="J139" s="258">
        <v>109858</v>
      </c>
      <c r="K139" s="258">
        <v>109858</v>
      </c>
      <c r="L139" s="258">
        <v>109858</v>
      </c>
      <c r="M139" s="258">
        <v>109858</v>
      </c>
      <c r="N139" s="258">
        <v>109858</v>
      </c>
      <c r="O139" s="258">
        <v>109858</v>
      </c>
      <c r="P139" s="258">
        <v>109858</v>
      </c>
      <c r="Q139" s="258">
        <v>109858</v>
      </c>
      <c r="R139" s="258">
        <v>109858</v>
      </c>
      <c r="S139" s="258">
        <v>109858</v>
      </c>
      <c r="T139" s="258">
        <v>109858</v>
      </c>
      <c r="U139" s="258">
        <v>109858</v>
      </c>
      <c r="V139" s="258">
        <v>109858</v>
      </c>
      <c r="W139" s="258">
        <v>109858</v>
      </c>
      <c r="X139" s="258">
        <v>109858</v>
      </c>
      <c r="Y139" s="258">
        <v>109858</v>
      </c>
      <c r="Z139" s="258">
        <v>109858</v>
      </c>
      <c r="AA139" s="258">
        <v>109858</v>
      </c>
      <c r="AB139" s="258">
        <v>109858</v>
      </c>
      <c r="AC139" s="258">
        <v>109858</v>
      </c>
      <c r="AD139" s="258">
        <v>109858</v>
      </c>
      <c r="AE139" s="258">
        <v>109858</v>
      </c>
      <c r="AF139" s="256"/>
      <c r="AG139" s="265">
        <f t="shared" si="5"/>
        <v>109858</v>
      </c>
      <c r="AH139" s="44">
        <v>109858</v>
      </c>
    </row>
    <row r="140" spans="1:34" x14ac:dyDescent="0.35">
      <c r="A140" s="30" t="s">
        <v>278</v>
      </c>
      <c r="B140" s="255">
        <v>103424</v>
      </c>
      <c r="C140" s="255">
        <v>103424</v>
      </c>
      <c r="D140" s="255">
        <v>103424</v>
      </c>
      <c r="E140" s="255">
        <v>103424</v>
      </c>
      <c r="F140" s="255">
        <v>103424</v>
      </c>
      <c r="G140" s="255">
        <v>103424</v>
      </c>
      <c r="H140" s="255">
        <v>103424</v>
      </c>
      <c r="I140" s="255">
        <v>103424</v>
      </c>
      <c r="J140" s="255">
        <v>103424</v>
      </c>
      <c r="K140" s="255">
        <v>103424</v>
      </c>
      <c r="L140" s="255">
        <v>103424</v>
      </c>
      <c r="M140" s="255">
        <v>103424</v>
      </c>
      <c r="N140" s="255">
        <v>103424</v>
      </c>
      <c r="O140" s="255">
        <v>103424</v>
      </c>
      <c r="P140" s="255">
        <v>103424</v>
      </c>
      <c r="Q140" s="255">
        <v>103424</v>
      </c>
      <c r="R140" s="255">
        <v>103424</v>
      </c>
      <c r="S140" s="255">
        <v>103424</v>
      </c>
      <c r="T140" s="255">
        <v>103424</v>
      </c>
      <c r="U140" s="255">
        <v>103424</v>
      </c>
      <c r="V140" s="255">
        <v>103424</v>
      </c>
      <c r="W140" s="255">
        <v>103424</v>
      </c>
      <c r="X140" s="255">
        <v>103424</v>
      </c>
      <c r="Y140" s="255">
        <v>103424</v>
      </c>
      <c r="Z140" s="255">
        <v>103424</v>
      </c>
      <c r="AA140" s="255">
        <v>103424</v>
      </c>
      <c r="AB140" s="255">
        <v>103424</v>
      </c>
      <c r="AC140" s="255">
        <v>103424</v>
      </c>
      <c r="AD140" s="255">
        <v>103424</v>
      </c>
      <c r="AE140" s="255">
        <v>103424</v>
      </c>
      <c r="AF140" s="256"/>
      <c r="AG140" s="265">
        <f t="shared" si="5"/>
        <v>103424</v>
      </c>
      <c r="AH140" s="44">
        <v>103424</v>
      </c>
    </row>
    <row r="141" spans="1:34" x14ac:dyDescent="0.35">
      <c r="A141" s="30" t="s">
        <v>279</v>
      </c>
      <c r="B141" s="258">
        <v>106858</v>
      </c>
      <c r="C141" s="258">
        <v>106858</v>
      </c>
      <c r="D141" s="258">
        <v>106858</v>
      </c>
      <c r="E141" s="258">
        <v>106858</v>
      </c>
      <c r="F141" s="258">
        <v>106858</v>
      </c>
      <c r="G141" s="258">
        <v>106858</v>
      </c>
      <c r="H141" s="258">
        <v>106858</v>
      </c>
      <c r="I141" s="258">
        <v>106858</v>
      </c>
      <c r="J141" s="258">
        <v>106858</v>
      </c>
      <c r="K141" s="258">
        <v>106858</v>
      </c>
      <c r="L141" s="258">
        <v>106858</v>
      </c>
      <c r="M141" s="258">
        <v>106858</v>
      </c>
      <c r="N141" s="258">
        <v>106858</v>
      </c>
      <c r="O141" s="258">
        <v>106858</v>
      </c>
      <c r="P141" s="258">
        <v>106858</v>
      </c>
      <c r="Q141" s="258">
        <v>106858</v>
      </c>
      <c r="R141" s="258">
        <v>106858</v>
      </c>
      <c r="S141" s="258">
        <v>106858</v>
      </c>
      <c r="T141" s="258">
        <v>106858</v>
      </c>
      <c r="U141" s="258">
        <v>106858</v>
      </c>
      <c r="V141" s="258">
        <v>106858</v>
      </c>
      <c r="W141" s="258">
        <v>106858</v>
      </c>
      <c r="X141" s="258">
        <v>106858</v>
      </c>
      <c r="Y141" s="258">
        <v>106858</v>
      </c>
      <c r="Z141" s="258">
        <v>106858</v>
      </c>
      <c r="AA141" s="258">
        <v>106858</v>
      </c>
      <c r="AB141" s="258">
        <v>106858</v>
      </c>
      <c r="AC141" s="258">
        <v>106858</v>
      </c>
      <c r="AD141" s="258">
        <v>106858</v>
      </c>
      <c r="AE141" s="258">
        <v>106858</v>
      </c>
      <c r="AF141" s="256"/>
      <c r="AG141" s="265">
        <f t="shared" si="5"/>
        <v>106858</v>
      </c>
      <c r="AH141" s="44">
        <v>106858</v>
      </c>
    </row>
    <row r="142" spans="1:34" x14ac:dyDescent="0.35">
      <c r="A142" s="30" t="s">
        <v>280</v>
      </c>
      <c r="B142" s="255">
        <v>104310</v>
      </c>
      <c r="C142" s="255">
        <v>104310</v>
      </c>
      <c r="D142" s="255">
        <v>104310</v>
      </c>
      <c r="E142" s="255">
        <v>104310</v>
      </c>
      <c r="F142" s="255">
        <v>104310</v>
      </c>
      <c r="G142" s="255">
        <v>104310</v>
      </c>
      <c r="H142" s="255">
        <v>104310</v>
      </c>
      <c r="I142" s="255">
        <v>104310</v>
      </c>
      <c r="J142" s="255">
        <v>104310</v>
      </c>
      <c r="K142" s="255">
        <v>104310</v>
      </c>
      <c r="L142" s="255">
        <v>104310</v>
      </c>
      <c r="M142" s="255">
        <v>104310</v>
      </c>
      <c r="N142" s="255">
        <v>104310</v>
      </c>
      <c r="O142" s="255">
        <v>104310</v>
      </c>
      <c r="P142" s="255">
        <v>104310</v>
      </c>
      <c r="Q142" s="255">
        <v>104310</v>
      </c>
      <c r="R142" s="255">
        <v>104310</v>
      </c>
      <c r="S142" s="255">
        <v>104310</v>
      </c>
      <c r="T142" s="255">
        <v>104310</v>
      </c>
      <c r="U142" s="255">
        <v>104310</v>
      </c>
      <c r="V142" s="255">
        <v>104310</v>
      </c>
      <c r="W142" s="255">
        <v>104310</v>
      </c>
      <c r="X142" s="255">
        <v>104310</v>
      </c>
      <c r="Y142" s="255">
        <v>104310</v>
      </c>
      <c r="Z142" s="255">
        <v>104310</v>
      </c>
      <c r="AA142" s="255">
        <v>104310</v>
      </c>
      <c r="AB142" s="255">
        <v>104310</v>
      </c>
      <c r="AC142" s="255">
        <v>104310</v>
      </c>
      <c r="AD142" s="255">
        <v>104310</v>
      </c>
      <c r="AE142" s="255">
        <v>104310</v>
      </c>
      <c r="AF142" s="256"/>
      <c r="AG142" s="265">
        <f t="shared" si="5"/>
        <v>104310</v>
      </c>
      <c r="AH142" s="44">
        <v>104310</v>
      </c>
    </row>
    <row r="143" spans="1:34" x14ac:dyDescent="0.35">
      <c r="A143" s="30" t="s">
        <v>281</v>
      </c>
      <c r="B143" s="255">
        <v>103814</v>
      </c>
      <c r="C143" s="255">
        <v>103814</v>
      </c>
      <c r="D143" s="255">
        <v>103814</v>
      </c>
      <c r="E143" s="255">
        <v>103814</v>
      </c>
      <c r="F143" s="255">
        <v>103814</v>
      </c>
      <c r="G143" s="255">
        <v>103814</v>
      </c>
      <c r="H143" s="255">
        <v>103814</v>
      </c>
      <c r="I143" s="255">
        <v>103814</v>
      </c>
      <c r="J143" s="255">
        <v>103814</v>
      </c>
      <c r="K143" s="255">
        <v>103814</v>
      </c>
      <c r="L143" s="255">
        <v>103814</v>
      </c>
      <c r="M143" s="255">
        <v>103814</v>
      </c>
      <c r="N143" s="255">
        <v>103814</v>
      </c>
      <c r="O143" s="255">
        <v>103814</v>
      </c>
      <c r="P143" s="255">
        <v>103814</v>
      </c>
      <c r="Q143" s="255">
        <v>103814</v>
      </c>
      <c r="R143" s="255">
        <v>103814</v>
      </c>
      <c r="S143" s="255">
        <v>103814</v>
      </c>
      <c r="T143" s="255">
        <v>103814</v>
      </c>
      <c r="U143" s="255">
        <v>103814</v>
      </c>
      <c r="V143" s="255">
        <v>103814</v>
      </c>
      <c r="W143" s="255">
        <v>103814</v>
      </c>
      <c r="X143" s="255">
        <v>103814</v>
      </c>
      <c r="Y143" s="255">
        <v>103814</v>
      </c>
      <c r="Z143" s="255">
        <v>103814</v>
      </c>
      <c r="AA143" s="255">
        <v>103814</v>
      </c>
      <c r="AB143" s="255">
        <v>103814</v>
      </c>
      <c r="AC143" s="255">
        <v>103814</v>
      </c>
      <c r="AD143" s="255">
        <v>103814</v>
      </c>
      <c r="AE143" s="255">
        <v>103814</v>
      </c>
      <c r="AF143" s="256"/>
      <c r="AG143" s="265">
        <f t="shared" si="5"/>
        <v>103814</v>
      </c>
      <c r="AH143" s="44">
        <v>103814</v>
      </c>
    </row>
    <row r="144" spans="1:34" x14ac:dyDescent="0.35">
      <c r="A144" s="30" t="s">
        <v>282</v>
      </c>
      <c r="B144" s="255">
        <v>99556</v>
      </c>
      <c r="C144" s="255">
        <v>99556</v>
      </c>
      <c r="D144" s="255">
        <v>99556</v>
      </c>
      <c r="E144" s="255">
        <v>99556</v>
      </c>
      <c r="F144" s="255">
        <v>99556</v>
      </c>
      <c r="G144" s="255">
        <v>99556</v>
      </c>
      <c r="H144" s="255">
        <v>99556</v>
      </c>
      <c r="I144" s="255">
        <v>99556</v>
      </c>
      <c r="J144" s="255">
        <v>99556</v>
      </c>
      <c r="K144" s="255">
        <v>99556</v>
      </c>
      <c r="L144" s="255">
        <v>99556</v>
      </c>
      <c r="M144" s="255">
        <v>99556</v>
      </c>
      <c r="N144" s="255">
        <v>99556</v>
      </c>
      <c r="O144" s="255">
        <v>99556</v>
      </c>
      <c r="P144" s="255">
        <v>99556</v>
      </c>
      <c r="Q144" s="255">
        <v>99556</v>
      </c>
      <c r="R144" s="255">
        <v>99556</v>
      </c>
      <c r="S144" s="255">
        <v>99556</v>
      </c>
      <c r="T144" s="255">
        <v>99556</v>
      </c>
      <c r="U144" s="255">
        <v>99556</v>
      </c>
      <c r="V144" s="255">
        <v>99556</v>
      </c>
      <c r="W144" s="255">
        <v>99556</v>
      </c>
      <c r="X144" s="255">
        <v>99556</v>
      </c>
      <c r="Y144" s="255">
        <v>99556</v>
      </c>
      <c r="Z144" s="255">
        <v>99556</v>
      </c>
      <c r="AA144" s="255">
        <v>99556</v>
      </c>
      <c r="AB144" s="255">
        <v>99556</v>
      </c>
      <c r="AC144" s="255">
        <v>99556</v>
      </c>
      <c r="AD144" s="255">
        <v>99556</v>
      </c>
      <c r="AE144" s="255">
        <v>99556</v>
      </c>
      <c r="AF144" s="256"/>
      <c r="AG144" s="265">
        <f t="shared" si="5"/>
        <v>99556</v>
      </c>
      <c r="AH144" s="44">
        <v>99556</v>
      </c>
    </row>
    <row r="145" spans="1:34" x14ac:dyDescent="0.35">
      <c r="A145" s="30" t="s">
        <v>283</v>
      </c>
      <c r="B145" s="258">
        <v>108367</v>
      </c>
      <c r="C145" s="258">
        <v>108367</v>
      </c>
      <c r="D145" s="258">
        <v>108367</v>
      </c>
      <c r="E145" s="258">
        <v>108367</v>
      </c>
      <c r="F145" s="258">
        <v>108367</v>
      </c>
      <c r="G145" s="258">
        <v>108367</v>
      </c>
      <c r="H145" s="258">
        <v>108367</v>
      </c>
      <c r="I145" s="258">
        <v>108367</v>
      </c>
      <c r="J145" s="258">
        <v>108367</v>
      </c>
      <c r="K145" s="258">
        <v>108367</v>
      </c>
      <c r="L145" s="258">
        <v>108367</v>
      </c>
      <c r="M145" s="258">
        <v>108367</v>
      </c>
      <c r="N145" s="258">
        <v>108367</v>
      </c>
      <c r="O145" s="258">
        <v>108367</v>
      </c>
      <c r="P145" s="258">
        <v>108367</v>
      </c>
      <c r="Q145" s="258">
        <v>108367</v>
      </c>
      <c r="R145" s="258">
        <v>108367</v>
      </c>
      <c r="S145" s="258">
        <v>108367</v>
      </c>
      <c r="T145" s="258">
        <v>108367</v>
      </c>
      <c r="U145" s="258">
        <v>108367</v>
      </c>
      <c r="V145" s="258">
        <v>108367</v>
      </c>
      <c r="W145" s="258">
        <v>108367</v>
      </c>
      <c r="X145" s="258">
        <v>108367</v>
      </c>
      <c r="Y145" s="258">
        <v>108367</v>
      </c>
      <c r="Z145" s="258">
        <v>108367</v>
      </c>
      <c r="AA145" s="258">
        <v>108367</v>
      </c>
      <c r="AB145" s="258">
        <v>108367</v>
      </c>
      <c r="AC145" s="258">
        <v>108367</v>
      </c>
      <c r="AD145" s="258">
        <v>108367</v>
      </c>
      <c r="AE145" s="258">
        <v>108367</v>
      </c>
      <c r="AF145" s="256"/>
      <c r="AG145" s="265">
        <f t="shared" si="5"/>
        <v>108367</v>
      </c>
      <c r="AH145" s="44">
        <v>108367</v>
      </c>
    </row>
    <row r="146" spans="1:34" x14ac:dyDescent="0.35">
      <c r="A146" s="30" t="s">
        <v>284</v>
      </c>
      <c r="B146" s="258">
        <v>104201</v>
      </c>
      <c r="C146" s="258">
        <v>104201</v>
      </c>
      <c r="D146" s="258">
        <v>104201</v>
      </c>
      <c r="E146" s="258">
        <v>104201</v>
      </c>
      <c r="F146" s="258">
        <v>104201</v>
      </c>
      <c r="G146" s="258">
        <v>104201</v>
      </c>
      <c r="H146" s="258">
        <v>104201</v>
      </c>
      <c r="I146" s="258">
        <v>104201</v>
      </c>
      <c r="J146" s="258">
        <v>104201</v>
      </c>
      <c r="K146" s="258">
        <v>104201</v>
      </c>
      <c r="L146" s="258">
        <v>104201</v>
      </c>
      <c r="M146" s="258">
        <v>104201</v>
      </c>
      <c r="N146" s="258">
        <v>104201</v>
      </c>
      <c r="O146" s="258">
        <v>104201</v>
      </c>
      <c r="P146" s="258">
        <v>104201</v>
      </c>
      <c r="Q146" s="258">
        <v>104201</v>
      </c>
      <c r="R146" s="258">
        <v>104201</v>
      </c>
      <c r="S146" s="258">
        <v>104201</v>
      </c>
      <c r="T146" s="258">
        <v>104201</v>
      </c>
      <c r="U146" s="258">
        <v>104201</v>
      </c>
      <c r="V146" s="258">
        <v>104201</v>
      </c>
      <c r="W146" s="258">
        <v>104201</v>
      </c>
      <c r="X146" s="258">
        <v>104201</v>
      </c>
      <c r="Y146" s="258">
        <v>104201</v>
      </c>
      <c r="Z146" s="258">
        <v>104201</v>
      </c>
      <c r="AA146" s="258">
        <v>104201</v>
      </c>
      <c r="AB146" s="258">
        <v>104201</v>
      </c>
      <c r="AC146" s="258">
        <v>104201</v>
      </c>
      <c r="AD146" s="258">
        <v>104201</v>
      </c>
      <c r="AE146" s="258">
        <v>104201</v>
      </c>
      <c r="AF146" s="256"/>
      <c r="AG146" s="265">
        <f t="shared" si="5"/>
        <v>104201</v>
      </c>
      <c r="AH146" s="44">
        <v>104201</v>
      </c>
    </row>
    <row r="147" spans="1:34" x14ac:dyDescent="0.35">
      <c r="A147" s="30" t="s">
        <v>286</v>
      </c>
      <c r="B147" s="258">
        <v>101772</v>
      </c>
      <c r="C147" s="258">
        <v>101772</v>
      </c>
      <c r="D147" s="258">
        <v>101772</v>
      </c>
      <c r="E147" s="258">
        <v>101772</v>
      </c>
      <c r="F147" s="258">
        <v>101772</v>
      </c>
      <c r="G147" s="258">
        <v>101772</v>
      </c>
      <c r="H147" s="258">
        <v>101772</v>
      </c>
      <c r="I147" s="258">
        <v>101772</v>
      </c>
      <c r="J147" s="258">
        <v>101772</v>
      </c>
      <c r="K147" s="258">
        <v>101772</v>
      </c>
      <c r="L147" s="258">
        <v>101772</v>
      </c>
      <c r="M147" s="258">
        <v>101772</v>
      </c>
      <c r="N147" s="258">
        <v>101772</v>
      </c>
      <c r="O147" s="258">
        <v>101772</v>
      </c>
      <c r="P147" s="258">
        <v>101772</v>
      </c>
      <c r="Q147" s="258">
        <v>101772</v>
      </c>
      <c r="R147" s="258">
        <v>101772</v>
      </c>
      <c r="S147" s="258">
        <v>101772</v>
      </c>
      <c r="T147" s="258">
        <v>101772</v>
      </c>
      <c r="U147" s="258">
        <v>101772</v>
      </c>
      <c r="V147" s="258">
        <v>101772</v>
      </c>
      <c r="W147" s="258">
        <v>101772</v>
      </c>
      <c r="X147" s="258">
        <v>101772</v>
      </c>
      <c r="Y147" s="258">
        <v>101772</v>
      </c>
      <c r="Z147" s="258">
        <v>101772</v>
      </c>
      <c r="AA147" s="258">
        <v>101772</v>
      </c>
      <c r="AB147" s="258">
        <v>101772</v>
      </c>
      <c r="AC147" s="258">
        <v>101772</v>
      </c>
      <c r="AD147" s="258">
        <v>101772</v>
      </c>
      <c r="AE147" s="258">
        <v>101772</v>
      </c>
      <c r="AF147" s="256"/>
      <c r="AG147" s="265">
        <f t="shared" si="5"/>
        <v>101772</v>
      </c>
      <c r="AH147" s="44">
        <v>101772</v>
      </c>
    </row>
    <row r="148" spans="1:34" x14ac:dyDescent="0.35">
      <c r="A148" s="30" t="s">
        <v>287</v>
      </c>
      <c r="B148" s="258">
        <v>103788</v>
      </c>
      <c r="C148" s="258">
        <v>103788</v>
      </c>
      <c r="D148" s="258">
        <v>103788</v>
      </c>
      <c r="E148" s="258">
        <v>103788</v>
      </c>
      <c r="F148" s="258">
        <v>103788</v>
      </c>
      <c r="G148" s="258">
        <v>103788</v>
      </c>
      <c r="H148" s="258">
        <v>103788</v>
      </c>
      <c r="I148" s="258">
        <v>103788</v>
      </c>
      <c r="J148" s="258">
        <v>103788</v>
      </c>
      <c r="K148" s="258">
        <v>103788</v>
      </c>
      <c r="L148" s="258">
        <v>103788</v>
      </c>
      <c r="M148" s="258">
        <v>103788</v>
      </c>
      <c r="N148" s="258">
        <v>103788</v>
      </c>
      <c r="O148" s="258">
        <v>103788</v>
      </c>
      <c r="P148" s="258">
        <v>103788</v>
      </c>
      <c r="Q148" s="258">
        <v>103788</v>
      </c>
      <c r="R148" s="258">
        <v>103788</v>
      </c>
      <c r="S148" s="258">
        <v>103788</v>
      </c>
      <c r="T148" s="258">
        <v>103788</v>
      </c>
      <c r="U148" s="258">
        <v>103788</v>
      </c>
      <c r="V148" s="258">
        <v>103788</v>
      </c>
      <c r="W148" s="258">
        <v>103788</v>
      </c>
      <c r="X148" s="258">
        <v>103788</v>
      </c>
      <c r="Y148" s="258">
        <v>103788</v>
      </c>
      <c r="Z148" s="258">
        <v>103788</v>
      </c>
      <c r="AA148" s="258">
        <v>103788</v>
      </c>
      <c r="AB148" s="258">
        <v>103788</v>
      </c>
      <c r="AC148" s="258">
        <v>103788</v>
      </c>
      <c r="AD148" s="258">
        <v>103788</v>
      </c>
      <c r="AE148" s="258">
        <v>103788</v>
      </c>
      <c r="AF148" s="256"/>
      <c r="AG148" s="265">
        <f t="shared" si="5"/>
        <v>103788</v>
      </c>
      <c r="AH148" s="44">
        <v>103788</v>
      </c>
    </row>
    <row r="149" spans="1:34" x14ac:dyDescent="0.35">
      <c r="A149" s="30" t="s">
        <v>288</v>
      </c>
      <c r="B149" s="258">
        <v>102657</v>
      </c>
      <c r="C149" s="258">
        <v>102657</v>
      </c>
      <c r="D149" s="258">
        <v>102657</v>
      </c>
      <c r="E149" s="258">
        <v>102657</v>
      </c>
      <c r="F149" s="258">
        <v>102657</v>
      </c>
      <c r="G149" s="258">
        <v>102657</v>
      </c>
      <c r="H149" s="258">
        <v>102657</v>
      </c>
      <c r="I149" s="258">
        <v>102657</v>
      </c>
      <c r="J149" s="258">
        <v>102657</v>
      </c>
      <c r="K149" s="258">
        <v>102657</v>
      </c>
      <c r="L149" s="258">
        <v>102657</v>
      </c>
      <c r="M149" s="258">
        <v>102657</v>
      </c>
      <c r="N149" s="258">
        <v>102657</v>
      </c>
      <c r="O149" s="258">
        <v>102657</v>
      </c>
      <c r="P149" s="258">
        <v>102657</v>
      </c>
      <c r="Q149" s="258">
        <v>102657</v>
      </c>
      <c r="R149" s="258">
        <v>102657</v>
      </c>
      <c r="S149" s="258">
        <v>102657</v>
      </c>
      <c r="T149" s="258">
        <v>102657</v>
      </c>
      <c r="U149" s="258">
        <v>102657</v>
      </c>
      <c r="V149" s="258">
        <v>102657</v>
      </c>
      <c r="W149" s="258">
        <v>102657</v>
      </c>
      <c r="X149" s="258">
        <v>102657</v>
      </c>
      <c r="Y149" s="258">
        <v>102657</v>
      </c>
      <c r="Z149" s="258">
        <v>102657</v>
      </c>
      <c r="AA149" s="258">
        <v>102657</v>
      </c>
      <c r="AB149" s="258">
        <v>102657</v>
      </c>
      <c r="AC149" s="258">
        <v>102657</v>
      </c>
      <c r="AD149" s="258">
        <v>102657</v>
      </c>
      <c r="AE149" s="258">
        <v>102657</v>
      </c>
      <c r="AF149" s="256"/>
      <c r="AG149" s="265">
        <f t="shared" si="5"/>
        <v>102657</v>
      </c>
      <c r="AH149" s="44">
        <v>102657</v>
      </c>
    </row>
    <row r="150" spans="1:34" x14ac:dyDescent="0.35">
      <c r="A150" s="30" t="s">
        <v>289</v>
      </c>
      <c r="B150" s="258">
        <v>107544</v>
      </c>
      <c r="C150" s="258">
        <v>107544</v>
      </c>
      <c r="D150" s="258">
        <v>107544</v>
      </c>
      <c r="E150" s="258">
        <v>107544</v>
      </c>
      <c r="F150" s="258">
        <v>107544</v>
      </c>
      <c r="G150" s="258">
        <v>107544</v>
      </c>
      <c r="H150" s="258">
        <v>107544</v>
      </c>
      <c r="I150" s="258">
        <v>107544</v>
      </c>
      <c r="J150" s="258">
        <v>107544</v>
      </c>
      <c r="K150" s="258">
        <v>107544</v>
      </c>
      <c r="L150" s="258">
        <v>107544</v>
      </c>
      <c r="M150" s="258">
        <v>107544</v>
      </c>
      <c r="N150" s="258">
        <v>107544</v>
      </c>
      <c r="O150" s="258">
        <v>107544</v>
      </c>
      <c r="P150" s="258">
        <v>107544</v>
      </c>
      <c r="Q150" s="258">
        <v>107544</v>
      </c>
      <c r="R150" s="258">
        <v>107544</v>
      </c>
      <c r="S150" s="258">
        <v>107544</v>
      </c>
      <c r="T150" s="258">
        <v>107544</v>
      </c>
      <c r="U150" s="258">
        <v>107544</v>
      </c>
      <c r="V150" s="258">
        <v>107544</v>
      </c>
      <c r="W150" s="258">
        <v>107544</v>
      </c>
      <c r="X150" s="258">
        <v>107544</v>
      </c>
      <c r="Y150" s="258">
        <v>107544</v>
      </c>
      <c r="Z150" s="258">
        <v>107544</v>
      </c>
      <c r="AA150" s="258">
        <v>107544</v>
      </c>
      <c r="AB150" s="258">
        <v>107544</v>
      </c>
      <c r="AC150" s="258">
        <v>107544</v>
      </c>
      <c r="AD150" s="258">
        <v>107544</v>
      </c>
      <c r="AE150" s="258">
        <v>107544</v>
      </c>
      <c r="AF150" s="256"/>
      <c r="AG150" s="265">
        <f t="shared" si="5"/>
        <v>107544</v>
      </c>
      <c r="AH150" s="44">
        <v>107544</v>
      </c>
    </row>
    <row r="151" spans="1:34" x14ac:dyDescent="0.35">
      <c r="A151" s="30" t="s">
        <v>290</v>
      </c>
      <c r="B151" s="258">
        <v>102629</v>
      </c>
      <c r="C151" s="258">
        <v>102629</v>
      </c>
      <c r="D151" s="258">
        <v>102629</v>
      </c>
      <c r="E151" s="258">
        <v>102629</v>
      </c>
      <c r="F151" s="258">
        <v>102629</v>
      </c>
      <c r="G151" s="258">
        <v>102629</v>
      </c>
      <c r="H151" s="258">
        <v>102629</v>
      </c>
      <c r="I151" s="258">
        <v>102629</v>
      </c>
      <c r="J151" s="258">
        <v>102629</v>
      </c>
      <c r="K151" s="258">
        <v>102629</v>
      </c>
      <c r="L151" s="258">
        <v>102629</v>
      </c>
      <c r="M151" s="258">
        <v>102629</v>
      </c>
      <c r="N151" s="258">
        <v>102629</v>
      </c>
      <c r="O151" s="258">
        <v>102629</v>
      </c>
      <c r="P151" s="258">
        <v>102629</v>
      </c>
      <c r="Q151" s="258">
        <v>102629</v>
      </c>
      <c r="R151" s="258">
        <v>102629</v>
      </c>
      <c r="S151" s="258">
        <v>102629</v>
      </c>
      <c r="T151" s="258">
        <v>102629</v>
      </c>
      <c r="U151" s="258">
        <v>102629</v>
      </c>
      <c r="V151" s="258">
        <v>102629</v>
      </c>
      <c r="W151" s="258">
        <v>102629</v>
      </c>
      <c r="X151" s="258">
        <v>102629</v>
      </c>
      <c r="Y151" s="258">
        <v>102629</v>
      </c>
      <c r="Z151" s="258">
        <v>102629</v>
      </c>
      <c r="AA151" s="258">
        <v>102629</v>
      </c>
      <c r="AB151" s="258">
        <v>102629</v>
      </c>
      <c r="AC151" s="258">
        <v>102629</v>
      </c>
      <c r="AD151" s="258">
        <v>102629</v>
      </c>
      <c r="AE151" s="258">
        <v>102629</v>
      </c>
      <c r="AF151" s="256"/>
      <c r="AG151" s="265">
        <f t="shared" si="5"/>
        <v>102629</v>
      </c>
      <c r="AH151" s="44">
        <v>102629</v>
      </c>
    </row>
    <row r="152" spans="1:34" x14ac:dyDescent="0.35">
      <c r="A152" s="30" t="s">
        <v>291</v>
      </c>
      <c r="B152" s="258">
        <v>101224</v>
      </c>
      <c r="C152" s="258">
        <v>101224</v>
      </c>
      <c r="D152" s="258">
        <v>101224</v>
      </c>
      <c r="E152" s="258">
        <v>101224</v>
      </c>
      <c r="F152" s="258">
        <v>101224</v>
      </c>
      <c r="G152" s="258">
        <v>101224</v>
      </c>
      <c r="H152" s="258">
        <v>101224</v>
      </c>
      <c r="I152" s="258">
        <v>101224</v>
      </c>
      <c r="J152" s="258">
        <v>101224</v>
      </c>
      <c r="K152" s="258">
        <v>101224</v>
      </c>
      <c r="L152" s="258">
        <v>101224</v>
      </c>
      <c r="M152" s="258">
        <v>101224</v>
      </c>
      <c r="N152" s="258">
        <v>101224</v>
      </c>
      <c r="O152" s="258">
        <v>101224</v>
      </c>
      <c r="P152" s="258">
        <v>101224</v>
      </c>
      <c r="Q152" s="258">
        <v>101224</v>
      </c>
      <c r="R152" s="258">
        <v>101224</v>
      </c>
      <c r="S152" s="258">
        <v>101224</v>
      </c>
      <c r="T152" s="258">
        <v>101224</v>
      </c>
      <c r="U152" s="258">
        <v>101224</v>
      </c>
      <c r="V152" s="258">
        <v>101224</v>
      </c>
      <c r="W152" s="258">
        <v>101224</v>
      </c>
      <c r="X152" s="258">
        <v>101224</v>
      </c>
      <c r="Y152" s="258">
        <v>101224</v>
      </c>
      <c r="Z152" s="258">
        <v>101224</v>
      </c>
      <c r="AA152" s="258">
        <v>101224</v>
      </c>
      <c r="AB152" s="258">
        <v>101224</v>
      </c>
      <c r="AC152" s="258">
        <v>101224</v>
      </c>
      <c r="AD152" s="258">
        <v>101224</v>
      </c>
      <c r="AE152" s="258">
        <v>101224</v>
      </c>
      <c r="AF152" s="256"/>
      <c r="AG152" s="265">
        <f t="shared" si="5"/>
        <v>101224</v>
      </c>
      <c r="AH152" s="44">
        <v>101224</v>
      </c>
    </row>
    <row r="153" spans="1:34" x14ac:dyDescent="0.35">
      <c r="A153" s="30" t="s">
        <v>292</v>
      </c>
      <c r="B153" s="258">
        <v>106917</v>
      </c>
      <c r="C153" s="258">
        <v>106917</v>
      </c>
      <c r="D153" s="258">
        <v>106917</v>
      </c>
      <c r="E153" s="258">
        <v>106917</v>
      </c>
      <c r="F153" s="258">
        <v>106917</v>
      </c>
      <c r="G153" s="258">
        <v>106917</v>
      </c>
      <c r="H153" s="258">
        <v>106917</v>
      </c>
      <c r="I153" s="258">
        <v>106917</v>
      </c>
      <c r="J153" s="258">
        <v>106917</v>
      </c>
      <c r="K153" s="258">
        <v>106917</v>
      </c>
      <c r="L153" s="258">
        <v>106917</v>
      </c>
      <c r="M153" s="258">
        <v>106917</v>
      </c>
      <c r="N153" s="258">
        <v>106917</v>
      </c>
      <c r="O153" s="258">
        <v>106917</v>
      </c>
      <c r="P153" s="258">
        <v>106917</v>
      </c>
      <c r="Q153" s="258">
        <v>106917</v>
      </c>
      <c r="R153" s="258">
        <v>106917</v>
      </c>
      <c r="S153" s="258">
        <v>106917</v>
      </c>
      <c r="T153" s="258">
        <v>106917</v>
      </c>
      <c r="U153" s="258">
        <v>106917</v>
      </c>
      <c r="V153" s="258">
        <v>106917</v>
      </c>
      <c r="W153" s="258">
        <v>106917</v>
      </c>
      <c r="X153" s="258">
        <v>106917</v>
      </c>
      <c r="Y153" s="258">
        <v>106917</v>
      </c>
      <c r="Z153" s="258">
        <v>106917</v>
      </c>
      <c r="AA153" s="258">
        <v>106917</v>
      </c>
      <c r="AB153" s="258">
        <v>106917</v>
      </c>
      <c r="AC153" s="258">
        <v>106917</v>
      </c>
      <c r="AD153" s="258">
        <v>106917</v>
      </c>
      <c r="AE153" s="258">
        <v>106917</v>
      </c>
      <c r="AF153" s="256"/>
      <c r="AG153" s="265">
        <f t="shared" si="5"/>
        <v>106917</v>
      </c>
      <c r="AH153" s="44">
        <v>106917</v>
      </c>
    </row>
    <row r="154" spans="1:34" x14ac:dyDescent="0.35">
      <c r="A154" s="30" t="s">
        <v>293</v>
      </c>
      <c r="B154" s="258">
        <v>106456</v>
      </c>
      <c r="C154" s="258">
        <v>106456</v>
      </c>
      <c r="D154" s="258">
        <v>106456</v>
      </c>
      <c r="E154" s="258">
        <v>106456</v>
      </c>
      <c r="F154" s="258">
        <v>106456</v>
      </c>
      <c r="G154" s="258">
        <v>106456</v>
      </c>
      <c r="H154" s="258">
        <v>106456</v>
      </c>
      <c r="I154" s="258">
        <v>106456</v>
      </c>
      <c r="J154" s="258">
        <v>106456</v>
      </c>
      <c r="K154" s="258">
        <v>106456</v>
      </c>
      <c r="L154" s="258">
        <v>106456</v>
      </c>
      <c r="M154" s="258">
        <v>106456</v>
      </c>
      <c r="N154" s="258">
        <v>106456</v>
      </c>
      <c r="O154" s="258">
        <v>106456</v>
      </c>
      <c r="P154" s="258">
        <v>106456</v>
      </c>
      <c r="Q154" s="258">
        <v>106456</v>
      </c>
      <c r="R154" s="258">
        <v>106456</v>
      </c>
      <c r="S154" s="258">
        <v>106456</v>
      </c>
      <c r="T154" s="258">
        <v>106456</v>
      </c>
      <c r="U154" s="258">
        <v>106456</v>
      </c>
      <c r="V154" s="258">
        <v>106456</v>
      </c>
      <c r="W154" s="258">
        <v>106456</v>
      </c>
      <c r="X154" s="258">
        <v>106456</v>
      </c>
      <c r="Y154" s="258">
        <v>106456</v>
      </c>
      <c r="Z154" s="258">
        <v>106456</v>
      </c>
      <c r="AA154" s="258">
        <v>106456</v>
      </c>
      <c r="AB154" s="258">
        <v>106456</v>
      </c>
      <c r="AC154" s="258">
        <v>106456</v>
      </c>
      <c r="AD154" s="258">
        <v>106456</v>
      </c>
      <c r="AE154" s="258">
        <v>106456</v>
      </c>
      <c r="AF154" s="256"/>
      <c r="AG154" s="265">
        <f t="shared" si="5"/>
        <v>106456</v>
      </c>
      <c r="AH154" s="44">
        <v>106456</v>
      </c>
    </row>
    <row r="155" spans="1:34" x14ac:dyDescent="0.35">
      <c r="A155" s="30" t="s">
        <v>294</v>
      </c>
      <c r="B155" s="258">
        <v>98527</v>
      </c>
      <c r="C155" s="258">
        <v>98527</v>
      </c>
      <c r="D155" s="258">
        <v>98527</v>
      </c>
      <c r="E155" s="258">
        <v>98527</v>
      </c>
      <c r="F155" s="258">
        <v>98527</v>
      </c>
      <c r="G155" s="258">
        <v>98527</v>
      </c>
      <c r="H155" s="258">
        <v>98527</v>
      </c>
      <c r="I155" s="258">
        <v>98527</v>
      </c>
      <c r="J155" s="258">
        <v>98527</v>
      </c>
      <c r="K155" s="258">
        <v>98527</v>
      </c>
      <c r="L155" s="258">
        <v>98527</v>
      </c>
      <c r="M155" s="258">
        <v>98527</v>
      </c>
      <c r="N155" s="258">
        <v>98527</v>
      </c>
      <c r="O155" s="258">
        <v>98527</v>
      </c>
      <c r="P155" s="258">
        <v>98527</v>
      </c>
      <c r="Q155" s="258">
        <v>98527</v>
      </c>
      <c r="R155" s="258">
        <v>98527</v>
      </c>
      <c r="S155" s="258">
        <v>98527</v>
      </c>
      <c r="T155" s="258">
        <v>98527</v>
      </c>
      <c r="U155" s="258">
        <v>98527</v>
      </c>
      <c r="V155" s="258">
        <v>98527</v>
      </c>
      <c r="W155" s="258">
        <v>98527</v>
      </c>
      <c r="X155" s="258">
        <v>98527</v>
      </c>
      <c r="Y155" s="258">
        <v>98527</v>
      </c>
      <c r="Z155" s="258">
        <v>98527</v>
      </c>
      <c r="AA155" s="258">
        <v>98527</v>
      </c>
      <c r="AB155" s="258">
        <v>98527</v>
      </c>
      <c r="AC155" s="258">
        <v>98527</v>
      </c>
      <c r="AD155" s="258">
        <v>98527</v>
      </c>
      <c r="AE155" s="258">
        <v>98527</v>
      </c>
      <c r="AF155" s="256"/>
      <c r="AG155" s="265">
        <f t="shared" si="5"/>
        <v>98527</v>
      </c>
      <c r="AH155" s="44">
        <v>98527</v>
      </c>
    </row>
    <row r="156" spans="1:34" x14ac:dyDescent="0.35">
      <c r="A156" s="30" t="s">
        <v>295</v>
      </c>
      <c r="B156" s="258">
        <v>101532</v>
      </c>
      <c r="C156" s="258">
        <v>101532</v>
      </c>
      <c r="D156" s="258">
        <v>101532</v>
      </c>
      <c r="E156" s="258">
        <v>101532</v>
      </c>
      <c r="F156" s="258">
        <v>101532</v>
      </c>
      <c r="G156" s="258">
        <v>101532</v>
      </c>
      <c r="H156" s="258">
        <v>101532</v>
      </c>
      <c r="I156" s="258">
        <v>101532</v>
      </c>
      <c r="J156" s="258">
        <v>101532</v>
      </c>
      <c r="K156" s="258">
        <v>101532</v>
      </c>
      <c r="L156" s="258">
        <v>101532</v>
      </c>
      <c r="M156" s="258">
        <v>101532</v>
      </c>
      <c r="N156" s="258">
        <v>101532</v>
      </c>
      <c r="O156" s="258">
        <v>101532</v>
      </c>
      <c r="P156" s="258">
        <v>101532</v>
      </c>
      <c r="Q156" s="258">
        <v>101532</v>
      </c>
      <c r="R156" s="258">
        <v>101532</v>
      </c>
      <c r="S156" s="258">
        <v>101532</v>
      </c>
      <c r="T156" s="258">
        <v>101532</v>
      </c>
      <c r="U156" s="258">
        <v>101532</v>
      </c>
      <c r="V156" s="258">
        <v>101532</v>
      </c>
      <c r="W156" s="258">
        <v>101532</v>
      </c>
      <c r="X156" s="258">
        <v>101532</v>
      </c>
      <c r="Y156" s="258">
        <v>101532</v>
      </c>
      <c r="Z156" s="258">
        <v>101532</v>
      </c>
      <c r="AA156" s="258">
        <v>101532</v>
      </c>
      <c r="AB156" s="258">
        <v>101532</v>
      </c>
      <c r="AC156" s="258">
        <v>101532</v>
      </c>
      <c r="AD156" s="258">
        <v>101532</v>
      </c>
      <c r="AE156" s="258">
        <v>101532</v>
      </c>
      <c r="AF156" s="256"/>
      <c r="AG156" s="265">
        <f t="shared" si="5"/>
        <v>101532</v>
      </c>
      <c r="AH156" s="44">
        <v>101532</v>
      </c>
    </row>
    <row r="157" spans="1:34" x14ac:dyDescent="0.35">
      <c r="A157" s="30" t="s">
        <v>296</v>
      </c>
      <c r="B157" s="258">
        <v>100761</v>
      </c>
      <c r="C157" s="258">
        <v>100761</v>
      </c>
      <c r="D157" s="258">
        <v>100761</v>
      </c>
      <c r="E157" s="258">
        <v>100761</v>
      </c>
      <c r="F157" s="258">
        <v>100761</v>
      </c>
      <c r="G157" s="258">
        <v>100761</v>
      </c>
      <c r="H157" s="258">
        <v>100761</v>
      </c>
      <c r="I157" s="258">
        <v>100761</v>
      </c>
      <c r="J157" s="258">
        <v>100761</v>
      </c>
      <c r="K157" s="258">
        <v>100761</v>
      </c>
      <c r="L157" s="258">
        <v>100761</v>
      </c>
      <c r="M157" s="258">
        <v>100761</v>
      </c>
      <c r="N157" s="258">
        <v>100761</v>
      </c>
      <c r="O157" s="258">
        <v>100761</v>
      </c>
      <c r="P157" s="258">
        <v>100761</v>
      </c>
      <c r="Q157" s="258">
        <v>100761</v>
      </c>
      <c r="R157" s="258">
        <v>100761</v>
      </c>
      <c r="S157" s="258">
        <v>100761</v>
      </c>
      <c r="T157" s="258">
        <v>100761</v>
      </c>
      <c r="U157" s="258">
        <v>100761</v>
      </c>
      <c r="V157" s="258">
        <v>100761</v>
      </c>
      <c r="W157" s="258">
        <v>100761</v>
      </c>
      <c r="X157" s="258">
        <v>100761</v>
      </c>
      <c r="Y157" s="258">
        <v>100761</v>
      </c>
      <c r="Z157" s="258">
        <v>100761</v>
      </c>
      <c r="AA157" s="258">
        <v>100761</v>
      </c>
      <c r="AB157" s="258">
        <v>100761</v>
      </c>
      <c r="AC157" s="258">
        <v>100761</v>
      </c>
      <c r="AD157" s="258">
        <v>100761</v>
      </c>
      <c r="AE157" s="258">
        <v>100761</v>
      </c>
      <c r="AF157" s="256"/>
      <c r="AG157" s="265">
        <f t="shared" si="5"/>
        <v>100761</v>
      </c>
      <c r="AH157" s="44">
        <v>100761</v>
      </c>
    </row>
    <row r="158" spans="1:34" x14ac:dyDescent="0.35">
      <c r="A158" s="30" t="s">
        <v>298</v>
      </c>
      <c r="B158" s="258">
        <v>73007</v>
      </c>
      <c r="C158" s="258">
        <v>73007</v>
      </c>
      <c r="D158" s="258">
        <v>73007</v>
      </c>
      <c r="E158" s="258">
        <v>73007</v>
      </c>
      <c r="F158" s="258">
        <v>73007</v>
      </c>
      <c r="G158" s="258">
        <v>73007</v>
      </c>
      <c r="H158" s="258">
        <v>73007</v>
      </c>
      <c r="I158" s="258">
        <v>73007</v>
      </c>
      <c r="J158" s="258">
        <v>73007</v>
      </c>
      <c r="K158" s="258">
        <v>73007</v>
      </c>
      <c r="L158" s="258">
        <v>73007</v>
      </c>
      <c r="M158" s="258">
        <v>73007</v>
      </c>
      <c r="N158" s="258">
        <v>73007</v>
      </c>
      <c r="O158" s="258">
        <v>73007</v>
      </c>
      <c r="P158" s="258">
        <v>73007</v>
      </c>
      <c r="Q158" s="258">
        <v>73007</v>
      </c>
      <c r="R158" s="258">
        <v>73007</v>
      </c>
      <c r="S158" s="258">
        <v>73007</v>
      </c>
      <c r="T158" s="258">
        <v>73007</v>
      </c>
      <c r="U158" s="258">
        <v>73007</v>
      </c>
      <c r="V158" s="258">
        <v>73007</v>
      </c>
      <c r="W158" s="258">
        <v>73007</v>
      </c>
      <c r="X158" s="258">
        <v>73007</v>
      </c>
      <c r="Y158" s="258">
        <v>73007</v>
      </c>
      <c r="Z158" s="258">
        <v>73007</v>
      </c>
      <c r="AA158" s="258">
        <v>73007</v>
      </c>
      <c r="AB158" s="258">
        <v>73007</v>
      </c>
      <c r="AC158" s="258">
        <v>73007</v>
      </c>
      <c r="AD158" s="258">
        <v>73007</v>
      </c>
      <c r="AE158" s="258">
        <v>73007</v>
      </c>
      <c r="AF158" s="256"/>
      <c r="AG158" s="265">
        <f t="shared" si="5"/>
        <v>73007</v>
      </c>
      <c r="AH158" s="44">
        <v>73007</v>
      </c>
    </row>
    <row r="159" spans="1:34" x14ac:dyDescent="0.35">
      <c r="A159" s="30" t="s">
        <v>299</v>
      </c>
      <c r="B159" s="258">
        <v>97371</v>
      </c>
      <c r="C159" s="258">
        <v>97371</v>
      </c>
      <c r="D159" s="258">
        <v>97371</v>
      </c>
      <c r="E159" s="258">
        <v>97371</v>
      </c>
      <c r="F159" s="258">
        <v>97371</v>
      </c>
      <c r="G159" s="258">
        <v>97371</v>
      </c>
      <c r="H159" s="258">
        <v>97371</v>
      </c>
      <c r="I159" s="258">
        <v>97371</v>
      </c>
      <c r="J159" s="258">
        <v>97371</v>
      </c>
      <c r="K159" s="258">
        <v>97371</v>
      </c>
      <c r="L159" s="258">
        <v>97371</v>
      </c>
      <c r="M159" s="258">
        <v>97371</v>
      </c>
      <c r="N159" s="258">
        <v>97371</v>
      </c>
      <c r="O159" s="258">
        <v>97371</v>
      </c>
      <c r="P159" s="258">
        <v>97371</v>
      </c>
      <c r="Q159" s="258">
        <v>97371</v>
      </c>
      <c r="R159" s="258">
        <v>97371</v>
      </c>
      <c r="S159" s="258">
        <v>97371</v>
      </c>
      <c r="T159" s="258">
        <v>97371</v>
      </c>
      <c r="U159" s="258">
        <v>97371</v>
      </c>
      <c r="V159" s="258">
        <v>97371</v>
      </c>
      <c r="W159" s="258">
        <v>97371</v>
      </c>
      <c r="X159" s="258">
        <v>97371</v>
      </c>
      <c r="Y159" s="258">
        <v>97371</v>
      </c>
      <c r="Z159" s="258">
        <v>97371</v>
      </c>
      <c r="AA159" s="258">
        <v>97371</v>
      </c>
      <c r="AB159" s="258">
        <v>97371</v>
      </c>
      <c r="AC159" s="258">
        <v>97371</v>
      </c>
      <c r="AD159" s="258">
        <v>97371</v>
      </c>
      <c r="AE159" s="258">
        <v>97371</v>
      </c>
      <c r="AF159" s="256"/>
      <c r="AG159" s="265">
        <f t="shared" si="5"/>
        <v>97371</v>
      </c>
      <c r="AH159" s="44">
        <v>97371</v>
      </c>
    </row>
    <row r="160" spans="1:34" x14ac:dyDescent="0.35">
      <c r="A160" s="30" t="s">
        <v>300</v>
      </c>
      <c r="B160" s="258">
        <v>84140</v>
      </c>
      <c r="C160" s="258">
        <v>84140</v>
      </c>
      <c r="D160" s="258">
        <v>84140</v>
      </c>
      <c r="E160" s="258">
        <v>84140</v>
      </c>
      <c r="F160" s="258">
        <v>84140</v>
      </c>
      <c r="G160" s="258">
        <v>84140</v>
      </c>
      <c r="H160" s="258">
        <v>84140</v>
      </c>
      <c r="I160" s="258">
        <v>84140</v>
      </c>
      <c r="J160" s="258">
        <v>84140</v>
      </c>
      <c r="K160" s="258">
        <v>84140</v>
      </c>
      <c r="L160" s="258">
        <v>84140</v>
      </c>
      <c r="M160" s="258">
        <v>84140</v>
      </c>
      <c r="N160" s="258">
        <v>84140</v>
      </c>
      <c r="O160" s="258">
        <v>84140</v>
      </c>
      <c r="P160" s="258">
        <v>84140</v>
      </c>
      <c r="Q160" s="258">
        <v>84140</v>
      </c>
      <c r="R160" s="258">
        <v>84140</v>
      </c>
      <c r="S160" s="258">
        <v>84140</v>
      </c>
      <c r="T160" s="258">
        <v>84140</v>
      </c>
      <c r="U160" s="258">
        <v>84140</v>
      </c>
      <c r="V160" s="258">
        <v>84140</v>
      </c>
      <c r="W160" s="258">
        <v>84140</v>
      </c>
      <c r="X160" s="258">
        <v>84140</v>
      </c>
      <c r="Y160" s="258">
        <v>84140</v>
      </c>
      <c r="Z160" s="258">
        <v>84140</v>
      </c>
      <c r="AA160" s="258">
        <v>84140</v>
      </c>
      <c r="AB160" s="258">
        <v>84140</v>
      </c>
      <c r="AC160" s="258">
        <v>84140</v>
      </c>
      <c r="AD160" s="258">
        <v>84140</v>
      </c>
      <c r="AE160" s="258">
        <v>84140</v>
      </c>
      <c r="AF160" s="256"/>
      <c r="AG160" s="265">
        <f t="shared" si="5"/>
        <v>84140</v>
      </c>
      <c r="AH160" s="44">
        <v>84140</v>
      </c>
    </row>
    <row r="161" spans="1:34" x14ac:dyDescent="0.35">
      <c r="A161" s="30" t="s">
        <v>301</v>
      </c>
      <c r="B161" s="258">
        <v>93607</v>
      </c>
      <c r="C161" s="258">
        <v>93607</v>
      </c>
      <c r="D161" s="258">
        <v>93607</v>
      </c>
      <c r="E161" s="258">
        <v>93607</v>
      </c>
      <c r="F161" s="258">
        <v>93607</v>
      </c>
      <c r="G161" s="258">
        <v>93607</v>
      </c>
      <c r="H161" s="258">
        <v>93607</v>
      </c>
      <c r="I161" s="258">
        <v>93607</v>
      </c>
      <c r="J161" s="258">
        <v>93607</v>
      </c>
      <c r="K161" s="258">
        <v>93607</v>
      </c>
      <c r="L161" s="258">
        <v>93607</v>
      </c>
      <c r="M161" s="258">
        <v>93607</v>
      </c>
      <c r="N161" s="258">
        <v>93607</v>
      </c>
      <c r="O161" s="258">
        <v>93607</v>
      </c>
      <c r="P161" s="258">
        <v>93607</v>
      </c>
      <c r="Q161" s="258">
        <v>93607</v>
      </c>
      <c r="R161" s="258">
        <v>93607</v>
      </c>
      <c r="S161" s="258">
        <v>93607</v>
      </c>
      <c r="T161" s="258">
        <v>93607</v>
      </c>
      <c r="U161" s="258">
        <v>93607</v>
      </c>
      <c r="V161" s="258">
        <v>93607</v>
      </c>
      <c r="W161" s="258">
        <v>93607</v>
      </c>
      <c r="X161" s="258">
        <v>93607</v>
      </c>
      <c r="Y161" s="258">
        <v>93607</v>
      </c>
      <c r="Z161" s="258">
        <v>93607</v>
      </c>
      <c r="AA161" s="258">
        <v>93607</v>
      </c>
      <c r="AB161" s="258">
        <v>93607</v>
      </c>
      <c r="AC161" s="258">
        <v>93607</v>
      </c>
      <c r="AD161" s="258">
        <v>93607</v>
      </c>
      <c r="AE161" s="258">
        <v>93607</v>
      </c>
      <c r="AF161" s="256"/>
      <c r="AG161" s="265">
        <f t="shared" si="5"/>
        <v>93607</v>
      </c>
      <c r="AH161" s="44">
        <v>93607</v>
      </c>
    </row>
    <row r="162" spans="1:34" x14ac:dyDescent="0.35">
      <c r="A162" s="30" t="s">
        <v>302</v>
      </c>
      <c r="B162" s="259">
        <v>0</v>
      </c>
      <c r="C162" s="255">
        <v>0</v>
      </c>
      <c r="D162" s="255">
        <v>0</v>
      </c>
      <c r="E162" s="255">
        <v>0</v>
      </c>
      <c r="F162" s="255">
        <v>0</v>
      </c>
      <c r="G162" s="255">
        <v>0</v>
      </c>
      <c r="H162" s="255">
        <v>0</v>
      </c>
      <c r="I162" s="255">
        <v>0</v>
      </c>
      <c r="J162" s="255">
        <v>0</v>
      </c>
      <c r="K162" s="255">
        <v>0</v>
      </c>
      <c r="L162" s="255">
        <v>0</v>
      </c>
      <c r="M162" s="255">
        <v>0</v>
      </c>
      <c r="N162" s="255">
        <v>0</v>
      </c>
      <c r="O162" s="255">
        <v>0</v>
      </c>
      <c r="P162" s="255">
        <v>0</v>
      </c>
      <c r="Q162" s="255">
        <v>0</v>
      </c>
      <c r="R162" s="255">
        <v>0</v>
      </c>
      <c r="S162" s="255">
        <v>0</v>
      </c>
      <c r="T162" s="255">
        <v>0</v>
      </c>
      <c r="U162" s="255">
        <v>0</v>
      </c>
      <c r="V162" s="255">
        <v>0</v>
      </c>
      <c r="W162" s="255">
        <v>0</v>
      </c>
      <c r="X162" s="255">
        <v>0</v>
      </c>
      <c r="Y162" s="255">
        <v>0</v>
      </c>
      <c r="Z162" s="255">
        <v>0</v>
      </c>
      <c r="AA162" s="255">
        <v>0</v>
      </c>
      <c r="AB162" s="255">
        <v>0</v>
      </c>
      <c r="AC162" s="255">
        <v>0</v>
      </c>
      <c r="AD162" s="255">
        <v>0</v>
      </c>
      <c r="AE162" s="255">
        <v>0</v>
      </c>
      <c r="AF162" s="256"/>
      <c r="AG162" s="265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60">
        <v>0</v>
      </c>
      <c r="C163" s="261">
        <v>0</v>
      </c>
      <c r="D163" s="261">
        <v>0</v>
      </c>
      <c r="E163" s="261">
        <v>0</v>
      </c>
      <c r="F163" s="261">
        <v>0</v>
      </c>
      <c r="G163" s="261">
        <v>0</v>
      </c>
      <c r="H163" s="261">
        <v>0</v>
      </c>
      <c r="I163" s="261">
        <v>0</v>
      </c>
      <c r="J163" s="261">
        <v>0</v>
      </c>
      <c r="K163" s="261">
        <v>0</v>
      </c>
      <c r="L163" s="261">
        <v>0</v>
      </c>
      <c r="M163" s="261">
        <v>0</v>
      </c>
      <c r="N163" s="261">
        <v>0</v>
      </c>
      <c r="O163" s="261">
        <v>0</v>
      </c>
      <c r="P163" s="261">
        <v>0</v>
      </c>
      <c r="Q163" s="261">
        <v>0</v>
      </c>
      <c r="R163" s="261">
        <v>0</v>
      </c>
      <c r="S163" s="261">
        <v>0</v>
      </c>
      <c r="T163" s="261">
        <v>0</v>
      </c>
      <c r="U163" s="261">
        <v>0</v>
      </c>
      <c r="V163" s="261">
        <v>0</v>
      </c>
      <c r="W163" s="261">
        <v>0</v>
      </c>
      <c r="X163" s="261">
        <v>0</v>
      </c>
      <c r="Y163" s="261">
        <v>0</v>
      </c>
      <c r="Z163" s="261">
        <v>0</v>
      </c>
      <c r="AA163" s="261">
        <v>0</v>
      </c>
      <c r="AB163" s="261">
        <v>0</v>
      </c>
      <c r="AC163" s="261">
        <v>0</v>
      </c>
      <c r="AD163" s="261">
        <v>0</v>
      </c>
      <c r="AE163" s="261">
        <v>0</v>
      </c>
      <c r="AF163" s="262"/>
      <c r="AG163" s="266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0CE7-8F42-41B4-94B2-7ABD0564364A}">
  <sheetPr codeName="Hoja11"/>
  <dimension ref="A1:AH163"/>
  <sheetViews>
    <sheetView showGridLines="0" zoomScale="70" zoomScaleNormal="70" workbookViewId="0">
      <pane xSplit="1" ySplit="3" topLeftCell="O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 t="s">
        <v>547</v>
      </c>
      <c r="B1" s="6" t="s">
        <v>0</v>
      </c>
      <c r="G1" s="39"/>
      <c r="L1" s="39"/>
      <c r="AF1" s="39"/>
      <c r="AG1" s="39"/>
    </row>
    <row r="2" spans="1:34" ht="15" thickBot="1" x14ac:dyDescent="0.4">
      <c r="AF2" s="39"/>
      <c r="AG2" s="39"/>
    </row>
    <row r="3" spans="1:34" ht="15" thickBot="1" x14ac:dyDescent="0.4">
      <c r="A3" s="17" t="s">
        <v>270</v>
      </c>
      <c r="B3" s="45">
        <v>45505</v>
      </c>
      <c r="C3" s="46">
        <v>45506</v>
      </c>
      <c r="D3" s="46">
        <v>45507</v>
      </c>
      <c r="E3" s="46">
        <v>45508</v>
      </c>
      <c r="F3" s="46">
        <v>45509</v>
      </c>
      <c r="G3" s="46">
        <v>45510</v>
      </c>
      <c r="H3" s="46">
        <v>45511</v>
      </c>
      <c r="I3" s="46">
        <v>45512</v>
      </c>
      <c r="J3" s="46">
        <v>45513</v>
      </c>
      <c r="K3" s="46">
        <v>45514</v>
      </c>
      <c r="L3" s="46">
        <v>45515</v>
      </c>
      <c r="M3" s="46">
        <v>45516</v>
      </c>
      <c r="N3" s="46">
        <v>45517</v>
      </c>
      <c r="O3" s="46">
        <v>45518</v>
      </c>
      <c r="P3" s="46">
        <v>45519</v>
      </c>
      <c r="Q3" s="46">
        <v>45520</v>
      </c>
      <c r="R3" s="46">
        <v>45521</v>
      </c>
      <c r="S3" s="46">
        <v>45522</v>
      </c>
      <c r="T3" s="46">
        <v>45523</v>
      </c>
      <c r="U3" s="46">
        <v>45524</v>
      </c>
      <c r="V3" s="46">
        <v>45525</v>
      </c>
      <c r="W3" s="46">
        <v>45526</v>
      </c>
      <c r="X3" s="46">
        <v>45527</v>
      </c>
      <c r="Y3" s="46">
        <v>45528</v>
      </c>
      <c r="Z3" s="46">
        <v>45529</v>
      </c>
      <c r="AA3" s="46">
        <v>45530</v>
      </c>
      <c r="AB3" s="46">
        <v>45531</v>
      </c>
      <c r="AC3" s="46">
        <v>45532</v>
      </c>
      <c r="AD3" s="46">
        <v>45533</v>
      </c>
      <c r="AE3" s="46">
        <v>45534</v>
      </c>
      <c r="AF3" s="48">
        <v>45535</v>
      </c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220">
        <v>82452.330000000176</v>
      </c>
      <c r="C4" s="221">
        <v>82470.400000000183</v>
      </c>
      <c r="D4" s="221">
        <v>82478.670000000187</v>
      </c>
      <c r="E4" s="221">
        <v>82500.450000000186</v>
      </c>
      <c r="F4" s="221">
        <v>82521.840000000186</v>
      </c>
      <c r="G4" s="221">
        <v>82528.790000000183</v>
      </c>
      <c r="H4" s="221">
        <v>82549.930000000182</v>
      </c>
      <c r="I4" s="221">
        <v>82566.900000000183</v>
      </c>
      <c r="J4" s="221">
        <v>82569.070000000182</v>
      </c>
      <c r="K4" s="221">
        <v>82571.640000000189</v>
      </c>
      <c r="L4" s="221">
        <v>82571.710000000196</v>
      </c>
      <c r="M4" s="221">
        <v>82584.310000000201</v>
      </c>
      <c r="N4" s="221">
        <v>82604.940000000206</v>
      </c>
      <c r="O4" s="221">
        <v>82624.760000000213</v>
      </c>
      <c r="P4" s="221">
        <v>82646.21000000021</v>
      </c>
      <c r="Q4" s="221">
        <v>82661.890000000203</v>
      </c>
      <c r="R4" s="221">
        <v>82683.740000000209</v>
      </c>
      <c r="S4" s="221">
        <v>82704.720000000205</v>
      </c>
      <c r="T4" s="221">
        <v>82726.180000000211</v>
      </c>
      <c r="U4" s="221">
        <v>82747.420000000217</v>
      </c>
      <c r="V4" s="221">
        <v>82766.46000000021</v>
      </c>
      <c r="W4" s="221">
        <v>82786.900000000212</v>
      </c>
      <c r="X4" s="221">
        <v>82801.550000000207</v>
      </c>
      <c r="Y4" s="221">
        <v>82813.380000000208</v>
      </c>
      <c r="Z4" s="221">
        <v>82829.46000000021</v>
      </c>
      <c r="AA4" s="221">
        <v>82850.950000000215</v>
      </c>
      <c r="AB4" s="221">
        <v>82871.33000000022</v>
      </c>
      <c r="AC4" s="221">
        <v>82883.090000000215</v>
      </c>
      <c r="AD4" s="221">
        <v>82893.400000000212</v>
      </c>
      <c r="AE4" s="221">
        <v>82915.070000000211</v>
      </c>
      <c r="AF4" s="222">
        <v>82936.820000000211</v>
      </c>
      <c r="AG4" s="51">
        <f t="shared" ref="AG4:AG35" si="0">MAX(B4:AF4)</f>
        <v>82936.820000000211</v>
      </c>
      <c r="AH4" s="44">
        <v>82430.759999999995</v>
      </c>
    </row>
    <row r="5" spans="1:34" x14ac:dyDescent="0.35">
      <c r="A5" s="33" t="s">
        <v>11</v>
      </c>
      <c r="B5" s="223">
        <v>82475.03000000029</v>
      </c>
      <c r="C5" s="64">
        <v>82490.760000000286</v>
      </c>
      <c r="D5" s="64">
        <v>82490.800000000279</v>
      </c>
      <c r="E5" s="64">
        <v>82490.800000000279</v>
      </c>
      <c r="F5" s="64">
        <v>82490.800000000279</v>
      </c>
      <c r="G5" s="64">
        <v>82490.800000000279</v>
      </c>
      <c r="H5" s="64">
        <v>82490.800000000279</v>
      </c>
      <c r="I5" s="64">
        <v>82509.680000000284</v>
      </c>
      <c r="J5" s="64">
        <v>82522.080000000278</v>
      </c>
      <c r="K5" s="64">
        <v>82535.41000000028</v>
      </c>
      <c r="L5" s="64">
        <v>82556.870000000286</v>
      </c>
      <c r="M5" s="64">
        <v>82566.040000000285</v>
      </c>
      <c r="N5" s="64">
        <v>82586.360000000292</v>
      </c>
      <c r="O5" s="64">
        <v>82604.560000000289</v>
      </c>
      <c r="P5" s="64">
        <v>82625.510000000286</v>
      </c>
      <c r="Q5" s="64">
        <v>82630.460000000283</v>
      </c>
      <c r="R5" s="64">
        <v>82650.960000000283</v>
      </c>
      <c r="S5" s="64">
        <v>82671.600000000282</v>
      </c>
      <c r="T5" s="64">
        <v>82681.310000000289</v>
      </c>
      <c r="U5" s="64">
        <v>82699.500000000291</v>
      </c>
      <c r="V5" s="64">
        <v>82711.120000000286</v>
      </c>
      <c r="W5" s="64">
        <v>82722.350000000282</v>
      </c>
      <c r="X5" s="64">
        <v>82735.200000000288</v>
      </c>
      <c r="Y5" s="64">
        <v>82756.760000000286</v>
      </c>
      <c r="Z5" s="64">
        <v>82767.580000000293</v>
      </c>
      <c r="AA5" s="64">
        <v>82788.100000000297</v>
      </c>
      <c r="AB5" s="64">
        <v>82797.720000000292</v>
      </c>
      <c r="AC5" s="64">
        <v>82818.860000000292</v>
      </c>
      <c r="AD5" s="64">
        <v>82833.520000000295</v>
      </c>
      <c r="AE5" s="64">
        <v>82848.230000000302</v>
      </c>
      <c r="AF5" s="224">
        <v>82848.230000000302</v>
      </c>
      <c r="AG5" s="51">
        <f t="shared" si="0"/>
        <v>82848.230000000302</v>
      </c>
      <c r="AH5" s="44">
        <v>82465.97</v>
      </c>
    </row>
    <row r="6" spans="1:34" x14ac:dyDescent="0.35">
      <c r="A6" s="33" t="s">
        <v>12</v>
      </c>
      <c r="B6" s="223">
        <v>82892.6899999999</v>
      </c>
      <c r="C6" s="64">
        <v>82904.949999999895</v>
      </c>
      <c r="D6" s="64">
        <v>82926.429999999891</v>
      </c>
      <c r="E6" s="64">
        <v>82948.109999999884</v>
      </c>
      <c r="F6" s="64">
        <v>82968.909999999887</v>
      </c>
      <c r="G6" s="64">
        <v>82989.299999999886</v>
      </c>
      <c r="H6" s="64">
        <v>82993.159999999887</v>
      </c>
      <c r="I6" s="64">
        <v>83011.45999999989</v>
      </c>
      <c r="J6" s="64">
        <v>83030.289999999892</v>
      </c>
      <c r="K6" s="64">
        <v>83044.699999999895</v>
      </c>
      <c r="L6" s="64">
        <v>83064.589999999895</v>
      </c>
      <c r="M6" s="64">
        <v>83085.839999999895</v>
      </c>
      <c r="N6" s="64">
        <v>83105.349999999889</v>
      </c>
      <c r="O6" s="64">
        <v>83123.809999999896</v>
      </c>
      <c r="P6" s="64">
        <v>83145.259999999893</v>
      </c>
      <c r="Q6" s="64">
        <v>83163.20999999989</v>
      </c>
      <c r="R6" s="64">
        <v>83184.289999999892</v>
      </c>
      <c r="S6" s="64">
        <v>83205.659999999887</v>
      </c>
      <c r="T6" s="64">
        <v>83227.129999999888</v>
      </c>
      <c r="U6" s="64">
        <v>83247.939999999886</v>
      </c>
      <c r="V6" s="64">
        <v>83266.609999999884</v>
      </c>
      <c r="W6" s="64">
        <v>83277.519999999888</v>
      </c>
      <c r="X6" s="64">
        <v>83298.979999999894</v>
      </c>
      <c r="Y6" s="64">
        <v>83320.359999999899</v>
      </c>
      <c r="Z6" s="64">
        <v>83339.139999999898</v>
      </c>
      <c r="AA6" s="64">
        <v>83349.859999999899</v>
      </c>
      <c r="AB6" s="64">
        <v>83360.799999999901</v>
      </c>
      <c r="AC6" s="64">
        <v>83368.669999999896</v>
      </c>
      <c r="AD6" s="64">
        <v>83373.699999999895</v>
      </c>
      <c r="AE6" s="64">
        <v>83389.4399999999</v>
      </c>
      <c r="AF6" s="224">
        <v>83405.209999999905</v>
      </c>
      <c r="AG6" s="51">
        <f t="shared" si="0"/>
        <v>83405.209999999905</v>
      </c>
      <c r="AH6" s="44">
        <v>82882.509999999995</v>
      </c>
    </row>
    <row r="7" spans="1:34" x14ac:dyDescent="0.35">
      <c r="A7" s="33" t="s">
        <v>13</v>
      </c>
      <c r="B7" s="223">
        <v>83431.479999999967</v>
      </c>
      <c r="C7" s="64">
        <v>83453.039999999964</v>
      </c>
      <c r="D7" s="64">
        <v>83472.259999999966</v>
      </c>
      <c r="E7" s="64">
        <v>83488.77999999997</v>
      </c>
      <c r="F7" s="64">
        <v>83510.809999999969</v>
      </c>
      <c r="G7" s="64">
        <v>83530.77999999997</v>
      </c>
      <c r="H7" s="64">
        <v>83548.599999999977</v>
      </c>
      <c r="I7" s="64">
        <v>83562.449999999983</v>
      </c>
      <c r="J7" s="64">
        <v>83579.449999999983</v>
      </c>
      <c r="K7" s="64">
        <v>83600.929999999978</v>
      </c>
      <c r="L7" s="64">
        <v>83622.189999999973</v>
      </c>
      <c r="M7" s="64">
        <v>83631.049999999974</v>
      </c>
      <c r="N7" s="64">
        <v>83650.27999999997</v>
      </c>
      <c r="O7" s="64">
        <v>83666.059999999969</v>
      </c>
      <c r="P7" s="64">
        <v>83682.819999999963</v>
      </c>
      <c r="Q7" s="64">
        <v>83700.559999999969</v>
      </c>
      <c r="R7" s="64">
        <v>83721.989999999962</v>
      </c>
      <c r="S7" s="64">
        <v>83743.239999999962</v>
      </c>
      <c r="T7" s="64">
        <v>83761.089999999967</v>
      </c>
      <c r="U7" s="64">
        <v>83781.669999999969</v>
      </c>
      <c r="V7" s="64">
        <v>83802.669999999969</v>
      </c>
      <c r="W7" s="64">
        <v>83824.049999999974</v>
      </c>
      <c r="X7" s="64">
        <v>83845.369999999981</v>
      </c>
      <c r="Y7" s="64">
        <v>83854.459999999977</v>
      </c>
      <c r="Z7" s="64">
        <v>83854.459999999977</v>
      </c>
      <c r="AA7" s="64">
        <v>83866.219999999972</v>
      </c>
      <c r="AB7" s="64">
        <v>83887.469999999972</v>
      </c>
      <c r="AC7" s="64">
        <v>83908.199999999968</v>
      </c>
      <c r="AD7" s="64">
        <v>83926.129999999961</v>
      </c>
      <c r="AE7" s="64">
        <v>83942.859999999957</v>
      </c>
      <c r="AF7" s="224">
        <v>83963.879999999961</v>
      </c>
      <c r="AG7" s="51">
        <f t="shared" si="0"/>
        <v>83963.879999999961</v>
      </c>
      <c r="AH7" s="44">
        <v>83409.919999999998</v>
      </c>
    </row>
    <row r="8" spans="1:34" x14ac:dyDescent="0.35">
      <c r="A8" s="33" t="s">
        <v>14</v>
      </c>
      <c r="B8" s="223">
        <v>78687.800000000017</v>
      </c>
      <c r="C8" s="64">
        <v>78703.830000000016</v>
      </c>
      <c r="D8" s="64">
        <v>78725.170000000013</v>
      </c>
      <c r="E8" s="64">
        <v>78745.780000000013</v>
      </c>
      <c r="F8" s="64">
        <v>78767.450000000012</v>
      </c>
      <c r="G8" s="64">
        <v>78780.830000000016</v>
      </c>
      <c r="H8" s="64">
        <v>78799.860000000015</v>
      </c>
      <c r="I8" s="64">
        <v>78820.550000000017</v>
      </c>
      <c r="J8" s="64">
        <v>78836.690000000017</v>
      </c>
      <c r="K8" s="64">
        <v>78857.820000000022</v>
      </c>
      <c r="L8" s="64">
        <v>78878.610000000015</v>
      </c>
      <c r="M8" s="64">
        <v>78896.99000000002</v>
      </c>
      <c r="N8" s="64">
        <v>78918.310000000027</v>
      </c>
      <c r="O8" s="64">
        <v>78932.580000000031</v>
      </c>
      <c r="P8" s="64">
        <v>78946.870000000024</v>
      </c>
      <c r="Q8" s="64">
        <v>78965.120000000024</v>
      </c>
      <c r="R8" s="64">
        <v>78975.650000000023</v>
      </c>
      <c r="S8" s="64">
        <v>78997.070000000022</v>
      </c>
      <c r="T8" s="64">
        <v>79010.860000000015</v>
      </c>
      <c r="U8" s="64">
        <v>79031.940000000017</v>
      </c>
      <c r="V8" s="64">
        <v>79053.35000000002</v>
      </c>
      <c r="W8" s="64">
        <v>79068.540000000023</v>
      </c>
      <c r="X8" s="64">
        <v>79087.390000000029</v>
      </c>
      <c r="Y8" s="64">
        <v>79096.490000000034</v>
      </c>
      <c r="Z8" s="64">
        <v>79115.560000000041</v>
      </c>
      <c r="AA8" s="64">
        <v>79137.040000000037</v>
      </c>
      <c r="AB8" s="64">
        <v>79157.250000000044</v>
      </c>
      <c r="AC8" s="64">
        <v>79162.070000000051</v>
      </c>
      <c r="AD8" s="64">
        <v>79182.330000000045</v>
      </c>
      <c r="AE8" s="64">
        <v>79203.940000000046</v>
      </c>
      <c r="AF8" s="224">
        <v>79205.98000000004</v>
      </c>
      <c r="AG8" s="51">
        <f t="shared" si="0"/>
        <v>79205.98000000004</v>
      </c>
      <c r="AH8" s="44">
        <v>78682.070000000007</v>
      </c>
    </row>
    <row r="9" spans="1:34" x14ac:dyDescent="0.35">
      <c r="A9" s="33" t="s">
        <v>15</v>
      </c>
      <c r="B9" s="223">
        <v>80614.440000000031</v>
      </c>
      <c r="C9" s="64">
        <v>80623.560000000027</v>
      </c>
      <c r="D9" s="64">
        <v>80639.930000000022</v>
      </c>
      <c r="E9" s="64">
        <v>80661.090000000026</v>
      </c>
      <c r="F9" s="64">
        <v>80680.580000000031</v>
      </c>
      <c r="G9" s="64">
        <v>80691.060000000027</v>
      </c>
      <c r="H9" s="64">
        <v>80705.130000000034</v>
      </c>
      <c r="I9" s="64">
        <v>80726.650000000038</v>
      </c>
      <c r="J9" s="64">
        <v>80748.320000000036</v>
      </c>
      <c r="K9" s="64">
        <v>80769.98000000004</v>
      </c>
      <c r="L9" s="64">
        <v>80785.160000000033</v>
      </c>
      <c r="M9" s="64">
        <v>80785.160000000033</v>
      </c>
      <c r="N9" s="64">
        <v>80785.160000000033</v>
      </c>
      <c r="O9" s="64">
        <v>80791.440000000031</v>
      </c>
      <c r="P9" s="64">
        <v>80812.640000000029</v>
      </c>
      <c r="Q9" s="64">
        <v>80833.180000000022</v>
      </c>
      <c r="R9" s="64">
        <v>80854.520000000019</v>
      </c>
      <c r="S9" s="64">
        <v>80875.250000000015</v>
      </c>
      <c r="T9" s="64">
        <v>80892.260000000009</v>
      </c>
      <c r="U9" s="64">
        <v>80910.320000000007</v>
      </c>
      <c r="V9" s="64">
        <v>80926.180000000008</v>
      </c>
      <c r="W9" s="64">
        <v>80947.640000000014</v>
      </c>
      <c r="X9" s="64">
        <v>80969.360000000015</v>
      </c>
      <c r="Y9" s="64">
        <v>80991.200000000012</v>
      </c>
      <c r="Z9" s="64">
        <v>81010.160000000018</v>
      </c>
      <c r="AA9" s="64">
        <v>81032.410000000018</v>
      </c>
      <c r="AB9" s="64">
        <v>81053.470000000016</v>
      </c>
      <c r="AC9" s="64">
        <v>81073.74000000002</v>
      </c>
      <c r="AD9" s="64">
        <v>81095.080000000016</v>
      </c>
      <c r="AE9" s="64">
        <v>81116.310000000012</v>
      </c>
      <c r="AF9" s="224">
        <v>81137.850000000006</v>
      </c>
      <c r="AG9" s="51">
        <f t="shared" si="0"/>
        <v>81137.850000000006</v>
      </c>
      <c r="AH9" s="44">
        <v>80602.62</v>
      </c>
    </row>
    <row r="10" spans="1:34" x14ac:dyDescent="0.35">
      <c r="A10" s="33" t="s">
        <v>16</v>
      </c>
      <c r="B10" s="223">
        <v>80320.350000000093</v>
      </c>
      <c r="C10" s="64">
        <v>80341.870000000097</v>
      </c>
      <c r="D10" s="64">
        <v>80357.890000000101</v>
      </c>
      <c r="E10" s="64">
        <v>80378.320000000094</v>
      </c>
      <c r="F10" s="64">
        <v>80400.270000000091</v>
      </c>
      <c r="G10" s="64">
        <v>80421.810000000085</v>
      </c>
      <c r="H10" s="64">
        <v>80441.150000000081</v>
      </c>
      <c r="I10" s="64">
        <v>80460.810000000085</v>
      </c>
      <c r="J10" s="64">
        <v>80478.82000000008</v>
      </c>
      <c r="K10" s="64">
        <v>80500.140000000087</v>
      </c>
      <c r="L10" s="64">
        <v>80514.68000000008</v>
      </c>
      <c r="M10" s="64">
        <v>80514.68000000008</v>
      </c>
      <c r="N10" s="64">
        <v>80533.07000000008</v>
      </c>
      <c r="O10" s="64">
        <v>80554.440000000075</v>
      </c>
      <c r="P10" s="64">
        <v>80575.730000000069</v>
      </c>
      <c r="Q10" s="64">
        <v>80597.710000000065</v>
      </c>
      <c r="R10" s="64">
        <v>80619.050000000061</v>
      </c>
      <c r="S10" s="64">
        <v>80640.810000000056</v>
      </c>
      <c r="T10" s="64">
        <v>80662.390000000058</v>
      </c>
      <c r="U10" s="64">
        <v>80680.800000000061</v>
      </c>
      <c r="V10" s="64">
        <v>80701.960000000065</v>
      </c>
      <c r="W10" s="64">
        <v>80718.190000000061</v>
      </c>
      <c r="X10" s="64">
        <v>80731.560000000056</v>
      </c>
      <c r="Y10" s="64">
        <v>80751.510000000053</v>
      </c>
      <c r="Z10" s="64">
        <v>80768.000000000058</v>
      </c>
      <c r="AA10" s="64">
        <v>80789.440000000061</v>
      </c>
      <c r="AB10" s="64">
        <v>80810.690000000061</v>
      </c>
      <c r="AC10" s="64">
        <v>80830.680000000066</v>
      </c>
      <c r="AD10" s="64">
        <v>80852.20000000007</v>
      </c>
      <c r="AE10" s="64">
        <v>80866.290000000066</v>
      </c>
      <c r="AF10" s="224">
        <v>80887.520000000062</v>
      </c>
      <c r="AG10" s="51">
        <f t="shared" si="0"/>
        <v>80887.520000000062</v>
      </c>
      <c r="AH10" s="44">
        <v>80309.850000000006</v>
      </c>
    </row>
    <row r="11" spans="1:34" x14ac:dyDescent="0.35">
      <c r="A11" s="33" t="s">
        <v>17</v>
      </c>
      <c r="B11" s="223">
        <v>78613.450000000492</v>
      </c>
      <c r="C11" s="64">
        <v>78625.920000000493</v>
      </c>
      <c r="D11" s="64">
        <v>78644.770000000499</v>
      </c>
      <c r="E11" s="64">
        <v>78661.670000000493</v>
      </c>
      <c r="F11" s="64">
        <v>78678.900000000489</v>
      </c>
      <c r="G11" s="64">
        <v>78695.62000000049</v>
      </c>
      <c r="H11" s="64">
        <v>78713.130000000485</v>
      </c>
      <c r="I11" s="64">
        <v>78731.170000000478</v>
      </c>
      <c r="J11" s="64">
        <v>78750.420000000478</v>
      </c>
      <c r="K11" s="64">
        <v>78756.120000000476</v>
      </c>
      <c r="L11" s="64">
        <v>78756.120000000476</v>
      </c>
      <c r="M11" s="64">
        <v>78756.120000000476</v>
      </c>
      <c r="N11" s="64">
        <v>78756.120000000476</v>
      </c>
      <c r="O11" s="64">
        <v>78756.120000000476</v>
      </c>
      <c r="P11" s="64">
        <v>78756.120000000476</v>
      </c>
      <c r="Q11" s="64">
        <v>78756.120000000476</v>
      </c>
      <c r="R11" s="64">
        <v>78756.120000000476</v>
      </c>
      <c r="S11" s="64">
        <v>78756.120000000476</v>
      </c>
      <c r="T11" s="64">
        <v>78756.120000000476</v>
      </c>
      <c r="U11" s="64">
        <v>78756.120000000476</v>
      </c>
      <c r="V11" s="64">
        <v>78756.120000000476</v>
      </c>
      <c r="W11" s="64">
        <v>78756.120000000476</v>
      </c>
      <c r="X11" s="64">
        <v>78756.120000000476</v>
      </c>
      <c r="Y11" s="64">
        <v>78756.120000000476</v>
      </c>
      <c r="Z11" s="64">
        <v>78756.120000000476</v>
      </c>
      <c r="AA11" s="64">
        <v>78756.120000000476</v>
      </c>
      <c r="AB11" s="64">
        <v>78765.690000000483</v>
      </c>
      <c r="AC11" s="64">
        <v>78782.050000000483</v>
      </c>
      <c r="AD11" s="64">
        <v>78803.450000000477</v>
      </c>
      <c r="AE11" s="64">
        <v>78824.870000000476</v>
      </c>
      <c r="AF11" s="224">
        <v>78836.780000000479</v>
      </c>
      <c r="AG11" s="51">
        <f t="shared" si="0"/>
        <v>78836.780000000479</v>
      </c>
      <c r="AH11" s="44">
        <v>78603.34</v>
      </c>
    </row>
    <row r="12" spans="1:34" x14ac:dyDescent="0.35">
      <c r="A12" s="33" t="s">
        <v>18</v>
      </c>
      <c r="B12" s="223">
        <v>78782.109999999811</v>
      </c>
      <c r="C12" s="64">
        <v>78801.829999999813</v>
      </c>
      <c r="D12" s="64">
        <v>78820.109999999811</v>
      </c>
      <c r="E12" s="64">
        <v>78842.059999999808</v>
      </c>
      <c r="F12" s="64">
        <v>78864.339999999807</v>
      </c>
      <c r="G12" s="64">
        <v>78883.789999999804</v>
      </c>
      <c r="H12" s="64">
        <v>78903.879999999801</v>
      </c>
      <c r="I12" s="64">
        <v>78925.209999999803</v>
      </c>
      <c r="J12" s="64">
        <v>78946.359999999797</v>
      </c>
      <c r="K12" s="64">
        <v>78951.089999999793</v>
      </c>
      <c r="L12" s="64">
        <v>78965.959999999788</v>
      </c>
      <c r="M12" s="64">
        <v>78977.799999999785</v>
      </c>
      <c r="N12" s="64">
        <v>78999.249999999782</v>
      </c>
      <c r="O12" s="64">
        <v>79015.999999999782</v>
      </c>
      <c r="P12" s="64">
        <v>79032.899999999776</v>
      </c>
      <c r="Q12" s="64">
        <v>79039.889999999781</v>
      </c>
      <c r="R12" s="64">
        <v>79061.619999999777</v>
      </c>
      <c r="S12" s="64">
        <v>79083.079999999783</v>
      </c>
      <c r="T12" s="64">
        <v>79103.929999999789</v>
      </c>
      <c r="U12" s="64">
        <v>79116.849999999788</v>
      </c>
      <c r="V12" s="64">
        <v>79136.949999999793</v>
      </c>
      <c r="W12" s="64">
        <v>79157.479999999792</v>
      </c>
      <c r="X12" s="64">
        <v>79178.719999999797</v>
      </c>
      <c r="Y12" s="64">
        <v>79188.049999999799</v>
      </c>
      <c r="Z12" s="64">
        <v>79201.079999999798</v>
      </c>
      <c r="AA12" s="64">
        <v>79223.119999999792</v>
      </c>
      <c r="AB12" s="64">
        <v>79244.109999999797</v>
      </c>
      <c r="AC12" s="64">
        <v>79266.009999999791</v>
      </c>
      <c r="AD12" s="64">
        <v>79287.309999999794</v>
      </c>
      <c r="AE12" s="64">
        <v>79293.179999999789</v>
      </c>
      <c r="AF12" s="224">
        <v>79307.119999999792</v>
      </c>
      <c r="AG12" s="51">
        <f t="shared" si="0"/>
        <v>79307.119999999792</v>
      </c>
      <c r="AH12" s="44">
        <v>78766.63</v>
      </c>
    </row>
    <row r="13" spans="1:34" x14ac:dyDescent="0.35">
      <c r="A13" s="33" t="s">
        <v>19</v>
      </c>
      <c r="B13" s="223">
        <v>75440.690000000017</v>
      </c>
      <c r="C13" s="64">
        <v>75462.700000000012</v>
      </c>
      <c r="D13" s="64">
        <v>75468.400000000009</v>
      </c>
      <c r="E13" s="64">
        <v>75482.710000000006</v>
      </c>
      <c r="F13" s="64">
        <v>75504.090000000011</v>
      </c>
      <c r="G13" s="64">
        <v>75522.800000000017</v>
      </c>
      <c r="H13" s="64">
        <v>75533.24000000002</v>
      </c>
      <c r="I13" s="64">
        <v>75553.620000000024</v>
      </c>
      <c r="J13" s="64">
        <v>75574.930000000022</v>
      </c>
      <c r="K13" s="64">
        <v>75596.130000000019</v>
      </c>
      <c r="L13" s="64">
        <v>75614.470000000016</v>
      </c>
      <c r="M13" s="64">
        <v>75636.080000000016</v>
      </c>
      <c r="N13" s="64">
        <v>75657.150000000023</v>
      </c>
      <c r="O13" s="64">
        <v>75678.630000000019</v>
      </c>
      <c r="P13" s="64">
        <v>75700.320000000022</v>
      </c>
      <c r="Q13" s="64">
        <v>75721.390000000029</v>
      </c>
      <c r="R13" s="64">
        <v>75742.850000000035</v>
      </c>
      <c r="S13" s="64">
        <v>75764.130000000034</v>
      </c>
      <c r="T13" s="64">
        <v>75784.210000000036</v>
      </c>
      <c r="U13" s="64">
        <v>75796.710000000036</v>
      </c>
      <c r="V13" s="64">
        <v>75812.400000000038</v>
      </c>
      <c r="W13" s="64">
        <v>75830.820000000036</v>
      </c>
      <c r="X13" s="64">
        <v>75852.430000000037</v>
      </c>
      <c r="Y13" s="64">
        <v>75874.380000000034</v>
      </c>
      <c r="Z13" s="64">
        <v>75887.330000000031</v>
      </c>
      <c r="AA13" s="64">
        <v>75893.830000000031</v>
      </c>
      <c r="AB13" s="64">
        <v>75900.660000000033</v>
      </c>
      <c r="AC13" s="64">
        <v>75911.380000000034</v>
      </c>
      <c r="AD13" s="64">
        <v>75921.950000000041</v>
      </c>
      <c r="AE13" s="64">
        <v>75940.490000000034</v>
      </c>
      <c r="AF13" s="224">
        <v>75961.930000000037</v>
      </c>
      <c r="AG13" s="51">
        <f t="shared" si="0"/>
        <v>75961.930000000037</v>
      </c>
      <c r="AH13" s="44">
        <v>75422.61</v>
      </c>
    </row>
    <row r="14" spans="1:34" x14ac:dyDescent="0.35">
      <c r="A14" s="33" t="s">
        <v>20</v>
      </c>
      <c r="B14" s="223">
        <v>74157.930000000153</v>
      </c>
      <c r="C14" s="64">
        <v>74178.340000000157</v>
      </c>
      <c r="D14" s="64">
        <v>74199.890000000159</v>
      </c>
      <c r="E14" s="64">
        <v>74221.25000000016</v>
      </c>
      <c r="F14" s="64">
        <v>74242.160000000164</v>
      </c>
      <c r="G14" s="64">
        <v>74261.400000000169</v>
      </c>
      <c r="H14" s="64">
        <v>74280.830000000162</v>
      </c>
      <c r="I14" s="64">
        <v>74301.480000000156</v>
      </c>
      <c r="J14" s="64">
        <v>74321.210000000152</v>
      </c>
      <c r="K14" s="64">
        <v>74328.200000000157</v>
      </c>
      <c r="L14" s="64">
        <v>74349.360000000161</v>
      </c>
      <c r="M14" s="64">
        <v>74370.970000000161</v>
      </c>
      <c r="N14" s="64">
        <v>74392.270000000164</v>
      </c>
      <c r="O14" s="64">
        <v>74413.210000000166</v>
      </c>
      <c r="P14" s="64">
        <v>74434.640000000159</v>
      </c>
      <c r="Q14" s="64">
        <v>74456.100000000166</v>
      </c>
      <c r="R14" s="64">
        <v>74476.740000000165</v>
      </c>
      <c r="S14" s="64">
        <v>74477.440000000162</v>
      </c>
      <c r="T14" s="64">
        <v>74498.960000000166</v>
      </c>
      <c r="U14" s="64">
        <v>74520.360000000161</v>
      </c>
      <c r="V14" s="64">
        <v>74541.930000000168</v>
      </c>
      <c r="W14" s="64">
        <v>74563.140000000174</v>
      </c>
      <c r="X14" s="64">
        <v>74580.200000000172</v>
      </c>
      <c r="Y14" s="64">
        <v>74599.040000000168</v>
      </c>
      <c r="Z14" s="64">
        <v>74615.210000000166</v>
      </c>
      <c r="AA14" s="64">
        <v>74628.920000000173</v>
      </c>
      <c r="AB14" s="64">
        <v>74647.600000000166</v>
      </c>
      <c r="AC14" s="64">
        <v>74666.360000000161</v>
      </c>
      <c r="AD14" s="64">
        <v>74685.720000000161</v>
      </c>
      <c r="AE14" s="64">
        <v>74705.450000000157</v>
      </c>
      <c r="AF14" s="224">
        <v>74719.170000000158</v>
      </c>
      <c r="AG14" s="51">
        <f t="shared" si="0"/>
        <v>74719.170000000158</v>
      </c>
      <c r="AH14" s="44">
        <v>74136.78</v>
      </c>
    </row>
    <row r="15" spans="1:34" x14ac:dyDescent="0.35">
      <c r="A15" s="33" t="s">
        <v>21</v>
      </c>
      <c r="B15" s="223">
        <v>74707.260000000068</v>
      </c>
      <c r="C15" s="64">
        <v>74728.500000000073</v>
      </c>
      <c r="D15" s="64">
        <v>74749.660000000076</v>
      </c>
      <c r="E15" s="64">
        <v>74756.650000000081</v>
      </c>
      <c r="F15" s="64">
        <v>74768.380000000077</v>
      </c>
      <c r="G15" s="64">
        <v>74784.050000000076</v>
      </c>
      <c r="H15" s="64">
        <v>74801.350000000079</v>
      </c>
      <c r="I15" s="64">
        <v>74811.480000000083</v>
      </c>
      <c r="J15" s="64">
        <v>74832.250000000087</v>
      </c>
      <c r="K15" s="64">
        <v>74849.650000000081</v>
      </c>
      <c r="L15" s="64">
        <v>74865.630000000077</v>
      </c>
      <c r="M15" s="64">
        <v>74874.830000000075</v>
      </c>
      <c r="N15" s="64">
        <v>74883.120000000068</v>
      </c>
      <c r="O15" s="64">
        <v>74883.120000000068</v>
      </c>
      <c r="P15" s="64">
        <v>74904.70000000007</v>
      </c>
      <c r="Q15" s="64">
        <v>74926.330000000075</v>
      </c>
      <c r="R15" s="64">
        <v>74948.160000000076</v>
      </c>
      <c r="S15" s="64">
        <v>74969.410000000076</v>
      </c>
      <c r="T15" s="64">
        <v>74990.710000000079</v>
      </c>
      <c r="U15" s="64">
        <v>75011.390000000072</v>
      </c>
      <c r="V15" s="64">
        <v>75026.500000000073</v>
      </c>
      <c r="W15" s="64">
        <v>75038.470000000074</v>
      </c>
      <c r="X15" s="64">
        <v>75049.250000000073</v>
      </c>
      <c r="Y15" s="64">
        <v>75056.400000000067</v>
      </c>
      <c r="Z15" s="64">
        <v>75073.640000000072</v>
      </c>
      <c r="AA15" s="64">
        <v>75087.730000000069</v>
      </c>
      <c r="AB15" s="64">
        <v>75101.760000000068</v>
      </c>
      <c r="AC15" s="64">
        <v>75123.380000000063</v>
      </c>
      <c r="AD15" s="64">
        <v>75144.790000000066</v>
      </c>
      <c r="AE15" s="64">
        <v>75166.490000000063</v>
      </c>
      <c r="AF15" s="224">
        <v>75187.970000000059</v>
      </c>
      <c r="AG15" s="51">
        <f t="shared" si="0"/>
        <v>75187.970000000059</v>
      </c>
      <c r="AH15" s="44">
        <v>74685.820000000007</v>
      </c>
    </row>
    <row r="16" spans="1:34" x14ac:dyDescent="0.35">
      <c r="A16" s="33" t="s">
        <v>22</v>
      </c>
      <c r="B16" s="223">
        <v>72733.80999999991</v>
      </c>
      <c r="C16" s="64">
        <v>72744.19999999991</v>
      </c>
      <c r="D16" s="64">
        <v>72762.549999999916</v>
      </c>
      <c r="E16" s="64">
        <v>72783.539999999921</v>
      </c>
      <c r="F16" s="64">
        <v>72801.529999999926</v>
      </c>
      <c r="G16" s="64">
        <v>72817.79999999993</v>
      </c>
      <c r="H16" s="64">
        <v>72839.089999999924</v>
      </c>
      <c r="I16" s="64">
        <v>72860.67999999992</v>
      </c>
      <c r="J16" s="64">
        <v>72879.629999999917</v>
      </c>
      <c r="K16" s="64">
        <v>72900.469999999914</v>
      </c>
      <c r="L16" s="64">
        <v>72921.759999999907</v>
      </c>
      <c r="M16" s="64">
        <v>72943.179999999906</v>
      </c>
      <c r="N16" s="64">
        <v>72964.779999999912</v>
      </c>
      <c r="O16" s="64">
        <v>72981.529999999912</v>
      </c>
      <c r="P16" s="64">
        <v>72981.529999999912</v>
      </c>
      <c r="Q16" s="64">
        <v>72998.719999999914</v>
      </c>
      <c r="R16" s="64">
        <v>73020.369999999908</v>
      </c>
      <c r="S16" s="64">
        <v>73037.169999999911</v>
      </c>
      <c r="T16" s="64">
        <v>73044.289999999906</v>
      </c>
      <c r="U16" s="64">
        <v>73065.429999999906</v>
      </c>
      <c r="V16" s="64">
        <v>73086.959999999905</v>
      </c>
      <c r="W16" s="64">
        <v>73108.399999999907</v>
      </c>
      <c r="X16" s="64">
        <v>73127.489999999903</v>
      </c>
      <c r="Y16" s="64">
        <v>73141.299999999901</v>
      </c>
      <c r="Z16" s="64">
        <v>73145.029999999897</v>
      </c>
      <c r="AA16" s="64">
        <v>73147.089999999895</v>
      </c>
      <c r="AB16" s="64">
        <v>73159.899999999892</v>
      </c>
      <c r="AC16" s="64">
        <v>73166.139999999898</v>
      </c>
      <c r="AD16" s="64">
        <v>73171.839999999895</v>
      </c>
      <c r="AE16" s="64">
        <v>73172.789999999892</v>
      </c>
      <c r="AF16" s="224">
        <v>73178.119999999893</v>
      </c>
      <c r="AG16" s="51">
        <f t="shared" si="0"/>
        <v>73178.119999999893</v>
      </c>
      <c r="AH16" s="44">
        <v>72716.27</v>
      </c>
    </row>
    <row r="17" spans="1:34" x14ac:dyDescent="0.35">
      <c r="A17" s="33" t="s">
        <v>23</v>
      </c>
      <c r="B17" s="223">
        <v>74342.130000000121</v>
      </c>
      <c r="C17" s="64">
        <v>74363.340000000127</v>
      </c>
      <c r="D17" s="64">
        <v>74384.670000000129</v>
      </c>
      <c r="E17" s="64">
        <v>74400.400000000125</v>
      </c>
      <c r="F17" s="64">
        <v>74420.860000000132</v>
      </c>
      <c r="G17" s="64">
        <v>74442.430000000139</v>
      </c>
      <c r="H17" s="64">
        <v>74463.320000000138</v>
      </c>
      <c r="I17" s="64">
        <v>74484.570000000138</v>
      </c>
      <c r="J17" s="64">
        <v>74505.890000000145</v>
      </c>
      <c r="K17" s="64">
        <v>74527.220000000147</v>
      </c>
      <c r="L17" s="64">
        <v>74548.610000000146</v>
      </c>
      <c r="M17" s="64">
        <v>74569.700000000143</v>
      </c>
      <c r="N17" s="64">
        <v>74588.620000000141</v>
      </c>
      <c r="O17" s="64">
        <v>74610.340000000142</v>
      </c>
      <c r="P17" s="64">
        <v>74631.980000000141</v>
      </c>
      <c r="Q17" s="64">
        <v>74653.450000000143</v>
      </c>
      <c r="R17" s="64">
        <v>74674.990000000136</v>
      </c>
      <c r="S17" s="64">
        <v>74696.40000000014</v>
      </c>
      <c r="T17" s="64">
        <v>74708.080000000133</v>
      </c>
      <c r="U17" s="64">
        <v>74716.550000000134</v>
      </c>
      <c r="V17" s="64">
        <v>74737.880000000136</v>
      </c>
      <c r="W17" s="64">
        <v>74759.200000000143</v>
      </c>
      <c r="X17" s="64">
        <v>74780.800000000148</v>
      </c>
      <c r="Y17" s="64">
        <v>74802.410000000149</v>
      </c>
      <c r="Z17" s="64">
        <v>74823.870000000155</v>
      </c>
      <c r="AA17" s="64">
        <v>74845.310000000158</v>
      </c>
      <c r="AB17" s="64">
        <v>74861.450000000157</v>
      </c>
      <c r="AC17" s="64">
        <v>74861.450000000157</v>
      </c>
      <c r="AD17" s="64">
        <v>74873.900000000154</v>
      </c>
      <c r="AE17" s="64">
        <v>74895.940000000148</v>
      </c>
      <c r="AF17" s="224">
        <v>74909.110000000146</v>
      </c>
      <c r="AG17" s="51">
        <f t="shared" si="0"/>
        <v>74909.110000000146</v>
      </c>
      <c r="AH17" s="44">
        <v>74326.02</v>
      </c>
    </row>
    <row r="18" spans="1:34" x14ac:dyDescent="0.35">
      <c r="A18" s="33" t="s">
        <v>24</v>
      </c>
      <c r="B18" s="223">
        <v>74758.180000000095</v>
      </c>
      <c r="C18" s="64">
        <v>74778.760000000097</v>
      </c>
      <c r="D18" s="64">
        <v>74799.500000000102</v>
      </c>
      <c r="E18" s="64">
        <v>74821.110000000102</v>
      </c>
      <c r="F18" s="64">
        <v>74842.230000000098</v>
      </c>
      <c r="G18" s="64">
        <v>74863.930000000095</v>
      </c>
      <c r="H18" s="64">
        <v>74885.360000000088</v>
      </c>
      <c r="I18" s="64">
        <v>74907.400000000081</v>
      </c>
      <c r="J18" s="64">
        <v>74912.220000000088</v>
      </c>
      <c r="K18" s="64">
        <v>74931.490000000093</v>
      </c>
      <c r="L18" s="64">
        <v>74954.040000000095</v>
      </c>
      <c r="M18" s="64">
        <v>74975.610000000102</v>
      </c>
      <c r="N18" s="64">
        <v>74992.540000000095</v>
      </c>
      <c r="O18" s="64">
        <v>75014.250000000102</v>
      </c>
      <c r="P18" s="64">
        <v>75035.570000000109</v>
      </c>
      <c r="Q18" s="64">
        <v>75056.900000000111</v>
      </c>
      <c r="R18" s="64">
        <v>75078.660000000105</v>
      </c>
      <c r="S18" s="64">
        <v>75099.470000000103</v>
      </c>
      <c r="T18" s="64">
        <v>75118.780000000101</v>
      </c>
      <c r="U18" s="64">
        <v>75132.590000000098</v>
      </c>
      <c r="V18" s="64">
        <v>75150.490000000093</v>
      </c>
      <c r="W18" s="64">
        <v>75150.490000000093</v>
      </c>
      <c r="X18" s="64">
        <v>75170.480000000098</v>
      </c>
      <c r="Y18" s="64">
        <v>75190.650000000096</v>
      </c>
      <c r="Z18" s="64">
        <v>75206.770000000091</v>
      </c>
      <c r="AA18" s="64">
        <v>75228.380000000092</v>
      </c>
      <c r="AB18" s="64">
        <v>75249.370000000097</v>
      </c>
      <c r="AC18" s="64">
        <v>75270.910000000091</v>
      </c>
      <c r="AD18" s="64">
        <v>75283.750000000087</v>
      </c>
      <c r="AE18" s="64">
        <v>75284.820000000094</v>
      </c>
      <c r="AF18" s="224">
        <v>75303.360000000088</v>
      </c>
      <c r="AG18" s="51">
        <f t="shared" si="0"/>
        <v>75303.360000000088</v>
      </c>
      <c r="AH18" s="44">
        <v>74743.89</v>
      </c>
    </row>
    <row r="19" spans="1:34" x14ac:dyDescent="0.35">
      <c r="A19" s="33" t="s">
        <v>25</v>
      </c>
      <c r="B19" s="223">
        <v>72827.100000000282</v>
      </c>
      <c r="C19" s="64">
        <v>72848.320000000283</v>
      </c>
      <c r="D19" s="64">
        <v>72849.050000000279</v>
      </c>
      <c r="E19" s="64">
        <v>72858.220000000278</v>
      </c>
      <c r="F19" s="64">
        <v>72877.210000000283</v>
      </c>
      <c r="G19" s="64">
        <v>72898.830000000278</v>
      </c>
      <c r="H19" s="64">
        <v>72917.940000000279</v>
      </c>
      <c r="I19" s="64">
        <v>72939.330000000278</v>
      </c>
      <c r="J19" s="64">
        <v>72945.140000000276</v>
      </c>
      <c r="K19" s="64">
        <v>72963.000000000276</v>
      </c>
      <c r="L19" s="64">
        <v>72982.440000000279</v>
      </c>
      <c r="M19" s="64">
        <v>73004.210000000283</v>
      </c>
      <c r="N19" s="64">
        <v>73021.310000000289</v>
      </c>
      <c r="O19" s="64">
        <v>73042.620000000286</v>
      </c>
      <c r="P19" s="64">
        <v>73056.220000000292</v>
      </c>
      <c r="Q19" s="64">
        <v>73070.090000000288</v>
      </c>
      <c r="R19" s="64">
        <v>73070.090000000288</v>
      </c>
      <c r="S19" s="64">
        <v>73090.900000000285</v>
      </c>
      <c r="T19" s="64">
        <v>73112.66000000028</v>
      </c>
      <c r="U19" s="64">
        <v>73112.770000000281</v>
      </c>
      <c r="V19" s="64">
        <v>73117.300000000279</v>
      </c>
      <c r="W19" s="64">
        <v>73117.300000000279</v>
      </c>
      <c r="X19" s="64">
        <v>73138.250000000276</v>
      </c>
      <c r="Y19" s="64">
        <v>73154.170000000275</v>
      </c>
      <c r="Z19" s="64">
        <v>73174.950000000274</v>
      </c>
      <c r="AA19" s="64">
        <v>73189.230000000272</v>
      </c>
      <c r="AB19" s="64">
        <v>73207.900000000271</v>
      </c>
      <c r="AC19" s="64">
        <v>73228.160000000265</v>
      </c>
      <c r="AD19" s="64">
        <v>73249.460000000268</v>
      </c>
      <c r="AE19" s="64">
        <v>73270.79000000027</v>
      </c>
      <c r="AF19" s="224">
        <v>73292.560000000274</v>
      </c>
      <c r="AG19" s="51">
        <f t="shared" si="0"/>
        <v>73292.560000000274</v>
      </c>
      <c r="AH19" s="44">
        <v>72811.66</v>
      </c>
    </row>
    <row r="20" spans="1:34" x14ac:dyDescent="0.35">
      <c r="A20" s="33" t="s">
        <v>26</v>
      </c>
      <c r="B20" s="223">
        <v>73881.149999999921</v>
      </c>
      <c r="C20" s="64">
        <v>73902.959999999919</v>
      </c>
      <c r="D20" s="64">
        <v>73905.959999999919</v>
      </c>
      <c r="E20" s="64">
        <v>73914.92999999992</v>
      </c>
      <c r="F20" s="64">
        <v>73936.489999999918</v>
      </c>
      <c r="G20" s="64">
        <v>73958.409999999916</v>
      </c>
      <c r="H20" s="64">
        <v>73979.279999999912</v>
      </c>
      <c r="I20" s="64">
        <v>73990.189999999915</v>
      </c>
      <c r="J20" s="64">
        <v>74002.619999999908</v>
      </c>
      <c r="K20" s="64">
        <v>74019.669999999911</v>
      </c>
      <c r="L20" s="64">
        <v>74030.769999999917</v>
      </c>
      <c r="M20" s="64">
        <v>74043.92999999992</v>
      </c>
      <c r="N20" s="64">
        <v>74065.42999999992</v>
      </c>
      <c r="O20" s="64">
        <v>74086.849999999919</v>
      </c>
      <c r="P20" s="64">
        <v>74098.469999999914</v>
      </c>
      <c r="Q20" s="64">
        <v>74108.089999999909</v>
      </c>
      <c r="R20" s="64">
        <v>74129.679999999906</v>
      </c>
      <c r="S20" s="64">
        <v>74150.319999999905</v>
      </c>
      <c r="T20" s="64">
        <v>74172.009999999907</v>
      </c>
      <c r="U20" s="64">
        <v>74193.69999999991</v>
      </c>
      <c r="V20" s="64">
        <v>74215.839999999909</v>
      </c>
      <c r="W20" s="64">
        <v>74225.009999999907</v>
      </c>
      <c r="X20" s="64">
        <v>74225.009999999907</v>
      </c>
      <c r="Y20" s="64">
        <v>74228.259999999907</v>
      </c>
      <c r="Z20" s="64">
        <v>74249.509999999907</v>
      </c>
      <c r="AA20" s="64">
        <v>74271.219999999914</v>
      </c>
      <c r="AB20" s="64">
        <v>74292.079999999914</v>
      </c>
      <c r="AC20" s="64">
        <v>74310.17999999992</v>
      </c>
      <c r="AD20" s="64">
        <v>74331.739999999918</v>
      </c>
      <c r="AE20" s="64">
        <v>74350.079999999914</v>
      </c>
      <c r="AF20" s="224">
        <v>74366.519999999917</v>
      </c>
      <c r="AG20" s="51">
        <f t="shared" si="0"/>
        <v>74366.519999999917</v>
      </c>
      <c r="AH20" s="44">
        <v>73859.429999999993</v>
      </c>
    </row>
    <row r="21" spans="1:34" x14ac:dyDescent="0.35">
      <c r="A21" s="33" t="s">
        <v>27</v>
      </c>
      <c r="B21" s="223">
        <v>75222.850000000122</v>
      </c>
      <c r="C21" s="64">
        <v>75243.490000000122</v>
      </c>
      <c r="D21" s="64">
        <v>75264.730000000127</v>
      </c>
      <c r="E21" s="64">
        <v>75286.450000000128</v>
      </c>
      <c r="F21" s="64">
        <v>75307.730000000127</v>
      </c>
      <c r="G21" s="64">
        <v>75327.050000000134</v>
      </c>
      <c r="H21" s="64">
        <v>75348.26000000014</v>
      </c>
      <c r="I21" s="64">
        <v>75369.680000000139</v>
      </c>
      <c r="J21" s="64">
        <v>75388.120000000141</v>
      </c>
      <c r="K21" s="64">
        <v>75409.51000000014</v>
      </c>
      <c r="L21" s="64">
        <v>75430.830000000147</v>
      </c>
      <c r="M21" s="64">
        <v>75451.680000000153</v>
      </c>
      <c r="N21" s="64">
        <v>75472.340000000157</v>
      </c>
      <c r="O21" s="64">
        <v>75493.13000000015</v>
      </c>
      <c r="P21" s="64">
        <v>75514.750000000146</v>
      </c>
      <c r="Q21" s="64">
        <v>75532.250000000146</v>
      </c>
      <c r="R21" s="64">
        <v>75546.870000000141</v>
      </c>
      <c r="S21" s="64">
        <v>75567.230000000141</v>
      </c>
      <c r="T21" s="64">
        <v>75581.800000000148</v>
      </c>
      <c r="U21" s="64">
        <v>75600.860000000146</v>
      </c>
      <c r="V21" s="64">
        <v>75621.960000000152</v>
      </c>
      <c r="W21" s="64">
        <v>75639.470000000147</v>
      </c>
      <c r="X21" s="64">
        <v>75660.580000000147</v>
      </c>
      <c r="Y21" s="64">
        <v>75676.030000000144</v>
      </c>
      <c r="Z21" s="64">
        <v>75697.080000000147</v>
      </c>
      <c r="AA21" s="64">
        <v>75717.890000000145</v>
      </c>
      <c r="AB21" s="64">
        <v>75739.110000000146</v>
      </c>
      <c r="AC21" s="64">
        <v>75760.470000000147</v>
      </c>
      <c r="AD21" s="64">
        <v>75782.26000000014</v>
      </c>
      <c r="AE21" s="64">
        <v>75803.790000000139</v>
      </c>
      <c r="AF21" s="224">
        <v>75824.570000000138</v>
      </c>
      <c r="AG21" s="51">
        <f t="shared" si="0"/>
        <v>75824.570000000138</v>
      </c>
      <c r="AH21" s="44">
        <v>75205.72</v>
      </c>
    </row>
    <row r="22" spans="1:34" x14ac:dyDescent="0.35">
      <c r="A22" s="33" t="s">
        <v>28</v>
      </c>
      <c r="B22" s="223">
        <v>71475.549999999959</v>
      </c>
      <c r="C22" s="64">
        <v>71489.869999999966</v>
      </c>
      <c r="D22" s="64">
        <v>71493.099999999962</v>
      </c>
      <c r="E22" s="64">
        <v>71513.649999999965</v>
      </c>
      <c r="F22" s="64">
        <v>71527.109999999971</v>
      </c>
      <c r="G22" s="64">
        <v>71543.539999999964</v>
      </c>
      <c r="H22" s="64">
        <v>71565.52999999997</v>
      </c>
      <c r="I22" s="64">
        <v>71585.52999999997</v>
      </c>
      <c r="J22" s="64">
        <v>71607.179999999964</v>
      </c>
      <c r="K22" s="64">
        <v>71629.559999999969</v>
      </c>
      <c r="L22" s="64">
        <v>71650.999999999971</v>
      </c>
      <c r="M22" s="64">
        <v>71671.249999999971</v>
      </c>
      <c r="N22" s="64">
        <v>71685.219999999972</v>
      </c>
      <c r="O22" s="64">
        <v>71701.469999999972</v>
      </c>
      <c r="P22" s="64">
        <v>71721.919999999969</v>
      </c>
      <c r="Q22" s="64">
        <v>71734.399999999965</v>
      </c>
      <c r="R22" s="64">
        <v>71740.079999999958</v>
      </c>
      <c r="S22" s="64">
        <v>71760.179999999964</v>
      </c>
      <c r="T22" s="64">
        <v>71763.199999999968</v>
      </c>
      <c r="U22" s="64">
        <v>71784.329999999973</v>
      </c>
      <c r="V22" s="64">
        <v>71804.659999999974</v>
      </c>
      <c r="W22" s="64">
        <v>71826.02999999997</v>
      </c>
      <c r="X22" s="64">
        <v>71847.979999999967</v>
      </c>
      <c r="Y22" s="64">
        <v>71869.709999999963</v>
      </c>
      <c r="Z22" s="64">
        <v>71876.569999999963</v>
      </c>
      <c r="AA22" s="64">
        <v>71897.939999999959</v>
      </c>
      <c r="AB22" s="64">
        <v>71919.729999999952</v>
      </c>
      <c r="AC22" s="64">
        <v>71938.329999999958</v>
      </c>
      <c r="AD22" s="64">
        <v>71955.179999999964</v>
      </c>
      <c r="AE22" s="64">
        <v>71977.209999999963</v>
      </c>
      <c r="AF22" s="224">
        <v>71998.699999999968</v>
      </c>
      <c r="AG22" s="51">
        <f t="shared" si="0"/>
        <v>71998.699999999968</v>
      </c>
      <c r="AH22" s="44">
        <v>71462.87</v>
      </c>
    </row>
    <row r="23" spans="1:34" x14ac:dyDescent="0.35">
      <c r="A23" s="33" t="s">
        <v>29</v>
      </c>
      <c r="B23" s="223">
        <v>68633.409999999931</v>
      </c>
      <c r="C23" s="64">
        <v>68644.009999999937</v>
      </c>
      <c r="D23" s="64">
        <v>68659.479999999938</v>
      </c>
      <c r="E23" s="64">
        <v>68681.129999999932</v>
      </c>
      <c r="F23" s="64">
        <v>68702.469999999928</v>
      </c>
      <c r="G23" s="64">
        <v>68721.79999999993</v>
      </c>
      <c r="H23" s="64">
        <v>68743.119999999937</v>
      </c>
      <c r="I23" s="64">
        <v>68764.04999999993</v>
      </c>
      <c r="J23" s="64">
        <v>68774.389999999927</v>
      </c>
      <c r="K23" s="64">
        <v>68786.56999999992</v>
      </c>
      <c r="L23" s="64">
        <v>68807.979999999923</v>
      </c>
      <c r="M23" s="64">
        <v>68822.17999999992</v>
      </c>
      <c r="N23" s="64">
        <v>68832.519999999917</v>
      </c>
      <c r="O23" s="64">
        <v>68832.519999999917</v>
      </c>
      <c r="P23" s="64">
        <v>68832.519999999917</v>
      </c>
      <c r="Q23" s="64">
        <v>68850.019999999917</v>
      </c>
      <c r="R23" s="64">
        <v>68862.189999999915</v>
      </c>
      <c r="S23" s="64">
        <v>68881.05999999991</v>
      </c>
      <c r="T23" s="64">
        <v>68902.619999999908</v>
      </c>
      <c r="U23" s="64">
        <v>68920.209999999905</v>
      </c>
      <c r="V23" s="64">
        <v>68941.659999999902</v>
      </c>
      <c r="W23" s="64">
        <v>68963.129999999903</v>
      </c>
      <c r="X23" s="64">
        <v>68982.209999999905</v>
      </c>
      <c r="Y23" s="64">
        <v>69001.789999999906</v>
      </c>
      <c r="Z23" s="64">
        <v>69023.239999999903</v>
      </c>
      <c r="AA23" s="64">
        <v>69043.319999999905</v>
      </c>
      <c r="AB23" s="64">
        <v>69064.599999999904</v>
      </c>
      <c r="AC23" s="64">
        <v>69086.369999999908</v>
      </c>
      <c r="AD23" s="64">
        <v>69105.909999999902</v>
      </c>
      <c r="AE23" s="64">
        <v>69127.019999999902</v>
      </c>
      <c r="AF23" s="224">
        <v>69148.619999999908</v>
      </c>
      <c r="AG23" s="51">
        <f t="shared" si="0"/>
        <v>69148.619999999908</v>
      </c>
      <c r="AH23" s="44">
        <v>68618.509999999995</v>
      </c>
    </row>
    <row r="24" spans="1:34" x14ac:dyDescent="0.35">
      <c r="A24" s="33" t="s">
        <v>30</v>
      </c>
      <c r="B24" s="223">
        <v>67307.800000000047</v>
      </c>
      <c r="C24" s="64">
        <v>67307.800000000047</v>
      </c>
      <c r="D24" s="64">
        <v>67307.800000000047</v>
      </c>
      <c r="E24" s="64">
        <v>67307.800000000047</v>
      </c>
      <c r="F24" s="64">
        <v>67309.130000000048</v>
      </c>
      <c r="G24" s="64">
        <v>67325.720000000045</v>
      </c>
      <c r="H24" s="64">
        <v>67344.570000000051</v>
      </c>
      <c r="I24" s="64">
        <v>67360.110000000044</v>
      </c>
      <c r="J24" s="64">
        <v>67381.84000000004</v>
      </c>
      <c r="K24" s="64">
        <v>67403.110000000044</v>
      </c>
      <c r="L24" s="64">
        <v>67424.350000000049</v>
      </c>
      <c r="M24" s="64">
        <v>67445.450000000055</v>
      </c>
      <c r="N24" s="64">
        <v>67466.570000000051</v>
      </c>
      <c r="O24" s="64">
        <v>67487.760000000053</v>
      </c>
      <c r="P24" s="64">
        <v>67509.020000000048</v>
      </c>
      <c r="Q24" s="64">
        <v>67529.800000000047</v>
      </c>
      <c r="R24" s="64">
        <v>67545.890000000043</v>
      </c>
      <c r="S24" s="64">
        <v>67566.990000000049</v>
      </c>
      <c r="T24" s="64">
        <v>67589.270000000048</v>
      </c>
      <c r="U24" s="64">
        <v>67609.850000000049</v>
      </c>
      <c r="V24" s="64">
        <v>67631.590000000055</v>
      </c>
      <c r="W24" s="64">
        <v>67652.320000000051</v>
      </c>
      <c r="X24" s="64">
        <v>67669.410000000047</v>
      </c>
      <c r="Y24" s="64">
        <v>67691.030000000042</v>
      </c>
      <c r="Z24" s="64">
        <v>67712.610000000044</v>
      </c>
      <c r="AA24" s="64">
        <v>67734.200000000041</v>
      </c>
      <c r="AB24" s="64">
        <v>67752.400000000038</v>
      </c>
      <c r="AC24" s="64">
        <v>67766.860000000044</v>
      </c>
      <c r="AD24" s="64">
        <v>67783.23000000004</v>
      </c>
      <c r="AE24" s="64">
        <v>67804.570000000036</v>
      </c>
      <c r="AF24" s="224">
        <v>67826.120000000039</v>
      </c>
      <c r="AG24" s="51">
        <f t="shared" si="0"/>
        <v>67826.120000000039</v>
      </c>
      <c r="AH24" s="44">
        <v>67299.98</v>
      </c>
    </row>
    <row r="25" spans="1:34" x14ac:dyDescent="0.35">
      <c r="A25" s="33" t="s">
        <v>31</v>
      </c>
      <c r="B25" s="223">
        <v>67340.819999999949</v>
      </c>
      <c r="C25" s="64">
        <v>67361.479999999952</v>
      </c>
      <c r="D25" s="64">
        <v>67382.639999999956</v>
      </c>
      <c r="E25" s="64">
        <v>67403.819999999949</v>
      </c>
      <c r="F25" s="64">
        <v>67424.259999999951</v>
      </c>
      <c r="G25" s="64">
        <v>67445.029999999955</v>
      </c>
      <c r="H25" s="64">
        <v>67464.689999999959</v>
      </c>
      <c r="I25" s="64">
        <v>67464.689999999959</v>
      </c>
      <c r="J25" s="64">
        <v>67484.249999999956</v>
      </c>
      <c r="K25" s="64">
        <v>67505.649999999951</v>
      </c>
      <c r="L25" s="64">
        <v>67518.639999999956</v>
      </c>
      <c r="M25" s="64">
        <v>67538.599999999962</v>
      </c>
      <c r="N25" s="64">
        <v>67559.149999999965</v>
      </c>
      <c r="O25" s="64">
        <v>67576.119999999966</v>
      </c>
      <c r="P25" s="64">
        <v>67586.289999999964</v>
      </c>
      <c r="Q25" s="64">
        <v>67607.459999999963</v>
      </c>
      <c r="R25" s="64">
        <v>67628.009999999966</v>
      </c>
      <c r="S25" s="64">
        <v>67642.449999999968</v>
      </c>
      <c r="T25" s="64">
        <v>67662.499999999971</v>
      </c>
      <c r="U25" s="64">
        <v>67670.879999999976</v>
      </c>
      <c r="V25" s="64">
        <v>67674.14999999998</v>
      </c>
      <c r="W25" s="64">
        <v>67694.989999999976</v>
      </c>
      <c r="X25" s="64">
        <v>67714.02999999997</v>
      </c>
      <c r="Y25" s="64">
        <v>67734.749999999971</v>
      </c>
      <c r="Z25" s="64">
        <v>67755.849999999977</v>
      </c>
      <c r="AA25" s="64">
        <v>67769.069999999978</v>
      </c>
      <c r="AB25" s="64">
        <v>67790.249999999971</v>
      </c>
      <c r="AC25" s="64">
        <v>67811.359999999971</v>
      </c>
      <c r="AD25" s="64">
        <v>67828.649999999965</v>
      </c>
      <c r="AE25" s="64">
        <v>67849.90999999996</v>
      </c>
      <c r="AF25" s="224">
        <v>67870.569999999963</v>
      </c>
      <c r="AG25" s="51">
        <f t="shared" si="0"/>
        <v>67870.569999999963</v>
      </c>
      <c r="AH25" s="44">
        <v>67336.56</v>
      </c>
    </row>
    <row r="26" spans="1:34" x14ac:dyDescent="0.35">
      <c r="A26" s="33" t="s">
        <v>32</v>
      </c>
      <c r="B26" s="223">
        <v>68051.149999999921</v>
      </c>
      <c r="C26" s="64">
        <v>68054.899999999921</v>
      </c>
      <c r="D26" s="64">
        <v>68076.189999999915</v>
      </c>
      <c r="E26" s="64">
        <v>68097.599999999919</v>
      </c>
      <c r="F26" s="64">
        <v>68119.359999999913</v>
      </c>
      <c r="G26" s="64">
        <v>68140.999999999913</v>
      </c>
      <c r="H26" s="64">
        <v>68162.81999999992</v>
      </c>
      <c r="I26" s="64">
        <v>68183.059999999925</v>
      </c>
      <c r="J26" s="64">
        <v>68197.43999999993</v>
      </c>
      <c r="K26" s="64">
        <v>68219.559999999925</v>
      </c>
      <c r="L26" s="64">
        <v>68238.489999999918</v>
      </c>
      <c r="M26" s="64">
        <v>68260.659999999916</v>
      </c>
      <c r="N26" s="64">
        <v>68277.579999999914</v>
      </c>
      <c r="O26" s="64">
        <v>68298.489999999918</v>
      </c>
      <c r="P26" s="64">
        <v>68314.899999999921</v>
      </c>
      <c r="Q26" s="64">
        <v>68335.619999999923</v>
      </c>
      <c r="R26" s="64">
        <v>68356.869999999923</v>
      </c>
      <c r="S26" s="64">
        <v>68377.68999999993</v>
      </c>
      <c r="T26" s="64">
        <v>68399.699999999924</v>
      </c>
      <c r="U26" s="64">
        <v>68420.619999999923</v>
      </c>
      <c r="V26" s="64">
        <v>68432.769999999917</v>
      </c>
      <c r="W26" s="64">
        <v>68454.139999999912</v>
      </c>
      <c r="X26" s="64">
        <v>68475.659999999916</v>
      </c>
      <c r="Y26" s="64">
        <v>68496.919999999911</v>
      </c>
      <c r="Z26" s="64">
        <v>68518.55999999991</v>
      </c>
      <c r="AA26" s="64">
        <v>68532.619999999908</v>
      </c>
      <c r="AB26" s="64">
        <v>68550.429999999906</v>
      </c>
      <c r="AC26" s="64">
        <v>68571.959999999905</v>
      </c>
      <c r="AD26" s="64">
        <v>68593.269999999902</v>
      </c>
      <c r="AE26" s="64">
        <v>68614.879999999903</v>
      </c>
      <c r="AF26" s="224">
        <v>68636.459999999905</v>
      </c>
      <c r="AG26" s="51">
        <f t="shared" si="0"/>
        <v>68636.459999999905</v>
      </c>
      <c r="AH26" s="44">
        <v>68029.87</v>
      </c>
    </row>
    <row r="27" spans="1:34" x14ac:dyDescent="0.35">
      <c r="A27" s="33" t="s">
        <v>33</v>
      </c>
      <c r="B27" s="223">
        <v>68715.370000000024</v>
      </c>
      <c r="C27" s="64">
        <v>68715.370000000024</v>
      </c>
      <c r="D27" s="64">
        <v>68715.370000000024</v>
      </c>
      <c r="E27" s="64">
        <v>68723.620000000024</v>
      </c>
      <c r="F27" s="64">
        <v>68737.570000000022</v>
      </c>
      <c r="G27" s="64">
        <v>68758.430000000022</v>
      </c>
      <c r="H27" s="64">
        <v>68776.440000000017</v>
      </c>
      <c r="I27" s="64">
        <v>68792.020000000019</v>
      </c>
      <c r="J27" s="64">
        <v>68813.080000000016</v>
      </c>
      <c r="K27" s="64">
        <v>68834.920000000013</v>
      </c>
      <c r="L27" s="64">
        <v>68839.770000000019</v>
      </c>
      <c r="M27" s="64">
        <v>68860.880000000019</v>
      </c>
      <c r="N27" s="64">
        <v>68882.520000000019</v>
      </c>
      <c r="O27" s="64">
        <v>68903.040000000023</v>
      </c>
      <c r="P27" s="64">
        <v>68915.320000000022</v>
      </c>
      <c r="Q27" s="64">
        <v>68936.880000000019</v>
      </c>
      <c r="R27" s="64">
        <v>68956.260000000024</v>
      </c>
      <c r="S27" s="64">
        <v>68978.180000000022</v>
      </c>
      <c r="T27" s="64">
        <v>69000.390000000029</v>
      </c>
      <c r="U27" s="64">
        <v>69021.650000000023</v>
      </c>
      <c r="V27" s="64">
        <v>69042.950000000026</v>
      </c>
      <c r="W27" s="64">
        <v>69064.130000000019</v>
      </c>
      <c r="X27" s="64">
        <v>69085.650000000023</v>
      </c>
      <c r="Y27" s="64">
        <v>69106.72000000003</v>
      </c>
      <c r="Z27" s="64">
        <v>69126.630000000034</v>
      </c>
      <c r="AA27" s="64">
        <v>69147.960000000036</v>
      </c>
      <c r="AB27" s="64">
        <v>69169.390000000029</v>
      </c>
      <c r="AC27" s="64">
        <v>69191.210000000036</v>
      </c>
      <c r="AD27" s="64">
        <v>69213.040000000037</v>
      </c>
      <c r="AE27" s="64">
        <v>69230.460000000036</v>
      </c>
      <c r="AF27" s="224">
        <v>69252.73000000004</v>
      </c>
      <c r="AG27" s="51">
        <f t="shared" si="0"/>
        <v>69252.73000000004</v>
      </c>
      <c r="AH27" s="44">
        <v>68715.37</v>
      </c>
    </row>
    <row r="28" spans="1:34" x14ac:dyDescent="0.35">
      <c r="A28" s="33" t="s">
        <v>34</v>
      </c>
      <c r="B28" s="223">
        <v>66368.050000000105</v>
      </c>
      <c r="C28" s="64">
        <v>66385.340000000098</v>
      </c>
      <c r="D28" s="64">
        <v>66405.0600000001</v>
      </c>
      <c r="E28" s="64">
        <v>66426.320000000094</v>
      </c>
      <c r="F28" s="64">
        <v>66448.180000000095</v>
      </c>
      <c r="G28" s="64">
        <v>66469.850000000093</v>
      </c>
      <c r="H28" s="64">
        <v>66491.720000000088</v>
      </c>
      <c r="I28" s="64">
        <v>66502.090000000084</v>
      </c>
      <c r="J28" s="64">
        <v>66504.82000000008</v>
      </c>
      <c r="K28" s="64">
        <v>66526.57000000008</v>
      </c>
      <c r="L28" s="64">
        <v>66547.150000000081</v>
      </c>
      <c r="M28" s="64">
        <v>66568.160000000076</v>
      </c>
      <c r="N28" s="64">
        <v>66589.390000000072</v>
      </c>
      <c r="O28" s="64">
        <v>66610.910000000076</v>
      </c>
      <c r="P28" s="64">
        <v>66632.420000000071</v>
      </c>
      <c r="Q28" s="64">
        <v>66653.970000000074</v>
      </c>
      <c r="R28" s="64">
        <v>66667.600000000079</v>
      </c>
      <c r="S28" s="64">
        <v>66689.290000000081</v>
      </c>
      <c r="T28" s="64">
        <v>66711.280000000086</v>
      </c>
      <c r="U28" s="64">
        <v>66728.910000000091</v>
      </c>
      <c r="V28" s="64">
        <v>66750.560000000085</v>
      </c>
      <c r="W28" s="64">
        <v>66771.250000000087</v>
      </c>
      <c r="X28" s="64">
        <v>66771.250000000087</v>
      </c>
      <c r="Y28" s="64">
        <v>66785.420000000086</v>
      </c>
      <c r="Z28" s="64">
        <v>66798.900000000081</v>
      </c>
      <c r="AA28" s="64">
        <v>66815.860000000088</v>
      </c>
      <c r="AB28" s="64">
        <v>66830.220000000088</v>
      </c>
      <c r="AC28" s="64">
        <v>66851.700000000084</v>
      </c>
      <c r="AD28" s="64">
        <v>66873.30000000009</v>
      </c>
      <c r="AE28" s="64">
        <v>66877.770000000091</v>
      </c>
      <c r="AF28" s="224">
        <v>66891.670000000086</v>
      </c>
      <c r="AG28" s="51">
        <f t="shared" si="0"/>
        <v>66891.670000000086</v>
      </c>
      <c r="AH28" s="44">
        <v>66346.45</v>
      </c>
    </row>
    <row r="29" spans="1:34" x14ac:dyDescent="0.35">
      <c r="A29" s="33" t="s">
        <v>35</v>
      </c>
      <c r="B29" s="223">
        <v>67631.410000000076</v>
      </c>
      <c r="C29" s="64">
        <v>67653.260000000082</v>
      </c>
      <c r="D29" s="64">
        <v>67674.760000000082</v>
      </c>
      <c r="E29" s="64">
        <v>67693.800000000076</v>
      </c>
      <c r="F29" s="64">
        <v>67711.750000000073</v>
      </c>
      <c r="G29" s="64">
        <v>67727.840000000069</v>
      </c>
      <c r="H29" s="64">
        <v>67746.770000000062</v>
      </c>
      <c r="I29" s="64">
        <v>67768.350000000064</v>
      </c>
      <c r="J29" s="64">
        <v>67789.990000000063</v>
      </c>
      <c r="K29" s="64">
        <v>67811.590000000069</v>
      </c>
      <c r="L29" s="64">
        <v>67827.980000000069</v>
      </c>
      <c r="M29" s="64">
        <v>67834.920000000071</v>
      </c>
      <c r="N29" s="64">
        <v>67838.360000000073</v>
      </c>
      <c r="O29" s="64">
        <v>67857.770000000077</v>
      </c>
      <c r="P29" s="64">
        <v>67876.150000000081</v>
      </c>
      <c r="Q29" s="64">
        <v>67891.390000000087</v>
      </c>
      <c r="R29" s="64">
        <v>67908.000000000087</v>
      </c>
      <c r="S29" s="64">
        <v>67930.040000000081</v>
      </c>
      <c r="T29" s="64">
        <v>67951.940000000075</v>
      </c>
      <c r="U29" s="64">
        <v>67972.740000000078</v>
      </c>
      <c r="V29" s="64">
        <v>67994.480000000083</v>
      </c>
      <c r="W29" s="64">
        <v>68015.470000000088</v>
      </c>
      <c r="X29" s="64">
        <v>68036.990000000093</v>
      </c>
      <c r="Y29" s="64">
        <v>68054.360000000088</v>
      </c>
      <c r="Z29" s="64">
        <v>68054.360000000088</v>
      </c>
      <c r="AA29" s="64">
        <v>68066.210000000094</v>
      </c>
      <c r="AB29" s="64">
        <v>68088.140000000087</v>
      </c>
      <c r="AC29" s="64">
        <v>68104.700000000084</v>
      </c>
      <c r="AD29" s="64">
        <v>68121.670000000086</v>
      </c>
      <c r="AE29" s="64">
        <v>68143.200000000084</v>
      </c>
      <c r="AF29" s="224">
        <v>68164.840000000084</v>
      </c>
      <c r="AG29" s="51">
        <f t="shared" si="0"/>
        <v>68164.840000000084</v>
      </c>
      <c r="AH29" s="44">
        <v>67613.14</v>
      </c>
    </row>
    <row r="30" spans="1:34" x14ac:dyDescent="0.35">
      <c r="A30" s="33" t="s">
        <v>36</v>
      </c>
      <c r="B30" s="223">
        <v>67150.540000000212</v>
      </c>
      <c r="C30" s="64">
        <v>67171.740000000209</v>
      </c>
      <c r="D30" s="64">
        <v>67193.35000000021</v>
      </c>
      <c r="E30" s="64">
        <v>67215.060000000216</v>
      </c>
      <c r="F30" s="64">
        <v>67236.85000000021</v>
      </c>
      <c r="G30" s="64">
        <v>67256.760000000213</v>
      </c>
      <c r="H30" s="64">
        <v>67277.930000000211</v>
      </c>
      <c r="I30" s="64">
        <v>67290.890000000218</v>
      </c>
      <c r="J30" s="64">
        <v>67308.600000000224</v>
      </c>
      <c r="K30" s="64">
        <v>67329.790000000226</v>
      </c>
      <c r="L30" s="64">
        <v>67350.390000000232</v>
      </c>
      <c r="M30" s="64">
        <v>67369.850000000239</v>
      </c>
      <c r="N30" s="64">
        <v>67382.510000000242</v>
      </c>
      <c r="O30" s="64">
        <v>67404.450000000244</v>
      </c>
      <c r="P30" s="64">
        <v>67425.900000000242</v>
      </c>
      <c r="Q30" s="64">
        <v>67447.560000000245</v>
      </c>
      <c r="R30" s="64">
        <v>67469.210000000239</v>
      </c>
      <c r="S30" s="64">
        <v>67489.410000000236</v>
      </c>
      <c r="T30" s="64">
        <v>67510.860000000233</v>
      </c>
      <c r="U30" s="64">
        <v>67524.860000000233</v>
      </c>
      <c r="V30" s="64">
        <v>67546.260000000228</v>
      </c>
      <c r="W30" s="64">
        <v>67568.420000000231</v>
      </c>
      <c r="X30" s="64">
        <v>67589.800000000236</v>
      </c>
      <c r="Y30" s="64">
        <v>67611.350000000239</v>
      </c>
      <c r="Z30" s="64">
        <v>67632.740000000238</v>
      </c>
      <c r="AA30" s="64">
        <v>67650.290000000241</v>
      </c>
      <c r="AB30" s="64">
        <v>67662.660000000236</v>
      </c>
      <c r="AC30" s="64">
        <v>67684.490000000238</v>
      </c>
      <c r="AD30" s="64">
        <v>67705.940000000235</v>
      </c>
      <c r="AE30" s="64">
        <v>67727.43000000024</v>
      </c>
      <c r="AF30" s="224">
        <v>67747.650000000242</v>
      </c>
      <c r="AG30" s="51">
        <f t="shared" si="0"/>
        <v>67747.650000000242</v>
      </c>
      <c r="AH30" s="44">
        <v>67128.990000000005</v>
      </c>
    </row>
    <row r="31" spans="1:34" x14ac:dyDescent="0.35">
      <c r="A31" s="33" t="s">
        <v>37</v>
      </c>
      <c r="B31" s="223">
        <v>67252.440000000046</v>
      </c>
      <c r="C31" s="64">
        <v>67273.040000000052</v>
      </c>
      <c r="D31" s="64">
        <v>67293.400000000052</v>
      </c>
      <c r="E31" s="64">
        <v>67315.360000000059</v>
      </c>
      <c r="F31" s="64">
        <v>67335.740000000063</v>
      </c>
      <c r="G31" s="64">
        <v>67349.890000000058</v>
      </c>
      <c r="H31" s="64">
        <v>67368.210000000065</v>
      </c>
      <c r="I31" s="64">
        <v>67387.790000000066</v>
      </c>
      <c r="J31" s="64">
        <v>67398.880000000063</v>
      </c>
      <c r="K31" s="64">
        <v>67419.270000000062</v>
      </c>
      <c r="L31" s="64">
        <v>67440.360000000059</v>
      </c>
      <c r="M31" s="64">
        <v>67460.140000000058</v>
      </c>
      <c r="N31" s="64">
        <v>67481.770000000062</v>
      </c>
      <c r="O31" s="64">
        <v>67503.410000000062</v>
      </c>
      <c r="P31" s="64">
        <v>67518.860000000059</v>
      </c>
      <c r="Q31" s="64">
        <v>67539.770000000062</v>
      </c>
      <c r="R31" s="64">
        <v>67561.210000000065</v>
      </c>
      <c r="S31" s="64">
        <v>67582.260000000068</v>
      </c>
      <c r="T31" s="64">
        <v>67603.790000000066</v>
      </c>
      <c r="U31" s="64">
        <v>67622.920000000071</v>
      </c>
      <c r="V31" s="64">
        <v>67639.530000000072</v>
      </c>
      <c r="W31" s="64">
        <v>67661.010000000068</v>
      </c>
      <c r="X31" s="64">
        <v>67682.570000000065</v>
      </c>
      <c r="Y31" s="64">
        <v>67703.95000000007</v>
      </c>
      <c r="Z31" s="64">
        <v>67724.680000000066</v>
      </c>
      <c r="AA31" s="64">
        <v>67731.870000000068</v>
      </c>
      <c r="AB31" s="64">
        <v>67748.290000000066</v>
      </c>
      <c r="AC31" s="64">
        <v>67769.740000000063</v>
      </c>
      <c r="AD31" s="64">
        <v>67790.660000000062</v>
      </c>
      <c r="AE31" s="64">
        <v>67794.390000000058</v>
      </c>
      <c r="AF31" s="224">
        <v>67794.390000000058</v>
      </c>
      <c r="AG31" s="51">
        <f t="shared" si="0"/>
        <v>67794.390000000058</v>
      </c>
      <c r="AH31" s="44">
        <v>67230.960000000006</v>
      </c>
    </row>
    <row r="32" spans="1:34" x14ac:dyDescent="0.35">
      <c r="A32" s="33" t="s">
        <v>38</v>
      </c>
      <c r="B32" s="223">
        <v>67484.5600000001</v>
      </c>
      <c r="C32" s="64">
        <v>67504.480000000098</v>
      </c>
      <c r="D32" s="64">
        <v>67525.610000000102</v>
      </c>
      <c r="E32" s="64">
        <v>67546.510000000097</v>
      </c>
      <c r="F32" s="64">
        <v>67568.110000000102</v>
      </c>
      <c r="G32" s="64">
        <v>67589.820000000109</v>
      </c>
      <c r="H32" s="64">
        <v>67611.620000000112</v>
      </c>
      <c r="I32" s="64">
        <v>67633.110000000117</v>
      </c>
      <c r="J32" s="64">
        <v>67646.170000000115</v>
      </c>
      <c r="K32" s="64">
        <v>67665.450000000114</v>
      </c>
      <c r="L32" s="64">
        <v>67686.420000000115</v>
      </c>
      <c r="M32" s="64">
        <v>67706.580000000118</v>
      </c>
      <c r="N32" s="64">
        <v>67728.380000000121</v>
      </c>
      <c r="O32" s="64">
        <v>67750.050000000119</v>
      </c>
      <c r="P32" s="64">
        <v>67771.570000000123</v>
      </c>
      <c r="Q32" s="64">
        <v>67793.41000000012</v>
      </c>
      <c r="R32" s="64">
        <v>67810.070000000123</v>
      </c>
      <c r="S32" s="64">
        <v>67831.940000000119</v>
      </c>
      <c r="T32" s="64">
        <v>67854.930000000124</v>
      </c>
      <c r="U32" s="64">
        <v>67876.03000000013</v>
      </c>
      <c r="V32" s="64">
        <v>67897.420000000129</v>
      </c>
      <c r="W32" s="64">
        <v>67918.730000000127</v>
      </c>
      <c r="X32" s="64">
        <v>67939.570000000123</v>
      </c>
      <c r="Y32" s="64">
        <v>67960.920000000129</v>
      </c>
      <c r="Z32" s="64">
        <v>67979.710000000123</v>
      </c>
      <c r="AA32" s="64">
        <v>68000.750000000116</v>
      </c>
      <c r="AB32" s="64">
        <v>68021.79000000011</v>
      </c>
      <c r="AC32" s="64">
        <v>68043.390000000116</v>
      </c>
      <c r="AD32" s="64">
        <v>68064.530000000115</v>
      </c>
      <c r="AE32" s="64">
        <v>68086.000000000116</v>
      </c>
      <c r="AF32" s="224">
        <v>68107.310000000114</v>
      </c>
      <c r="AG32" s="51">
        <f t="shared" si="0"/>
        <v>68107.310000000114</v>
      </c>
      <c r="AH32" s="44">
        <v>67462.73</v>
      </c>
    </row>
    <row r="33" spans="1:34" x14ac:dyDescent="0.35">
      <c r="A33" s="33" t="s">
        <v>39</v>
      </c>
      <c r="B33" s="223">
        <v>66799.109999999913</v>
      </c>
      <c r="C33" s="64">
        <v>66818.159999999916</v>
      </c>
      <c r="D33" s="64">
        <v>66839.799999999916</v>
      </c>
      <c r="E33" s="64">
        <v>66861.659999999916</v>
      </c>
      <c r="F33" s="64">
        <v>66879.359999999913</v>
      </c>
      <c r="G33" s="64">
        <v>66893.159999999916</v>
      </c>
      <c r="H33" s="64">
        <v>66894.889999999912</v>
      </c>
      <c r="I33" s="64">
        <v>66900.969999999914</v>
      </c>
      <c r="J33" s="64">
        <v>66921.999999999913</v>
      </c>
      <c r="K33" s="64">
        <v>66943.579999999914</v>
      </c>
      <c r="L33" s="64">
        <v>66964.529999999912</v>
      </c>
      <c r="M33" s="64">
        <v>66984.599999999919</v>
      </c>
      <c r="N33" s="64">
        <v>67006.449999999924</v>
      </c>
      <c r="O33" s="64">
        <v>67028.31999999992</v>
      </c>
      <c r="P33" s="64">
        <v>67040.269999999917</v>
      </c>
      <c r="Q33" s="64">
        <v>67061.06999999992</v>
      </c>
      <c r="R33" s="64">
        <v>67079.039999999921</v>
      </c>
      <c r="S33" s="64">
        <v>67093.989999999918</v>
      </c>
      <c r="T33" s="64">
        <v>67116.079999999914</v>
      </c>
      <c r="U33" s="64">
        <v>67137.849999999919</v>
      </c>
      <c r="V33" s="64">
        <v>67159.029999999912</v>
      </c>
      <c r="W33" s="64">
        <v>67180.799999999916</v>
      </c>
      <c r="X33" s="64">
        <v>67202.17999999992</v>
      </c>
      <c r="Y33" s="64">
        <v>67223.489999999918</v>
      </c>
      <c r="Z33" s="64">
        <v>67245.06999999992</v>
      </c>
      <c r="AA33" s="64">
        <v>67266.189999999915</v>
      </c>
      <c r="AB33" s="64">
        <v>67281.079999999914</v>
      </c>
      <c r="AC33" s="64">
        <v>67299.579999999914</v>
      </c>
      <c r="AD33" s="64">
        <v>67321.229999999909</v>
      </c>
      <c r="AE33" s="64">
        <v>67343.139999999912</v>
      </c>
      <c r="AF33" s="224">
        <v>67364.909999999916</v>
      </c>
      <c r="AG33" s="51">
        <f t="shared" si="0"/>
        <v>67364.909999999916</v>
      </c>
      <c r="AH33" s="44">
        <v>66776.91</v>
      </c>
    </row>
    <row r="34" spans="1:34" x14ac:dyDescent="0.35">
      <c r="A34" s="33" t="s">
        <v>40</v>
      </c>
      <c r="B34" s="223">
        <v>49395.9399999999</v>
      </c>
      <c r="C34" s="64">
        <v>49412.359999999899</v>
      </c>
      <c r="D34" s="64">
        <v>49431.639999999898</v>
      </c>
      <c r="E34" s="64">
        <v>49434.819999999898</v>
      </c>
      <c r="F34" s="64">
        <v>49456.4399999999</v>
      </c>
      <c r="G34" s="64">
        <v>49473.979999999901</v>
      </c>
      <c r="H34" s="64">
        <v>49478.4399999999</v>
      </c>
      <c r="I34" s="64">
        <v>49487.109999999899</v>
      </c>
      <c r="J34" s="64">
        <v>49506.669999999896</v>
      </c>
      <c r="K34" s="64">
        <v>49520.719999999899</v>
      </c>
      <c r="L34" s="64">
        <v>49520.809999999896</v>
      </c>
      <c r="M34" s="64">
        <v>49520.809999999896</v>
      </c>
      <c r="N34" s="64">
        <v>49542.499999999898</v>
      </c>
      <c r="O34" s="64">
        <v>49552.319999999898</v>
      </c>
      <c r="P34" s="64">
        <v>49552.319999999898</v>
      </c>
      <c r="Q34" s="64">
        <v>49568.289999999899</v>
      </c>
      <c r="R34" s="64">
        <v>49583.459999999897</v>
      </c>
      <c r="S34" s="64">
        <v>49599.479999999894</v>
      </c>
      <c r="T34" s="64">
        <v>49621.069999999891</v>
      </c>
      <c r="U34" s="64">
        <v>49638.489999999889</v>
      </c>
      <c r="V34" s="64">
        <v>49651.099999999889</v>
      </c>
      <c r="W34" s="64">
        <v>49671.629999999888</v>
      </c>
      <c r="X34" s="64">
        <v>49690.77999999989</v>
      </c>
      <c r="Y34" s="64">
        <v>49701.149999999892</v>
      </c>
      <c r="Z34" s="64">
        <v>49716.45999999989</v>
      </c>
      <c r="AA34" s="64">
        <v>49738.069999999891</v>
      </c>
      <c r="AB34" s="64">
        <v>49759.179999999891</v>
      </c>
      <c r="AC34" s="64">
        <v>49780.589999999895</v>
      </c>
      <c r="AD34" s="64">
        <v>49801.839999999895</v>
      </c>
      <c r="AE34" s="64">
        <v>49823.349999999897</v>
      </c>
      <c r="AF34" s="224">
        <v>49844.909999999894</v>
      </c>
      <c r="AG34" s="51">
        <f t="shared" si="0"/>
        <v>49844.909999999894</v>
      </c>
      <c r="AH34" s="44">
        <v>49374.52</v>
      </c>
    </row>
    <row r="35" spans="1:34" x14ac:dyDescent="0.35">
      <c r="A35" s="33" t="s">
        <v>41</v>
      </c>
      <c r="B35" s="223">
        <v>51929.509999999973</v>
      </c>
      <c r="C35" s="64">
        <v>51944.449999999975</v>
      </c>
      <c r="D35" s="64">
        <v>51957.699999999975</v>
      </c>
      <c r="E35" s="64">
        <v>51979.039999999972</v>
      </c>
      <c r="F35" s="64">
        <v>51999.599999999969</v>
      </c>
      <c r="G35" s="64">
        <v>52001.739999999969</v>
      </c>
      <c r="H35" s="64">
        <v>52023.20999999997</v>
      </c>
      <c r="I35" s="64">
        <v>52039.199999999968</v>
      </c>
      <c r="J35" s="64">
        <v>52060.169999999969</v>
      </c>
      <c r="K35" s="64">
        <v>52081.38999999997</v>
      </c>
      <c r="L35" s="64">
        <v>52096.449999999968</v>
      </c>
      <c r="M35" s="64">
        <v>52107.399999999965</v>
      </c>
      <c r="N35" s="64">
        <v>52128.319999999963</v>
      </c>
      <c r="O35" s="64">
        <v>52147.149999999965</v>
      </c>
      <c r="P35" s="64">
        <v>52168.049999999967</v>
      </c>
      <c r="Q35" s="64">
        <v>52187.689999999966</v>
      </c>
      <c r="R35" s="64">
        <v>52208.229999999967</v>
      </c>
      <c r="S35" s="64">
        <v>52229.729999999967</v>
      </c>
      <c r="T35" s="64">
        <v>52246.489999999969</v>
      </c>
      <c r="U35" s="64">
        <v>52264.739999999969</v>
      </c>
      <c r="V35" s="64">
        <v>52266.63999999997</v>
      </c>
      <c r="W35" s="64">
        <v>52266.63999999997</v>
      </c>
      <c r="X35" s="64">
        <v>52273.699999999968</v>
      </c>
      <c r="Y35" s="64">
        <v>52294.659999999967</v>
      </c>
      <c r="Z35" s="64">
        <v>52313.63999999997</v>
      </c>
      <c r="AA35" s="64">
        <v>52335.189999999973</v>
      </c>
      <c r="AB35" s="64">
        <v>52356.329999999973</v>
      </c>
      <c r="AC35" s="64">
        <v>52377.569999999971</v>
      </c>
      <c r="AD35" s="64">
        <v>52399.219999999972</v>
      </c>
      <c r="AE35" s="64">
        <v>52419.169999999969</v>
      </c>
      <c r="AF35" s="224">
        <v>52440.879999999968</v>
      </c>
      <c r="AG35" s="51">
        <f t="shared" si="0"/>
        <v>52440.879999999968</v>
      </c>
      <c r="AH35" s="44">
        <v>51908.01</v>
      </c>
    </row>
    <row r="36" spans="1:34" x14ac:dyDescent="0.35">
      <c r="A36" s="33" t="s">
        <v>42</v>
      </c>
      <c r="B36" s="223">
        <v>46521.85000000002</v>
      </c>
      <c r="C36" s="64">
        <v>46521.85000000002</v>
      </c>
      <c r="D36" s="64">
        <v>46539.800000000017</v>
      </c>
      <c r="E36" s="64">
        <v>46561.460000000021</v>
      </c>
      <c r="F36" s="64">
        <v>46583.330000000024</v>
      </c>
      <c r="G36" s="64">
        <v>46598.650000000023</v>
      </c>
      <c r="H36" s="64">
        <v>46618.160000000025</v>
      </c>
      <c r="I36" s="64">
        <v>46630.580000000024</v>
      </c>
      <c r="J36" s="64">
        <v>46648.890000000021</v>
      </c>
      <c r="K36" s="64">
        <v>46669.180000000022</v>
      </c>
      <c r="L36" s="64">
        <v>46682.580000000024</v>
      </c>
      <c r="M36" s="64">
        <v>46693.320000000022</v>
      </c>
      <c r="N36" s="64">
        <v>46709.92000000002</v>
      </c>
      <c r="O36" s="64">
        <v>46726.950000000019</v>
      </c>
      <c r="P36" s="64">
        <v>46744.270000000019</v>
      </c>
      <c r="Q36" s="64">
        <v>46760.340000000018</v>
      </c>
      <c r="R36" s="64">
        <v>46776.060000000019</v>
      </c>
      <c r="S36" s="64">
        <v>46796.150000000016</v>
      </c>
      <c r="T36" s="64">
        <v>46816.310000000019</v>
      </c>
      <c r="U36" s="64">
        <v>46821.800000000017</v>
      </c>
      <c r="V36" s="64">
        <v>46821.800000000017</v>
      </c>
      <c r="W36" s="64">
        <v>46831.730000000018</v>
      </c>
      <c r="X36" s="64">
        <v>46840.950000000019</v>
      </c>
      <c r="Y36" s="64">
        <v>46860.410000000018</v>
      </c>
      <c r="Z36" s="64">
        <v>46874.020000000019</v>
      </c>
      <c r="AA36" s="64">
        <v>46889.700000000019</v>
      </c>
      <c r="AB36" s="64">
        <v>46908.540000000015</v>
      </c>
      <c r="AC36" s="64">
        <v>46927.440000000017</v>
      </c>
      <c r="AD36" s="64">
        <v>46938.680000000015</v>
      </c>
      <c r="AE36" s="64">
        <v>46957.190000000017</v>
      </c>
      <c r="AF36" s="224">
        <v>46973.250000000015</v>
      </c>
      <c r="AG36" s="51">
        <f t="shared" ref="AG36:AG67" si="1">MAX(B36:AF36)</f>
        <v>46973.250000000015</v>
      </c>
      <c r="AH36" s="44">
        <v>46520.17</v>
      </c>
    </row>
    <row r="37" spans="1:34" x14ac:dyDescent="0.35">
      <c r="A37" s="33" t="s">
        <v>43</v>
      </c>
      <c r="B37" s="223">
        <v>51683.23000000004</v>
      </c>
      <c r="C37" s="64">
        <v>51702.02000000004</v>
      </c>
      <c r="D37" s="64">
        <v>51723.66000000004</v>
      </c>
      <c r="E37" s="64">
        <v>51745.300000000039</v>
      </c>
      <c r="F37" s="64">
        <v>51766.760000000038</v>
      </c>
      <c r="G37" s="64">
        <v>51787.940000000039</v>
      </c>
      <c r="H37" s="64">
        <v>51808.59000000004</v>
      </c>
      <c r="I37" s="64">
        <v>51824.700000000041</v>
      </c>
      <c r="J37" s="64">
        <v>51845.02000000004</v>
      </c>
      <c r="K37" s="64">
        <v>51866.670000000042</v>
      </c>
      <c r="L37" s="64">
        <v>51888.360000000044</v>
      </c>
      <c r="M37" s="64">
        <v>51908.090000000047</v>
      </c>
      <c r="N37" s="64">
        <v>51929.720000000045</v>
      </c>
      <c r="O37" s="64">
        <v>51950.760000000046</v>
      </c>
      <c r="P37" s="64">
        <v>51961.760000000046</v>
      </c>
      <c r="Q37" s="64">
        <v>51982.060000000049</v>
      </c>
      <c r="R37" s="64">
        <v>52001.840000000047</v>
      </c>
      <c r="S37" s="64">
        <v>52012.630000000048</v>
      </c>
      <c r="T37" s="64">
        <v>52033.440000000046</v>
      </c>
      <c r="U37" s="64">
        <v>52053.840000000047</v>
      </c>
      <c r="V37" s="64">
        <v>52075.620000000046</v>
      </c>
      <c r="W37" s="64">
        <v>52097.430000000044</v>
      </c>
      <c r="X37" s="64">
        <v>52119.340000000047</v>
      </c>
      <c r="Y37" s="64">
        <v>52141.200000000048</v>
      </c>
      <c r="Z37" s="64">
        <v>52162.290000000045</v>
      </c>
      <c r="AA37" s="64">
        <v>52184.140000000043</v>
      </c>
      <c r="AB37" s="64">
        <v>52205.370000000046</v>
      </c>
      <c r="AC37" s="64">
        <v>52226.970000000045</v>
      </c>
      <c r="AD37" s="64">
        <v>52246.150000000045</v>
      </c>
      <c r="AE37" s="64">
        <v>52267.200000000048</v>
      </c>
      <c r="AF37" s="224">
        <v>52284.580000000045</v>
      </c>
      <c r="AG37" s="51">
        <f t="shared" si="1"/>
        <v>52284.580000000045</v>
      </c>
      <c r="AH37" s="44">
        <v>51662.36</v>
      </c>
    </row>
    <row r="38" spans="1:34" x14ac:dyDescent="0.35">
      <c r="A38" s="33" t="s">
        <v>44</v>
      </c>
      <c r="B38" s="223">
        <v>52625.350000000049</v>
      </c>
      <c r="C38" s="64">
        <v>52646.480000000047</v>
      </c>
      <c r="D38" s="64">
        <v>52668.310000000049</v>
      </c>
      <c r="E38" s="64">
        <v>52684.430000000051</v>
      </c>
      <c r="F38" s="64">
        <v>52692.940000000053</v>
      </c>
      <c r="G38" s="64">
        <v>52706.290000000052</v>
      </c>
      <c r="H38" s="64">
        <v>52714.340000000055</v>
      </c>
      <c r="I38" s="64">
        <v>52728.280000000057</v>
      </c>
      <c r="J38" s="64">
        <v>52742.590000000055</v>
      </c>
      <c r="K38" s="64">
        <v>52764.250000000058</v>
      </c>
      <c r="L38" s="64">
        <v>52773.430000000058</v>
      </c>
      <c r="M38" s="64">
        <v>52786.220000000059</v>
      </c>
      <c r="N38" s="64">
        <v>52804.940000000061</v>
      </c>
      <c r="O38" s="64">
        <v>52823.990000000063</v>
      </c>
      <c r="P38" s="64">
        <v>52843.26000000006</v>
      </c>
      <c r="Q38" s="64">
        <v>52860.680000000058</v>
      </c>
      <c r="R38" s="64">
        <v>52871.950000000055</v>
      </c>
      <c r="S38" s="64">
        <v>52871.950000000055</v>
      </c>
      <c r="T38" s="64">
        <v>52871.950000000055</v>
      </c>
      <c r="U38" s="64">
        <v>52871.950000000055</v>
      </c>
      <c r="V38" s="64">
        <v>52872.130000000056</v>
      </c>
      <c r="W38" s="64">
        <v>52878.610000000059</v>
      </c>
      <c r="X38" s="64">
        <v>52891.660000000062</v>
      </c>
      <c r="Y38" s="64">
        <v>52891.660000000062</v>
      </c>
      <c r="Z38" s="64">
        <v>52891.660000000062</v>
      </c>
      <c r="AA38" s="64">
        <v>52891.660000000062</v>
      </c>
      <c r="AB38" s="64">
        <v>52891.660000000062</v>
      </c>
      <c r="AC38" s="64">
        <v>52891.660000000062</v>
      </c>
      <c r="AD38" s="64">
        <v>52891.660000000062</v>
      </c>
      <c r="AE38" s="64">
        <v>52891.660000000062</v>
      </c>
      <c r="AF38" s="224">
        <v>52891.660000000062</v>
      </c>
      <c r="AG38" s="51">
        <f t="shared" si="1"/>
        <v>52891.660000000062</v>
      </c>
      <c r="AH38" s="44">
        <v>52608.7</v>
      </c>
    </row>
    <row r="39" spans="1:34" x14ac:dyDescent="0.35">
      <c r="A39" s="33" t="s">
        <v>45</v>
      </c>
      <c r="B39" s="223">
        <v>50925.919999999933</v>
      </c>
      <c r="C39" s="64">
        <v>50947.219999999936</v>
      </c>
      <c r="D39" s="64">
        <v>50967.169999999933</v>
      </c>
      <c r="E39" s="64">
        <v>50987.109999999935</v>
      </c>
      <c r="F39" s="64">
        <v>51009.129999999932</v>
      </c>
      <c r="G39" s="64">
        <v>51030.809999999932</v>
      </c>
      <c r="H39" s="64">
        <v>51051.849999999933</v>
      </c>
      <c r="I39" s="64">
        <v>51064.259999999937</v>
      </c>
      <c r="J39" s="64">
        <v>51085.099999999933</v>
      </c>
      <c r="K39" s="64">
        <v>51106.259999999937</v>
      </c>
      <c r="L39" s="64">
        <v>51127.409999999938</v>
      </c>
      <c r="M39" s="64">
        <v>51147.499999999935</v>
      </c>
      <c r="N39" s="64">
        <v>51168.739999999932</v>
      </c>
      <c r="O39" s="64">
        <v>51189.709999999934</v>
      </c>
      <c r="P39" s="64">
        <v>51197.529999999933</v>
      </c>
      <c r="Q39" s="64">
        <v>51218.789999999935</v>
      </c>
      <c r="R39" s="64">
        <v>51239.799999999937</v>
      </c>
      <c r="S39" s="64">
        <v>51259.609999999935</v>
      </c>
      <c r="T39" s="64">
        <v>51274.189999999937</v>
      </c>
      <c r="U39" s="64">
        <v>51294.23999999994</v>
      </c>
      <c r="V39" s="64">
        <v>51307.859999999942</v>
      </c>
      <c r="W39" s="64">
        <v>51328.41999999994</v>
      </c>
      <c r="X39" s="64">
        <v>51347.16999999994</v>
      </c>
      <c r="Y39" s="64">
        <v>51362.329999999944</v>
      </c>
      <c r="Z39" s="64">
        <v>51382.999999999942</v>
      </c>
      <c r="AA39" s="64">
        <v>51403.759999999944</v>
      </c>
      <c r="AB39" s="64">
        <v>51425.119999999944</v>
      </c>
      <c r="AC39" s="64">
        <v>51446.719999999943</v>
      </c>
      <c r="AD39" s="64">
        <v>51468.309999999939</v>
      </c>
      <c r="AE39" s="64">
        <v>51489.329999999936</v>
      </c>
      <c r="AF39" s="224">
        <v>51511.029999999933</v>
      </c>
      <c r="AG39" s="51">
        <f t="shared" si="1"/>
        <v>51511.029999999933</v>
      </c>
      <c r="AH39" s="44">
        <v>50904.41</v>
      </c>
    </row>
    <row r="40" spans="1:34" x14ac:dyDescent="0.35">
      <c r="A40" s="33" t="s">
        <v>46</v>
      </c>
      <c r="B40" s="223">
        <v>52013.329999999965</v>
      </c>
      <c r="C40" s="64">
        <v>52035.209999999963</v>
      </c>
      <c r="D40" s="64">
        <v>52057.139999999963</v>
      </c>
      <c r="E40" s="64">
        <v>52078.809999999961</v>
      </c>
      <c r="F40" s="64">
        <v>52100.619999999959</v>
      </c>
      <c r="G40" s="64">
        <v>52101.97999999996</v>
      </c>
      <c r="H40" s="64">
        <v>52102.709999999963</v>
      </c>
      <c r="I40" s="64">
        <v>52119.869999999966</v>
      </c>
      <c r="J40" s="64">
        <v>52133.159999999967</v>
      </c>
      <c r="K40" s="64">
        <v>52134.20999999997</v>
      </c>
      <c r="L40" s="64">
        <v>52136.809999999969</v>
      </c>
      <c r="M40" s="64">
        <v>52150.409999999967</v>
      </c>
      <c r="N40" s="64">
        <v>52164.77999999997</v>
      </c>
      <c r="O40" s="64">
        <v>52186.489999999969</v>
      </c>
      <c r="P40" s="64">
        <v>52206.999999999971</v>
      </c>
      <c r="Q40" s="64">
        <v>52228.629999999968</v>
      </c>
      <c r="R40" s="64">
        <v>52250.359999999971</v>
      </c>
      <c r="S40" s="64">
        <v>52271.919999999969</v>
      </c>
      <c r="T40" s="64">
        <v>52293.789999999972</v>
      </c>
      <c r="U40" s="64">
        <v>52310.38999999997</v>
      </c>
      <c r="V40" s="64">
        <v>52331.52999999997</v>
      </c>
      <c r="W40" s="64">
        <v>52348.159999999967</v>
      </c>
      <c r="X40" s="64">
        <v>52369.839999999967</v>
      </c>
      <c r="Y40" s="64">
        <v>52390.739999999969</v>
      </c>
      <c r="Z40" s="64">
        <v>52412.559999999969</v>
      </c>
      <c r="AA40" s="64">
        <v>52433.809999999969</v>
      </c>
      <c r="AB40" s="64">
        <v>52439.02999999997</v>
      </c>
      <c r="AC40" s="64">
        <v>52459.189999999973</v>
      </c>
      <c r="AD40" s="64">
        <v>52478.13999999997</v>
      </c>
      <c r="AE40" s="64">
        <v>52498.629999999968</v>
      </c>
      <c r="AF40" s="224">
        <v>52520.009999999966</v>
      </c>
      <c r="AG40" s="51">
        <f t="shared" si="1"/>
        <v>52520.009999999966</v>
      </c>
      <c r="AH40" s="44">
        <v>51991.59</v>
      </c>
    </row>
    <row r="41" spans="1:34" x14ac:dyDescent="0.35">
      <c r="A41" s="33" t="s">
        <v>47</v>
      </c>
      <c r="B41" s="223">
        <v>49567.100000000013</v>
      </c>
      <c r="C41" s="64">
        <v>49587.990000000013</v>
      </c>
      <c r="D41" s="64">
        <v>49608.510000000009</v>
      </c>
      <c r="E41" s="64">
        <v>49609.790000000008</v>
      </c>
      <c r="F41" s="64">
        <v>49626.100000000006</v>
      </c>
      <c r="G41" s="64">
        <v>49647.330000000009</v>
      </c>
      <c r="H41" s="64">
        <v>49661.650000000009</v>
      </c>
      <c r="I41" s="64">
        <v>49681.510000000009</v>
      </c>
      <c r="J41" s="64">
        <v>49703.630000000012</v>
      </c>
      <c r="K41" s="64">
        <v>49725.490000000013</v>
      </c>
      <c r="L41" s="64">
        <v>49747.660000000011</v>
      </c>
      <c r="M41" s="64">
        <v>49767.450000000012</v>
      </c>
      <c r="N41" s="64">
        <v>49788.390000000014</v>
      </c>
      <c r="O41" s="64">
        <v>49809.760000000017</v>
      </c>
      <c r="P41" s="64">
        <v>49831.000000000015</v>
      </c>
      <c r="Q41" s="64">
        <v>49851.440000000017</v>
      </c>
      <c r="R41" s="64">
        <v>49870.610000000015</v>
      </c>
      <c r="S41" s="64">
        <v>49891.610000000015</v>
      </c>
      <c r="T41" s="64">
        <v>49913.200000000012</v>
      </c>
      <c r="U41" s="64">
        <v>49934.590000000011</v>
      </c>
      <c r="V41" s="64">
        <v>49956.090000000011</v>
      </c>
      <c r="W41" s="64">
        <v>49976.020000000011</v>
      </c>
      <c r="X41" s="64">
        <v>49990.740000000013</v>
      </c>
      <c r="Y41" s="64">
        <v>50012.19000000001</v>
      </c>
      <c r="Z41" s="64">
        <v>50033.780000000006</v>
      </c>
      <c r="AA41" s="64">
        <v>50055.48</v>
      </c>
      <c r="AB41" s="64">
        <v>50076.69</v>
      </c>
      <c r="AC41" s="64">
        <v>50098.19</v>
      </c>
      <c r="AD41" s="64">
        <v>50119.68</v>
      </c>
      <c r="AE41" s="64">
        <v>50140.97</v>
      </c>
      <c r="AF41" s="224">
        <v>50162.74</v>
      </c>
      <c r="AG41" s="51">
        <f t="shared" si="1"/>
        <v>50162.74</v>
      </c>
      <c r="AH41" s="44">
        <v>49545.79</v>
      </c>
    </row>
    <row r="42" spans="1:34" x14ac:dyDescent="0.35">
      <c r="A42" s="33" t="s">
        <v>48</v>
      </c>
      <c r="B42" s="223">
        <v>42570.289999999957</v>
      </c>
      <c r="C42" s="64">
        <v>42585.299999999959</v>
      </c>
      <c r="D42" s="64">
        <v>42600.83999999996</v>
      </c>
      <c r="E42" s="64">
        <v>42615.929999999957</v>
      </c>
      <c r="F42" s="64">
        <v>42630.309999999954</v>
      </c>
      <c r="G42" s="64">
        <v>42645.619999999952</v>
      </c>
      <c r="H42" s="64">
        <v>42665.679999999949</v>
      </c>
      <c r="I42" s="64">
        <v>42686.429999999949</v>
      </c>
      <c r="J42" s="64">
        <v>42707.999999999949</v>
      </c>
      <c r="K42" s="64">
        <v>42729.699999999946</v>
      </c>
      <c r="L42" s="64">
        <v>42751.329999999944</v>
      </c>
      <c r="M42" s="64">
        <v>42771.979999999945</v>
      </c>
      <c r="N42" s="64">
        <v>42789.689999999944</v>
      </c>
      <c r="O42" s="64">
        <v>42811.219999999943</v>
      </c>
      <c r="P42" s="64">
        <v>42832.48999999994</v>
      </c>
      <c r="Q42" s="64">
        <v>42850.519999999939</v>
      </c>
      <c r="R42" s="64">
        <v>42868.549999999937</v>
      </c>
      <c r="S42" s="64">
        <v>42889.579999999936</v>
      </c>
      <c r="T42" s="64">
        <v>42890.23999999994</v>
      </c>
      <c r="U42" s="64">
        <v>42910.629999999939</v>
      </c>
      <c r="V42" s="64">
        <v>42931.34999999994</v>
      </c>
      <c r="W42" s="64">
        <v>42944.23999999994</v>
      </c>
      <c r="X42" s="64">
        <v>42957.789999999943</v>
      </c>
      <c r="Y42" s="64">
        <v>42973.789999999943</v>
      </c>
      <c r="Z42" s="64">
        <v>42994.549999999945</v>
      </c>
      <c r="AA42" s="64">
        <v>43011.689999999944</v>
      </c>
      <c r="AB42" s="64">
        <v>43019.579999999944</v>
      </c>
      <c r="AC42" s="64">
        <v>43036.589999999946</v>
      </c>
      <c r="AD42" s="64">
        <v>43038.049999999945</v>
      </c>
      <c r="AE42" s="64">
        <v>43038.699999999946</v>
      </c>
      <c r="AF42" s="224">
        <v>43059.889999999948</v>
      </c>
      <c r="AG42" s="51">
        <f t="shared" si="1"/>
        <v>43059.889999999948</v>
      </c>
      <c r="AH42" s="44">
        <v>42558.080000000002</v>
      </c>
    </row>
    <row r="43" spans="1:34" x14ac:dyDescent="0.35">
      <c r="A43" s="33" t="s">
        <v>49</v>
      </c>
      <c r="B43" s="223">
        <v>52138.019999999888</v>
      </c>
      <c r="C43" s="64">
        <v>52159.569999999891</v>
      </c>
      <c r="D43" s="64">
        <v>52179.219999999892</v>
      </c>
      <c r="E43" s="64">
        <v>52200.919999999889</v>
      </c>
      <c r="F43" s="64">
        <v>52222.839999999887</v>
      </c>
      <c r="G43" s="64">
        <v>52230.859999999884</v>
      </c>
      <c r="H43" s="64">
        <v>52251.569999999883</v>
      </c>
      <c r="I43" s="64">
        <v>52272.829999999885</v>
      </c>
      <c r="J43" s="64">
        <v>52291.609999999884</v>
      </c>
      <c r="K43" s="64">
        <v>52308.709999999883</v>
      </c>
      <c r="L43" s="64">
        <v>52319.139999999883</v>
      </c>
      <c r="M43" s="64">
        <v>52340.869999999886</v>
      </c>
      <c r="N43" s="64">
        <v>52361.999999999884</v>
      </c>
      <c r="O43" s="64">
        <v>52375.779999999882</v>
      </c>
      <c r="P43" s="64">
        <v>52393.169999999882</v>
      </c>
      <c r="Q43" s="64">
        <v>52414.709999999883</v>
      </c>
      <c r="R43" s="64">
        <v>52436.599999999882</v>
      </c>
      <c r="S43" s="64">
        <v>52457.749999999884</v>
      </c>
      <c r="T43" s="64">
        <v>52478.919999999882</v>
      </c>
      <c r="U43" s="64">
        <v>52490.809999999881</v>
      </c>
      <c r="V43" s="64">
        <v>52511.939999999879</v>
      </c>
      <c r="W43" s="64">
        <v>52532.449999999881</v>
      </c>
      <c r="X43" s="64">
        <v>52550.449999999881</v>
      </c>
      <c r="Y43" s="64">
        <v>52564.349999999882</v>
      </c>
      <c r="Z43" s="64">
        <v>52584.869999999879</v>
      </c>
      <c r="AA43" s="64">
        <v>52605.739999999882</v>
      </c>
      <c r="AB43" s="64">
        <v>52626.859999999884</v>
      </c>
      <c r="AC43" s="64">
        <v>52648.379999999881</v>
      </c>
      <c r="AD43" s="64">
        <v>52660.329999999878</v>
      </c>
      <c r="AE43" s="64">
        <v>52681.429999999877</v>
      </c>
      <c r="AF43" s="224">
        <v>52703.259999999878</v>
      </c>
      <c r="AG43" s="51">
        <f t="shared" si="1"/>
        <v>52703.259999999878</v>
      </c>
      <c r="AH43" s="44">
        <v>52123.18</v>
      </c>
    </row>
    <row r="44" spans="1:34" x14ac:dyDescent="0.35">
      <c r="A44" s="33" t="s">
        <v>50</v>
      </c>
      <c r="B44" s="223">
        <v>52004.55999999999</v>
      </c>
      <c r="C44" s="64">
        <v>52023.349999999991</v>
      </c>
      <c r="D44" s="64">
        <v>52043.05999999999</v>
      </c>
      <c r="E44" s="64">
        <v>52064.62999999999</v>
      </c>
      <c r="F44" s="64">
        <v>52081.26999999999</v>
      </c>
      <c r="G44" s="64">
        <v>52099.489999999991</v>
      </c>
      <c r="H44" s="64">
        <v>52121.099999999991</v>
      </c>
      <c r="I44" s="64">
        <v>52142.849999999991</v>
      </c>
      <c r="J44" s="64">
        <v>52163.869999999988</v>
      </c>
      <c r="K44" s="64">
        <v>52184.359999999986</v>
      </c>
      <c r="L44" s="64">
        <v>52206.079999999987</v>
      </c>
      <c r="M44" s="64">
        <v>52225.719999999987</v>
      </c>
      <c r="N44" s="64">
        <v>52244.669999999984</v>
      </c>
      <c r="O44" s="64">
        <v>52266.439999999981</v>
      </c>
      <c r="P44" s="64">
        <v>52287.929999999978</v>
      </c>
      <c r="Q44" s="64">
        <v>52304.539999999979</v>
      </c>
      <c r="R44" s="64">
        <v>52304.539999999979</v>
      </c>
      <c r="S44" s="64">
        <v>52308.559999999976</v>
      </c>
      <c r="T44" s="64">
        <v>52329.359999999979</v>
      </c>
      <c r="U44" s="64">
        <v>52347.719999999979</v>
      </c>
      <c r="V44" s="64">
        <v>52369.639999999978</v>
      </c>
      <c r="W44" s="64">
        <v>52390.889999999978</v>
      </c>
      <c r="X44" s="64">
        <v>52411.64999999998</v>
      </c>
      <c r="Y44" s="64">
        <v>52430.799999999981</v>
      </c>
      <c r="Z44" s="64">
        <v>52452.199999999983</v>
      </c>
      <c r="AA44" s="64">
        <v>52473.809999999983</v>
      </c>
      <c r="AB44" s="64">
        <v>52495.299999999981</v>
      </c>
      <c r="AC44" s="64">
        <v>52516.839999999982</v>
      </c>
      <c r="AD44" s="64">
        <v>52538.75999999998</v>
      </c>
      <c r="AE44" s="64">
        <v>52558.799999999981</v>
      </c>
      <c r="AF44" s="224">
        <v>52564.019999999982</v>
      </c>
      <c r="AG44" s="51">
        <f t="shared" si="1"/>
        <v>52564.019999999982</v>
      </c>
      <c r="AH44" s="44">
        <v>51982.2</v>
      </c>
    </row>
    <row r="45" spans="1:34" x14ac:dyDescent="0.35">
      <c r="A45" s="33" t="s">
        <v>51</v>
      </c>
      <c r="B45" s="223">
        <v>51721.279999999926</v>
      </c>
      <c r="C45" s="64">
        <v>51741.949999999924</v>
      </c>
      <c r="D45" s="64">
        <v>51759.999999999927</v>
      </c>
      <c r="E45" s="64">
        <v>51770.849999999926</v>
      </c>
      <c r="F45" s="64">
        <v>51781.279999999926</v>
      </c>
      <c r="G45" s="64">
        <v>51800.449999999924</v>
      </c>
      <c r="H45" s="64">
        <v>51821.589999999924</v>
      </c>
      <c r="I45" s="64">
        <v>51840.67999999992</v>
      </c>
      <c r="J45" s="64">
        <v>51859.649999999921</v>
      </c>
      <c r="K45" s="64">
        <v>51880.019999999924</v>
      </c>
      <c r="L45" s="64">
        <v>51898.479999999923</v>
      </c>
      <c r="M45" s="64">
        <v>51918.149999999921</v>
      </c>
      <c r="N45" s="64">
        <v>51939.539999999921</v>
      </c>
      <c r="O45" s="64">
        <v>51960.81999999992</v>
      </c>
      <c r="P45" s="64">
        <v>51982.159999999916</v>
      </c>
      <c r="Q45" s="64">
        <v>52003.859999999913</v>
      </c>
      <c r="R45" s="64">
        <v>52018.739999999911</v>
      </c>
      <c r="S45" s="64">
        <v>52038.549999999908</v>
      </c>
      <c r="T45" s="64">
        <v>52060.469999999907</v>
      </c>
      <c r="U45" s="64">
        <v>52077.719999999907</v>
      </c>
      <c r="V45" s="64">
        <v>52093.159999999909</v>
      </c>
      <c r="W45" s="64">
        <v>52114.539999999906</v>
      </c>
      <c r="X45" s="64">
        <v>52136.289999999906</v>
      </c>
      <c r="Y45" s="64">
        <v>52156.769999999909</v>
      </c>
      <c r="Z45" s="64">
        <v>52177.479999999909</v>
      </c>
      <c r="AA45" s="64">
        <v>52198.319999999905</v>
      </c>
      <c r="AB45" s="64">
        <v>52218.889999999905</v>
      </c>
      <c r="AC45" s="64">
        <v>52240.479999999901</v>
      </c>
      <c r="AD45" s="64">
        <v>52250.719999999899</v>
      </c>
      <c r="AE45" s="64">
        <v>52253.469999999899</v>
      </c>
      <c r="AF45" s="224">
        <v>52266.719999999899</v>
      </c>
      <c r="AG45" s="51">
        <f t="shared" si="1"/>
        <v>52266.719999999899</v>
      </c>
      <c r="AH45" s="44">
        <v>51702.94</v>
      </c>
    </row>
    <row r="46" spans="1:34" x14ac:dyDescent="0.35">
      <c r="A46" s="33" t="s">
        <v>52</v>
      </c>
      <c r="B46" s="223">
        <v>43864.690000000039</v>
      </c>
      <c r="C46" s="64">
        <v>43885.850000000042</v>
      </c>
      <c r="D46" s="64">
        <v>43907.280000000042</v>
      </c>
      <c r="E46" s="64">
        <v>43928.720000000045</v>
      </c>
      <c r="F46" s="64">
        <v>43950.680000000044</v>
      </c>
      <c r="G46" s="64">
        <v>43972.320000000043</v>
      </c>
      <c r="H46" s="64">
        <v>43993.940000000046</v>
      </c>
      <c r="I46" s="64">
        <v>44014.980000000047</v>
      </c>
      <c r="J46" s="64">
        <v>44036.71000000005</v>
      </c>
      <c r="K46" s="64">
        <v>44058.170000000049</v>
      </c>
      <c r="L46" s="64">
        <v>44079.880000000048</v>
      </c>
      <c r="M46" s="64">
        <v>44091.080000000045</v>
      </c>
      <c r="N46" s="64">
        <v>44112.560000000049</v>
      </c>
      <c r="O46" s="64">
        <v>44133.670000000049</v>
      </c>
      <c r="P46" s="64">
        <v>44155.03000000005</v>
      </c>
      <c r="Q46" s="64">
        <v>44176.610000000052</v>
      </c>
      <c r="R46" s="64">
        <v>44188.220000000052</v>
      </c>
      <c r="S46" s="64">
        <v>44207.260000000053</v>
      </c>
      <c r="T46" s="64">
        <v>44229.250000000051</v>
      </c>
      <c r="U46" s="64">
        <v>44246.160000000054</v>
      </c>
      <c r="V46" s="64">
        <v>44266.630000000056</v>
      </c>
      <c r="W46" s="64">
        <v>44288.300000000054</v>
      </c>
      <c r="X46" s="64">
        <v>44309.340000000055</v>
      </c>
      <c r="Y46" s="64">
        <v>44326.960000000057</v>
      </c>
      <c r="Z46" s="64">
        <v>44348.670000000056</v>
      </c>
      <c r="AA46" s="64">
        <v>44367.440000000053</v>
      </c>
      <c r="AB46" s="64">
        <v>44388.370000000054</v>
      </c>
      <c r="AC46" s="64">
        <v>44409.790000000052</v>
      </c>
      <c r="AD46" s="64">
        <v>44423.150000000052</v>
      </c>
      <c r="AE46" s="64">
        <v>44423.910000000054</v>
      </c>
      <c r="AF46" s="224">
        <v>44445.100000000057</v>
      </c>
      <c r="AG46" s="51">
        <f t="shared" si="1"/>
        <v>44445.100000000057</v>
      </c>
      <c r="AH46" s="44">
        <v>43844.3</v>
      </c>
    </row>
    <row r="47" spans="1:34" x14ac:dyDescent="0.35">
      <c r="A47" s="33" t="s">
        <v>53</v>
      </c>
      <c r="B47" s="223">
        <v>45978.679999999986</v>
      </c>
      <c r="C47" s="64">
        <v>46000.109999999986</v>
      </c>
      <c r="D47" s="64">
        <v>46020.939999999988</v>
      </c>
      <c r="E47" s="64">
        <v>46042.51999999999</v>
      </c>
      <c r="F47" s="64">
        <v>46055.429999999993</v>
      </c>
      <c r="G47" s="64">
        <v>46075.799999999996</v>
      </c>
      <c r="H47" s="64">
        <v>46084.77</v>
      </c>
      <c r="I47" s="64">
        <v>46106.239999999998</v>
      </c>
      <c r="J47" s="64">
        <v>46127.43</v>
      </c>
      <c r="K47" s="64">
        <v>46148.9</v>
      </c>
      <c r="L47" s="64">
        <v>46169.18</v>
      </c>
      <c r="M47" s="64">
        <v>46189.97</v>
      </c>
      <c r="N47" s="64">
        <v>46211.66</v>
      </c>
      <c r="O47" s="64">
        <v>46232.37</v>
      </c>
      <c r="P47" s="64">
        <v>46253.36</v>
      </c>
      <c r="Q47" s="64">
        <v>46273.760000000002</v>
      </c>
      <c r="R47" s="64">
        <v>46292.76</v>
      </c>
      <c r="S47" s="64">
        <v>46297.840000000004</v>
      </c>
      <c r="T47" s="64">
        <v>46306.55</v>
      </c>
      <c r="U47" s="64">
        <v>46328.160000000003</v>
      </c>
      <c r="V47" s="64">
        <v>46347.560000000005</v>
      </c>
      <c r="W47" s="64">
        <v>46368.800000000003</v>
      </c>
      <c r="X47" s="64">
        <v>46390.43</v>
      </c>
      <c r="Y47" s="64">
        <v>46394.41</v>
      </c>
      <c r="Z47" s="64">
        <v>46415.840000000004</v>
      </c>
      <c r="AA47" s="64">
        <v>46436.98</v>
      </c>
      <c r="AB47" s="64">
        <v>46455.920000000006</v>
      </c>
      <c r="AC47" s="64">
        <v>46468.600000000006</v>
      </c>
      <c r="AD47" s="64">
        <v>46489.48</v>
      </c>
      <c r="AE47" s="64">
        <v>46510.530000000006</v>
      </c>
      <c r="AF47" s="224">
        <v>46529.16</v>
      </c>
      <c r="AG47" s="51">
        <f t="shared" si="1"/>
        <v>46529.16</v>
      </c>
      <c r="AH47" s="44">
        <v>45958.39</v>
      </c>
    </row>
    <row r="48" spans="1:34" x14ac:dyDescent="0.35">
      <c r="A48" s="33" t="s">
        <v>54</v>
      </c>
      <c r="B48" s="223">
        <v>44617.989999999925</v>
      </c>
      <c r="C48" s="64">
        <v>44639.989999999925</v>
      </c>
      <c r="D48" s="64">
        <v>44662.389999999927</v>
      </c>
      <c r="E48" s="64">
        <v>44679.529999999926</v>
      </c>
      <c r="F48" s="64">
        <v>44702.169999999925</v>
      </c>
      <c r="G48" s="64">
        <v>44723.499999999927</v>
      </c>
      <c r="H48" s="64">
        <v>44746.649999999929</v>
      </c>
      <c r="I48" s="64">
        <v>44759.519999999931</v>
      </c>
      <c r="J48" s="64">
        <v>44782.669999999933</v>
      </c>
      <c r="K48" s="64">
        <v>44793.629999999932</v>
      </c>
      <c r="L48" s="64">
        <v>44793.629999999932</v>
      </c>
      <c r="M48" s="64">
        <v>44793.629999999932</v>
      </c>
      <c r="N48" s="64">
        <v>44805.509999999929</v>
      </c>
      <c r="O48" s="64">
        <v>44825.949999999932</v>
      </c>
      <c r="P48" s="64">
        <v>44848.529999999933</v>
      </c>
      <c r="Q48" s="64">
        <v>44869.309999999932</v>
      </c>
      <c r="R48" s="64">
        <v>44890.789999999935</v>
      </c>
      <c r="S48" s="64">
        <v>44912.999999999935</v>
      </c>
      <c r="T48" s="64">
        <v>44935.819999999934</v>
      </c>
      <c r="U48" s="64">
        <v>44956.739999999932</v>
      </c>
      <c r="V48" s="64">
        <v>44980.739999999932</v>
      </c>
      <c r="W48" s="64">
        <v>45002.359999999935</v>
      </c>
      <c r="X48" s="64">
        <v>45024.469999999936</v>
      </c>
      <c r="Y48" s="64">
        <v>45048.469999999936</v>
      </c>
      <c r="Z48" s="64">
        <v>45068.999999999935</v>
      </c>
      <c r="AA48" s="64">
        <v>45085.249999999935</v>
      </c>
      <c r="AB48" s="64">
        <v>45107.189999999937</v>
      </c>
      <c r="AC48" s="64">
        <v>45129.039999999935</v>
      </c>
      <c r="AD48" s="64">
        <v>45151.319999999934</v>
      </c>
      <c r="AE48" s="64">
        <v>45173.189999999937</v>
      </c>
      <c r="AF48" s="224">
        <v>45194.879999999939</v>
      </c>
      <c r="AG48" s="51">
        <f t="shared" si="1"/>
        <v>45194.879999999939</v>
      </c>
      <c r="AH48" s="44">
        <v>44598.57</v>
      </c>
    </row>
    <row r="49" spans="1:34" x14ac:dyDescent="0.35">
      <c r="A49" s="33" t="s">
        <v>55</v>
      </c>
      <c r="B49" s="223">
        <v>44570.300000000061</v>
      </c>
      <c r="C49" s="64">
        <v>44582.480000000061</v>
      </c>
      <c r="D49" s="64">
        <v>44595.200000000063</v>
      </c>
      <c r="E49" s="64">
        <v>44604.070000000065</v>
      </c>
      <c r="F49" s="64">
        <v>44625.910000000062</v>
      </c>
      <c r="G49" s="64">
        <v>44646.030000000064</v>
      </c>
      <c r="H49" s="64">
        <v>44664.300000000061</v>
      </c>
      <c r="I49" s="64">
        <v>44684.76000000006</v>
      </c>
      <c r="J49" s="64">
        <v>44691.83000000006</v>
      </c>
      <c r="K49" s="64">
        <v>44700.960000000057</v>
      </c>
      <c r="L49" s="64">
        <v>44722.440000000061</v>
      </c>
      <c r="M49" s="64">
        <v>44743.40000000006</v>
      </c>
      <c r="N49" s="64">
        <v>44759.390000000058</v>
      </c>
      <c r="O49" s="64">
        <v>44776.26000000006</v>
      </c>
      <c r="P49" s="64">
        <v>44787.810000000063</v>
      </c>
      <c r="Q49" s="64">
        <v>44787.810000000063</v>
      </c>
      <c r="R49" s="64">
        <v>44787.810000000063</v>
      </c>
      <c r="S49" s="64">
        <v>44799.560000000063</v>
      </c>
      <c r="T49" s="64">
        <v>44818.200000000063</v>
      </c>
      <c r="U49" s="64">
        <v>44836.26000000006</v>
      </c>
      <c r="V49" s="64">
        <v>44852.410000000062</v>
      </c>
      <c r="W49" s="64">
        <v>44852.420000000064</v>
      </c>
      <c r="X49" s="64">
        <v>44872.460000000065</v>
      </c>
      <c r="Y49" s="64">
        <v>44892.920000000064</v>
      </c>
      <c r="Z49" s="64">
        <v>44913.040000000066</v>
      </c>
      <c r="AA49" s="64">
        <v>44933.630000000063</v>
      </c>
      <c r="AB49" s="64">
        <v>44952.33000000006</v>
      </c>
      <c r="AC49" s="64">
        <v>44973.690000000061</v>
      </c>
      <c r="AD49" s="64">
        <v>44990.940000000061</v>
      </c>
      <c r="AE49" s="64">
        <v>45009.950000000063</v>
      </c>
      <c r="AF49" s="224">
        <v>45009.950000000063</v>
      </c>
      <c r="AG49" s="51">
        <f t="shared" si="1"/>
        <v>45009.950000000063</v>
      </c>
      <c r="AH49" s="44">
        <v>44553.25</v>
      </c>
    </row>
    <row r="50" spans="1:34" x14ac:dyDescent="0.35">
      <c r="A50" s="33" t="s">
        <v>56</v>
      </c>
      <c r="B50" s="223">
        <v>43834.350000000115</v>
      </c>
      <c r="C50" s="64">
        <v>43838.330000000118</v>
      </c>
      <c r="D50" s="64">
        <v>43859.550000000119</v>
      </c>
      <c r="E50" s="64">
        <v>43877.920000000122</v>
      </c>
      <c r="F50" s="64">
        <v>43897.400000000125</v>
      </c>
      <c r="G50" s="64">
        <v>43915.700000000128</v>
      </c>
      <c r="H50" s="64">
        <v>43934.510000000126</v>
      </c>
      <c r="I50" s="64">
        <v>43956.240000000129</v>
      </c>
      <c r="J50" s="64">
        <v>43973.130000000128</v>
      </c>
      <c r="K50" s="64">
        <v>43973.130000000128</v>
      </c>
      <c r="L50" s="64">
        <v>43975.880000000128</v>
      </c>
      <c r="M50" s="64">
        <v>43991.310000000129</v>
      </c>
      <c r="N50" s="64">
        <v>44011.910000000127</v>
      </c>
      <c r="O50" s="64">
        <v>44030.670000000129</v>
      </c>
      <c r="P50" s="64">
        <v>44052.250000000131</v>
      </c>
      <c r="Q50" s="64">
        <v>44072.880000000128</v>
      </c>
      <c r="R50" s="64">
        <v>44094.410000000127</v>
      </c>
      <c r="S50" s="64">
        <v>44115.790000000125</v>
      </c>
      <c r="T50" s="64">
        <v>44137.570000000123</v>
      </c>
      <c r="U50" s="64">
        <v>44155.950000000121</v>
      </c>
      <c r="V50" s="64">
        <v>44173.570000000123</v>
      </c>
      <c r="W50" s="64">
        <v>44185.960000000123</v>
      </c>
      <c r="X50" s="64">
        <v>44205.290000000125</v>
      </c>
      <c r="Y50" s="64">
        <v>44226.830000000125</v>
      </c>
      <c r="Z50" s="64">
        <v>44248.180000000124</v>
      </c>
      <c r="AA50" s="64">
        <v>44262.040000000125</v>
      </c>
      <c r="AB50" s="64">
        <v>44283.730000000127</v>
      </c>
      <c r="AC50" s="64">
        <v>44305.03000000013</v>
      </c>
      <c r="AD50" s="64">
        <v>44326.440000000133</v>
      </c>
      <c r="AE50" s="64">
        <v>44347.860000000132</v>
      </c>
      <c r="AF50" s="224">
        <v>44368.260000000133</v>
      </c>
      <c r="AG50" s="51">
        <f t="shared" si="1"/>
        <v>44368.260000000133</v>
      </c>
      <c r="AH50" s="44">
        <v>43834.35</v>
      </c>
    </row>
    <row r="51" spans="1:34" x14ac:dyDescent="0.35">
      <c r="A51" s="33" t="s">
        <v>57</v>
      </c>
      <c r="B51" s="223">
        <v>42501.589999999946</v>
      </c>
      <c r="C51" s="64">
        <v>42522.709999999948</v>
      </c>
      <c r="D51" s="64">
        <v>42544.149999999951</v>
      </c>
      <c r="E51" s="64">
        <v>42564.419999999947</v>
      </c>
      <c r="F51" s="64">
        <v>42584.46999999995</v>
      </c>
      <c r="G51" s="64">
        <v>42590.21999999995</v>
      </c>
      <c r="H51" s="64">
        <v>42590.21999999995</v>
      </c>
      <c r="I51" s="64">
        <v>42590.21999999995</v>
      </c>
      <c r="J51" s="64">
        <v>42590.21999999995</v>
      </c>
      <c r="K51" s="64">
        <v>42590.21999999995</v>
      </c>
      <c r="L51" s="64">
        <v>42590.639999999948</v>
      </c>
      <c r="M51" s="64">
        <v>42590.779999999948</v>
      </c>
      <c r="N51" s="64">
        <v>42590.779999999948</v>
      </c>
      <c r="O51" s="64">
        <v>42602.139999999948</v>
      </c>
      <c r="P51" s="64">
        <v>42619.009999999951</v>
      </c>
      <c r="Q51" s="64">
        <v>42640.809999999954</v>
      </c>
      <c r="R51" s="64">
        <v>42662.909999999953</v>
      </c>
      <c r="S51" s="64">
        <v>42679.739999999954</v>
      </c>
      <c r="T51" s="64">
        <v>42700.899999999958</v>
      </c>
      <c r="U51" s="64">
        <v>42715.47999999996</v>
      </c>
      <c r="V51" s="64">
        <v>42728.899999999958</v>
      </c>
      <c r="W51" s="64">
        <v>42747.739999999954</v>
      </c>
      <c r="X51" s="64">
        <v>42766.439999999951</v>
      </c>
      <c r="Y51" s="64">
        <v>42787.599999999955</v>
      </c>
      <c r="Z51" s="64">
        <v>42808.959999999955</v>
      </c>
      <c r="AA51" s="64">
        <v>42830.169999999955</v>
      </c>
      <c r="AB51" s="64">
        <v>42845.999999999956</v>
      </c>
      <c r="AC51" s="64">
        <v>42863.269999999953</v>
      </c>
      <c r="AD51" s="64">
        <v>42880.249999999956</v>
      </c>
      <c r="AE51" s="64">
        <v>42881.009999999958</v>
      </c>
      <c r="AF51" s="224">
        <v>42881.009999999958</v>
      </c>
      <c r="AG51" s="51">
        <f t="shared" si="1"/>
        <v>42881.009999999958</v>
      </c>
      <c r="AH51" s="44">
        <v>42479.62</v>
      </c>
    </row>
    <row r="52" spans="1:34" x14ac:dyDescent="0.35">
      <c r="A52" s="33" t="s">
        <v>58</v>
      </c>
      <c r="B52" s="223">
        <v>42037.319999999905</v>
      </c>
      <c r="C52" s="64">
        <v>42037.319999999905</v>
      </c>
      <c r="D52" s="64">
        <v>42037.319999999905</v>
      </c>
      <c r="E52" s="64">
        <v>42040.799999999908</v>
      </c>
      <c r="F52" s="64">
        <v>42062.239999999911</v>
      </c>
      <c r="G52" s="64">
        <v>42075.899999999914</v>
      </c>
      <c r="H52" s="64">
        <v>42097.549999999916</v>
      </c>
      <c r="I52" s="64">
        <v>42118.999999999913</v>
      </c>
      <c r="J52" s="64">
        <v>42136.989999999911</v>
      </c>
      <c r="K52" s="64">
        <v>42155.539999999914</v>
      </c>
      <c r="L52" s="64">
        <v>42171.029999999912</v>
      </c>
      <c r="M52" s="64">
        <v>42181.769999999909</v>
      </c>
      <c r="N52" s="64">
        <v>42197.119999999908</v>
      </c>
      <c r="O52" s="64">
        <v>42206.269999999909</v>
      </c>
      <c r="P52" s="64">
        <v>42227.709999999912</v>
      </c>
      <c r="Q52" s="64">
        <v>42249.329999999914</v>
      </c>
      <c r="R52" s="64">
        <v>42271.229999999916</v>
      </c>
      <c r="S52" s="64">
        <v>42292.779999999919</v>
      </c>
      <c r="T52" s="64">
        <v>42311.809999999918</v>
      </c>
      <c r="U52" s="64">
        <v>42332.389999999919</v>
      </c>
      <c r="V52" s="64">
        <v>42354.019999999917</v>
      </c>
      <c r="W52" s="64">
        <v>42374.799999999916</v>
      </c>
      <c r="X52" s="64">
        <v>42374.929999999913</v>
      </c>
      <c r="Y52" s="64">
        <v>42390.399999999914</v>
      </c>
      <c r="Z52" s="64">
        <v>42410.599999999911</v>
      </c>
      <c r="AA52" s="64">
        <v>42425.729999999909</v>
      </c>
      <c r="AB52" s="64">
        <v>42434.549999999908</v>
      </c>
      <c r="AC52" s="64">
        <v>42451.279999999912</v>
      </c>
      <c r="AD52" s="64">
        <v>42471.899999999914</v>
      </c>
      <c r="AE52" s="64">
        <v>42489.879999999917</v>
      </c>
      <c r="AF52" s="224">
        <v>42511.31999999992</v>
      </c>
      <c r="AG52" s="51">
        <f t="shared" si="1"/>
        <v>42511.31999999992</v>
      </c>
      <c r="AH52" s="44">
        <v>42037.32</v>
      </c>
    </row>
    <row r="53" spans="1:34" x14ac:dyDescent="0.35">
      <c r="A53" s="33" t="s">
        <v>59</v>
      </c>
      <c r="B53" s="223">
        <v>44899.420000000042</v>
      </c>
      <c r="C53" s="64">
        <v>44920.98000000004</v>
      </c>
      <c r="D53" s="64">
        <v>44942.570000000036</v>
      </c>
      <c r="E53" s="64">
        <v>44962.260000000038</v>
      </c>
      <c r="F53" s="64">
        <v>44979.500000000036</v>
      </c>
      <c r="G53" s="64">
        <v>45000.690000000039</v>
      </c>
      <c r="H53" s="64">
        <v>45021.880000000041</v>
      </c>
      <c r="I53" s="64">
        <v>45043.460000000043</v>
      </c>
      <c r="J53" s="64">
        <v>45064.820000000043</v>
      </c>
      <c r="K53" s="64">
        <v>45086.330000000045</v>
      </c>
      <c r="L53" s="64">
        <v>45108.030000000042</v>
      </c>
      <c r="M53" s="64">
        <v>45126.800000000039</v>
      </c>
      <c r="N53" s="64">
        <v>45147.890000000036</v>
      </c>
      <c r="O53" s="64">
        <v>45169.200000000033</v>
      </c>
      <c r="P53" s="64">
        <v>45190.550000000032</v>
      </c>
      <c r="Q53" s="64">
        <v>45210.47000000003</v>
      </c>
      <c r="R53" s="64">
        <v>45224.870000000032</v>
      </c>
      <c r="S53" s="64">
        <v>45245.170000000035</v>
      </c>
      <c r="T53" s="64">
        <v>45266.120000000032</v>
      </c>
      <c r="U53" s="64">
        <v>45276.850000000035</v>
      </c>
      <c r="V53" s="64">
        <v>45294.230000000032</v>
      </c>
      <c r="W53" s="64">
        <v>45311.210000000036</v>
      </c>
      <c r="X53" s="64">
        <v>45331.690000000039</v>
      </c>
      <c r="Y53" s="64">
        <v>45352.490000000042</v>
      </c>
      <c r="Z53" s="64">
        <v>45373.610000000044</v>
      </c>
      <c r="AA53" s="64">
        <v>45395.480000000047</v>
      </c>
      <c r="AB53" s="64">
        <v>45416.480000000047</v>
      </c>
      <c r="AC53" s="64">
        <v>45438.190000000046</v>
      </c>
      <c r="AD53" s="64">
        <v>45446.330000000045</v>
      </c>
      <c r="AE53" s="64">
        <v>45452.310000000049</v>
      </c>
      <c r="AF53" s="224">
        <v>45460.930000000051</v>
      </c>
      <c r="AG53" s="51">
        <f t="shared" si="1"/>
        <v>45460.930000000051</v>
      </c>
      <c r="AH53" s="44">
        <v>44878.52</v>
      </c>
    </row>
    <row r="54" spans="1:34" x14ac:dyDescent="0.35">
      <c r="A54" s="33" t="s">
        <v>60</v>
      </c>
      <c r="B54" s="223">
        <v>44481.99000000018</v>
      </c>
      <c r="C54" s="64">
        <v>44494.400000000183</v>
      </c>
      <c r="D54" s="64">
        <v>44516.110000000182</v>
      </c>
      <c r="E54" s="64">
        <v>44537.660000000185</v>
      </c>
      <c r="F54" s="64">
        <v>44559.500000000182</v>
      </c>
      <c r="G54" s="64">
        <v>44566.17000000018</v>
      </c>
      <c r="H54" s="64">
        <v>44580.960000000181</v>
      </c>
      <c r="I54" s="64">
        <v>44602.10000000018</v>
      </c>
      <c r="J54" s="64">
        <v>44623.290000000183</v>
      </c>
      <c r="K54" s="64">
        <v>44644.470000000183</v>
      </c>
      <c r="L54" s="64">
        <v>44664.56000000018</v>
      </c>
      <c r="M54" s="64">
        <v>44683.320000000182</v>
      </c>
      <c r="N54" s="64">
        <v>44704.950000000179</v>
      </c>
      <c r="O54" s="64">
        <v>44725.880000000179</v>
      </c>
      <c r="P54" s="64">
        <v>44738.49000000018</v>
      </c>
      <c r="Q54" s="64">
        <v>44760.020000000179</v>
      </c>
      <c r="R54" s="64">
        <v>44781.960000000181</v>
      </c>
      <c r="S54" s="64">
        <v>44803.570000000182</v>
      </c>
      <c r="T54" s="64">
        <v>44824.090000000178</v>
      </c>
      <c r="U54" s="64">
        <v>44843.470000000176</v>
      </c>
      <c r="V54" s="64">
        <v>44863.480000000178</v>
      </c>
      <c r="W54" s="64">
        <v>44885.17000000018</v>
      </c>
      <c r="X54" s="64">
        <v>44892.85000000018</v>
      </c>
      <c r="Y54" s="64">
        <v>44895.140000000181</v>
      </c>
      <c r="Z54" s="64">
        <v>44916.010000000184</v>
      </c>
      <c r="AA54" s="64">
        <v>44935.60000000018</v>
      </c>
      <c r="AB54" s="64">
        <v>44957.070000000182</v>
      </c>
      <c r="AC54" s="64">
        <v>44978.630000000179</v>
      </c>
      <c r="AD54" s="64">
        <v>45000.430000000182</v>
      </c>
      <c r="AE54" s="64">
        <v>45021.630000000179</v>
      </c>
      <c r="AF54" s="224">
        <v>45042.410000000178</v>
      </c>
      <c r="AG54" s="51">
        <f t="shared" si="1"/>
        <v>45042.410000000178</v>
      </c>
      <c r="AH54" s="44">
        <v>44469.08</v>
      </c>
    </row>
    <row r="55" spans="1:34" x14ac:dyDescent="0.35">
      <c r="A55" s="33" t="s">
        <v>61</v>
      </c>
      <c r="B55" s="223">
        <v>44315.920000000035</v>
      </c>
      <c r="C55" s="64">
        <v>44327.800000000032</v>
      </c>
      <c r="D55" s="64">
        <v>44327.800000000032</v>
      </c>
      <c r="E55" s="64">
        <v>44342.480000000032</v>
      </c>
      <c r="F55" s="64">
        <v>44353.640000000036</v>
      </c>
      <c r="G55" s="64">
        <v>44372.060000000034</v>
      </c>
      <c r="H55" s="64">
        <v>44393.190000000031</v>
      </c>
      <c r="I55" s="64">
        <v>44415.090000000033</v>
      </c>
      <c r="J55" s="64">
        <v>44436.840000000033</v>
      </c>
      <c r="K55" s="64">
        <v>44458.740000000034</v>
      </c>
      <c r="L55" s="64">
        <v>44480.690000000031</v>
      </c>
      <c r="M55" s="64">
        <v>44502.480000000032</v>
      </c>
      <c r="N55" s="64">
        <v>44523.72000000003</v>
      </c>
      <c r="O55" s="64">
        <v>44532.460000000028</v>
      </c>
      <c r="P55" s="64">
        <v>44553.670000000027</v>
      </c>
      <c r="Q55" s="64">
        <v>44565.300000000025</v>
      </c>
      <c r="R55" s="64">
        <v>44586.900000000023</v>
      </c>
      <c r="S55" s="64">
        <v>44605.500000000022</v>
      </c>
      <c r="T55" s="64">
        <v>44626.200000000019</v>
      </c>
      <c r="U55" s="64">
        <v>44647.830000000016</v>
      </c>
      <c r="V55" s="64">
        <v>44669.700000000019</v>
      </c>
      <c r="W55" s="64">
        <v>44683.24000000002</v>
      </c>
      <c r="X55" s="64">
        <v>44705.020000000019</v>
      </c>
      <c r="Y55" s="64">
        <v>44706.230000000018</v>
      </c>
      <c r="Z55" s="64">
        <v>44706.230000000018</v>
      </c>
      <c r="AA55" s="64">
        <v>44706.230000000018</v>
      </c>
      <c r="AB55" s="64">
        <v>44706.230000000018</v>
      </c>
      <c r="AC55" s="64">
        <v>44710.640000000021</v>
      </c>
      <c r="AD55" s="64">
        <v>44722.540000000023</v>
      </c>
      <c r="AE55" s="64">
        <v>44744.140000000021</v>
      </c>
      <c r="AF55" s="224">
        <v>44765.190000000024</v>
      </c>
      <c r="AG55" s="51">
        <f t="shared" si="1"/>
        <v>44765.190000000024</v>
      </c>
      <c r="AH55" s="44">
        <v>44308.87</v>
      </c>
    </row>
    <row r="56" spans="1:34" x14ac:dyDescent="0.35">
      <c r="A56" s="33" t="s">
        <v>62</v>
      </c>
      <c r="B56" s="223">
        <v>54082.650000000031</v>
      </c>
      <c r="C56" s="64">
        <v>54104.260000000031</v>
      </c>
      <c r="D56" s="64">
        <v>54118.050000000032</v>
      </c>
      <c r="E56" s="64">
        <v>54139.22000000003</v>
      </c>
      <c r="F56" s="64">
        <v>54160.920000000027</v>
      </c>
      <c r="G56" s="64">
        <v>54182.410000000025</v>
      </c>
      <c r="H56" s="64">
        <v>54203.670000000027</v>
      </c>
      <c r="I56" s="64">
        <v>54225.030000000028</v>
      </c>
      <c r="J56" s="64">
        <v>54246.550000000025</v>
      </c>
      <c r="K56" s="64">
        <v>54260.870000000024</v>
      </c>
      <c r="L56" s="64">
        <v>54275.090000000026</v>
      </c>
      <c r="M56" s="64">
        <v>54294.200000000026</v>
      </c>
      <c r="N56" s="64">
        <v>54315.800000000025</v>
      </c>
      <c r="O56" s="64">
        <v>54337.230000000025</v>
      </c>
      <c r="P56" s="64">
        <v>54353.620000000024</v>
      </c>
      <c r="Q56" s="64">
        <v>54368.760000000024</v>
      </c>
      <c r="R56" s="64">
        <v>54381.540000000023</v>
      </c>
      <c r="S56" s="64">
        <v>54381.540000000023</v>
      </c>
      <c r="T56" s="64">
        <v>54385.230000000025</v>
      </c>
      <c r="U56" s="64">
        <v>54404.550000000025</v>
      </c>
      <c r="V56" s="64">
        <v>54426.160000000025</v>
      </c>
      <c r="W56" s="64">
        <v>54447.100000000028</v>
      </c>
      <c r="X56" s="64">
        <v>54464.490000000027</v>
      </c>
      <c r="Y56" s="64">
        <v>54478.350000000028</v>
      </c>
      <c r="Z56" s="64">
        <v>54491.660000000025</v>
      </c>
      <c r="AA56" s="64">
        <v>54512.950000000026</v>
      </c>
      <c r="AB56" s="64">
        <v>54533.780000000028</v>
      </c>
      <c r="AC56" s="64">
        <v>54554.960000000028</v>
      </c>
      <c r="AD56" s="64">
        <v>54576.320000000029</v>
      </c>
      <c r="AE56" s="64">
        <v>54596.330000000031</v>
      </c>
      <c r="AF56" s="224">
        <v>54618.010000000031</v>
      </c>
      <c r="AG56" s="51">
        <f t="shared" si="1"/>
        <v>54618.010000000031</v>
      </c>
      <c r="AH56" s="44">
        <v>54061.33</v>
      </c>
    </row>
    <row r="57" spans="1:34" x14ac:dyDescent="0.35">
      <c r="A57" s="33" t="s">
        <v>63</v>
      </c>
      <c r="B57" s="223">
        <v>20767.460000000017</v>
      </c>
      <c r="C57" s="64">
        <v>20781.010000000017</v>
      </c>
      <c r="D57" s="64">
        <v>20804.060000000016</v>
      </c>
      <c r="E57" s="64">
        <v>20821.360000000015</v>
      </c>
      <c r="F57" s="64">
        <v>20844.280000000013</v>
      </c>
      <c r="G57" s="64">
        <v>20865.910000000014</v>
      </c>
      <c r="H57" s="64">
        <v>20889.670000000013</v>
      </c>
      <c r="I57" s="64">
        <v>20912.360000000011</v>
      </c>
      <c r="J57" s="64">
        <v>20935.490000000013</v>
      </c>
      <c r="K57" s="64">
        <v>20958.900000000012</v>
      </c>
      <c r="L57" s="64">
        <v>20977.090000000011</v>
      </c>
      <c r="M57" s="64">
        <v>20999.37000000001</v>
      </c>
      <c r="N57" s="64">
        <v>21020.840000000011</v>
      </c>
      <c r="O57" s="64">
        <v>21041.30000000001</v>
      </c>
      <c r="P57" s="64">
        <v>21063.87000000001</v>
      </c>
      <c r="Q57" s="64">
        <v>21086.180000000011</v>
      </c>
      <c r="R57" s="64">
        <v>21108.880000000012</v>
      </c>
      <c r="S57" s="64">
        <v>21131.330000000013</v>
      </c>
      <c r="T57" s="64">
        <v>21151.770000000011</v>
      </c>
      <c r="U57" s="64">
        <v>21165.64000000001</v>
      </c>
      <c r="V57" s="64">
        <v>21189.64000000001</v>
      </c>
      <c r="W57" s="64">
        <v>21190.71000000001</v>
      </c>
      <c r="X57" s="64">
        <v>21207.400000000009</v>
      </c>
      <c r="Y57" s="64">
        <v>21231.400000000009</v>
      </c>
      <c r="Z57" s="64">
        <v>21252.540000000008</v>
      </c>
      <c r="AA57" s="64">
        <v>21275.420000000009</v>
      </c>
      <c r="AB57" s="64">
        <v>21292.80000000001</v>
      </c>
      <c r="AC57" s="64">
        <v>21311.540000000012</v>
      </c>
      <c r="AD57" s="64">
        <v>21334.510000000013</v>
      </c>
      <c r="AE57" s="64">
        <v>21356.400000000012</v>
      </c>
      <c r="AF57" s="224">
        <v>21357.400000000012</v>
      </c>
      <c r="AG57" s="51">
        <f t="shared" si="1"/>
        <v>21357.400000000012</v>
      </c>
      <c r="AH57" s="44">
        <v>20749.080000000002</v>
      </c>
    </row>
    <row r="58" spans="1:34" x14ac:dyDescent="0.35">
      <c r="A58" s="33" t="s">
        <v>64</v>
      </c>
      <c r="B58" s="223">
        <v>21483.530277600014</v>
      </c>
      <c r="C58" s="64">
        <v>21503.950277600012</v>
      </c>
      <c r="D58" s="64">
        <v>21526.750277600011</v>
      </c>
      <c r="E58" s="64">
        <v>21536.700277600012</v>
      </c>
      <c r="F58" s="64">
        <v>21542.920277600013</v>
      </c>
      <c r="G58" s="64">
        <v>21561.450277600012</v>
      </c>
      <c r="H58" s="64">
        <v>21583.850277600013</v>
      </c>
      <c r="I58" s="64">
        <v>21596.930277600015</v>
      </c>
      <c r="J58" s="64">
        <v>21614.030277600014</v>
      </c>
      <c r="K58" s="64">
        <v>21624.760277600013</v>
      </c>
      <c r="L58" s="64">
        <v>21646.230277600014</v>
      </c>
      <c r="M58" s="64">
        <v>21667.730277600014</v>
      </c>
      <c r="N58" s="64">
        <v>21688.500277600015</v>
      </c>
      <c r="O58" s="64">
        <v>21698.370277600014</v>
      </c>
      <c r="P58" s="64">
        <v>21720.940277600013</v>
      </c>
      <c r="Q58" s="64">
        <v>21731.090277600015</v>
      </c>
      <c r="R58" s="64">
        <v>21747.270277600015</v>
      </c>
      <c r="S58" s="64">
        <v>21769.100277600017</v>
      </c>
      <c r="T58" s="64">
        <v>21791.910277600018</v>
      </c>
      <c r="U58" s="64">
        <v>21812.760277600017</v>
      </c>
      <c r="V58" s="64">
        <v>21836.760277600017</v>
      </c>
      <c r="W58" s="64">
        <v>21857.470277600016</v>
      </c>
      <c r="X58" s="64">
        <v>21875.800277600018</v>
      </c>
      <c r="Y58" s="64">
        <v>21899.800277600018</v>
      </c>
      <c r="Z58" s="64">
        <v>21920.940277600017</v>
      </c>
      <c r="AA58" s="64">
        <v>21943.830277600016</v>
      </c>
      <c r="AB58" s="64">
        <v>21965.760277600017</v>
      </c>
      <c r="AC58" s="64">
        <v>21987.620277600017</v>
      </c>
      <c r="AD58" s="64">
        <v>22010.600277600017</v>
      </c>
      <c r="AE58" s="64">
        <v>22032.480277600018</v>
      </c>
      <c r="AF58" s="224">
        <v>22055.910277600018</v>
      </c>
      <c r="AG58" s="51">
        <f t="shared" si="1"/>
        <v>22055.910277600018</v>
      </c>
      <c r="AH58" s="44">
        <v>21470.76</v>
      </c>
    </row>
    <row r="59" spans="1:34" x14ac:dyDescent="0.35">
      <c r="A59" s="33" t="s">
        <v>65</v>
      </c>
      <c r="B59" s="223">
        <v>28057.974444099986</v>
      </c>
      <c r="C59" s="64">
        <v>28057.974444099986</v>
      </c>
      <c r="D59" s="64">
        <v>28073.994444099986</v>
      </c>
      <c r="E59" s="64">
        <v>28091.244444099986</v>
      </c>
      <c r="F59" s="64">
        <v>28114.164444099984</v>
      </c>
      <c r="G59" s="64">
        <v>28126.164444099984</v>
      </c>
      <c r="H59" s="64">
        <v>28141.184444099985</v>
      </c>
      <c r="I59" s="64">
        <v>28154.234444099984</v>
      </c>
      <c r="J59" s="64">
        <v>28177.384444099986</v>
      </c>
      <c r="K59" s="64">
        <v>28200.794444099985</v>
      </c>
      <c r="L59" s="64">
        <v>28220.074444099984</v>
      </c>
      <c r="M59" s="64">
        <v>28241.764444099983</v>
      </c>
      <c r="N59" s="64">
        <v>28263.174444099983</v>
      </c>
      <c r="O59" s="64">
        <v>28283.654444099982</v>
      </c>
      <c r="P59" s="64">
        <v>28306.214444099984</v>
      </c>
      <c r="Q59" s="64">
        <v>28328.464444099984</v>
      </c>
      <c r="R59" s="64">
        <v>28349.944444099983</v>
      </c>
      <c r="S59" s="64">
        <v>28371.954444099982</v>
      </c>
      <c r="T59" s="64">
        <v>28394.764444099983</v>
      </c>
      <c r="U59" s="64">
        <v>28412.334444099983</v>
      </c>
      <c r="V59" s="64">
        <v>28435.884444099982</v>
      </c>
      <c r="W59" s="64">
        <v>28447.774444099981</v>
      </c>
      <c r="X59" s="64">
        <v>28469.87444409998</v>
      </c>
      <c r="Y59" s="64">
        <v>28493.87444409998</v>
      </c>
      <c r="Z59" s="64">
        <v>28515.014444099979</v>
      </c>
      <c r="AA59" s="64">
        <v>28537.914444099981</v>
      </c>
      <c r="AB59" s="64">
        <v>28559.494444099983</v>
      </c>
      <c r="AC59" s="64">
        <v>28577.784444099983</v>
      </c>
      <c r="AD59" s="64">
        <v>28592.084444099983</v>
      </c>
      <c r="AE59" s="64">
        <v>28613.984444099984</v>
      </c>
      <c r="AF59" s="224">
        <v>28637.964444099984</v>
      </c>
      <c r="AG59" s="51">
        <f t="shared" si="1"/>
        <v>28637.964444099984</v>
      </c>
      <c r="AH59" s="44">
        <v>28054.21</v>
      </c>
    </row>
    <row r="60" spans="1:34" x14ac:dyDescent="0.35">
      <c r="A60" s="33" t="s">
        <v>66</v>
      </c>
      <c r="B60" s="223">
        <v>28573.46000000005</v>
      </c>
      <c r="C60" s="64">
        <v>28587.820000000051</v>
      </c>
      <c r="D60" s="64">
        <v>28608.200000000052</v>
      </c>
      <c r="E60" s="64">
        <v>28609.100000000053</v>
      </c>
      <c r="F60" s="64">
        <v>28632.030000000053</v>
      </c>
      <c r="G60" s="64">
        <v>28645.940000000053</v>
      </c>
      <c r="H60" s="64">
        <v>28646.280000000053</v>
      </c>
      <c r="I60" s="64">
        <v>28662.690000000053</v>
      </c>
      <c r="J60" s="64">
        <v>28683.370000000054</v>
      </c>
      <c r="K60" s="64">
        <v>28705.010000000053</v>
      </c>
      <c r="L60" s="64">
        <v>28727.330000000053</v>
      </c>
      <c r="M60" s="64">
        <v>28745.950000000052</v>
      </c>
      <c r="N60" s="64">
        <v>28767.380000000052</v>
      </c>
      <c r="O60" s="64">
        <v>28787.820000000051</v>
      </c>
      <c r="P60" s="64">
        <v>28810.39000000005</v>
      </c>
      <c r="Q60" s="64">
        <v>28830.930000000051</v>
      </c>
      <c r="R60" s="64">
        <v>28852.100000000049</v>
      </c>
      <c r="S60" s="64">
        <v>28874.070000000051</v>
      </c>
      <c r="T60" s="64">
        <v>28895.80000000005</v>
      </c>
      <c r="U60" s="64">
        <v>28916.610000000052</v>
      </c>
      <c r="V60" s="64">
        <v>28940.610000000052</v>
      </c>
      <c r="W60" s="64">
        <v>28962.860000000052</v>
      </c>
      <c r="X60" s="64">
        <v>28985.690000000053</v>
      </c>
      <c r="Y60" s="64">
        <v>29008.670000000053</v>
      </c>
      <c r="Z60" s="64">
        <v>29019.090000000051</v>
      </c>
      <c r="AA60" s="64">
        <v>29039.090000000051</v>
      </c>
      <c r="AB60" s="64">
        <v>29061.000000000051</v>
      </c>
      <c r="AC60" s="64">
        <v>29082.860000000052</v>
      </c>
      <c r="AD60" s="64">
        <v>29105.830000000053</v>
      </c>
      <c r="AE60" s="64">
        <v>29127.730000000054</v>
      </c>
      <c r="AF60" s="224">
        <v>29148.910000000054</v>
      </c>
      <c r="AG60" s="51">
        <f t="shared" si="1"/>
        <v>29148.910000000054</v>
      </c>
      <c r="AH60" s="44">
        <v>28562.27</v>
      </c>
    </row>
    <row r="61" spans="1:34" x14ac:dyDescent="0.35">
      <c r="A61" s="33" t="s">
        <v>67</v>
      </c>
      <c r="B61" s="223">
        <v>29299.140000000007</v>
      </c>
      <c r="C61" s="64">
        <v>29319.550000000007</v>
      </c>
      <c r="D61" s="64">
        <v>29342.600000000006</v>
      </c>
      <c r="E61" s="64">
        <v>29359.440000000006</v>
      </c>
      <c r="F61" s="64">
        <v>29382.240000000005</v>
      </c>
      <c r="G61" s="64">
        <v>29387.510000000006</v>
      </c>
      <c r="H61" s="64">
        <v>29403.180000000004</v>
      </c>
      <c r="I61" s="64">
        <v>29418.430000000004</v>
      </c>
      <c r="J61" s="64">
        <v>29441.580000000005</v>
      </c>
      <c r="K61" s="64">
        <v>29453.580000000005</v>
      </c>
      <c r="L61" s="64">
        <v>29468.960000000006</v>
      </c>
      <c r="M61" s="64">
        <v>29481.050000000007</v>
      </c>
      <c r="N61" s="64">
        <v>29501.640000000007</v>
      </c>
      <c r="O61" s="64">
        <v>29522.040000000008</v>
      </c>
      <c r="P61" s="64">
        <v>29544.610000000008</v>
      </c>
      <c r="Q61" s="64">
        <v>29564.960000000006</v>
      </c>
      <c r="R61" s="64">
        <v>29587.660000000007</v>
      </c>
      <c r="S61" s="64">
        <v>29609.870000000006</v>
      </c>
      <c r="T61" s="64">
        <v>29631.630000000005</v>
      </c>
      <c r="U61" s="64">
        <v>29652.370000000006</v>
      </c>
      <c r="V61" s="64">
        <v>29658.120000000006</v>
      </c>
      <c r="W61" s="64">
        <v>29679.940000000006</v>
      </c>
      <c r="X61" s="64">
        <v>29702.770000000008</v>
      </c>
      <c r="Y61" s="64">
        <v>29726.770000000008</v>
      </c>
      <c r="Z61" s="64">
        <v>29747.910000000007</v>
      </c>
      <c r="AA61" s="64">
        <v>29770.820000000007</v>
      </c>
      <c r="AB61" s="64">
        <v>29792.710000000006</v>
      </c>
      <c r="AC61" s="64">
        <v>29814.580000000005</v>
      </c>
      <c r="AD61" s="64">
        <v>29837.560000000005</v>
      </c>
      <c r="AE61" s="64">
        <v>29859.470000000005</v>
      </c>
      <c r="AF61" s="224">
        <v>29882.070000000003</v>
      </c>
      <c r="AG61" s="51">
        <f t="shared" si="1"/>
        <v>29882.070000000003</v>
      </c>
      <c r="AH61" s="44">
        <v>29287.83</v>
      </c>
    </row>
    <row r="62" spans="1:34" x14ac:dyDescent="0.35">
      <c r="A62" s="33" t="s">
        <v>68</v>
      </c>
      <c r="B62" s="223">
        <v>29179.690000000013</v>
      </c>
      <c r="C62" s="64">
        <v>29189.450000000012</v>
      </c>
      <c r="D62" s="64">
        <v>29210.39000000001</v>
      </c>
      <c r="E62" s="64">
        <v>29227.44000000001</v>
      </c>
      <c r="F62" s="64">
        <v>29250.380000000008</v>
      </c>
      <c r="G62" s="64">
        <v>29271.480000000007</v>
      </c>
      <c r="H62" s="64">
        <v>29294.620000000006</v>
      </c>
      <c r="I62" s="64">
        <v>29315.880000000005</v>
      </c>
      <c r="J62" s="64">
        <v>29339.030000000006</v>
      </c>
      <c r="K62" s="64">
        <v>29357.550000000007</v>
      </c>
      <c r="L62" s="64">
        <v>29357.550000000007</v>
      </c>
      <c r="M62" s="64">
        <v>29365.380000000008</v>
      </c>
      <c r="N62" s="64">
        <v>29385.970000000008</v>
      </c>
      <c r="O62" s="64">
        <v>29402.990000000009</v>
      </c>
      <c r="P62" s="64">
        <v>29415.840000000007</v>
      </c>
      <c r="Q62" s="64">
        <v>29435.580000000009</v>
      </c>
      <c r="R62" s="64">
        <v>29457.420000000009</v>
      </c>
      <c r="S62" s="64">
        <v>29479.69000000001</v>
      </c>
      <c r="T62" s="64">
        <v>29501.430000000011</v>
      </c>
      <c r="U62" s="64">
        <v>29522.21000000001</v>
      </c>
      <c r="V62" s="64">
        <v>29546.21000000001</v>
      </c>
      <c r="W62" s="64">
        <v>29568.000000000011</v>
      </c>
      <c r="X62" s="64">
        <v>29590.100000000009</v>
      </c>
      <c r="Y62" s="64">
        <v>29614.100000000009</v>
      </c>
      <c r="Z62" s="64">
        <v>29635.240000000009</v>
      </c>
      <c r="AA62" s="64">
        <v>29658.360000000008</v>
      </c>
      <c r="AB62" s="64">
        <v>29680.300000000007</v>
      </c>
      <c r="AC62" s="64">
        <v>29702.170000000006</v>
      </c>
      <c r="AD62" s="64">
        <v>29725.150000000005</v>
      </c>
      <c r="AE62" s="64">
        <v>29747.050000000007</v>
      </c>
      <c r="AF62" s="224">
        <v>29768.310000000005</v>
      </c>
      <c r="AG62" s="51">
        <f t="shared" si="1"/>
        <v>29768.310000000005</v>
      </c>
      <c r="AH62" s="44">
        <v>29166.83</v>
      </c>
    </row>
    <row r="63" spans="1:34" x14ac:dyDescent="0.35">
      <c r="A63" s="33" t="s">
        <v>69</v>
      </c>
      <c r="B63" s="223">
        <v>76996.98</v>
      </c>
      <c r="C63" s="64">
        <v>76996.98</v>
      </c>
      <c r="D63" s="64">
        <v>76996.98</v>
      </c>
      <c r="E63" s="64">
        <v>76996.98</v>
      </c>
      <c r="F63" s="64">
        <v>76996.98</v>
      </c>
      <c r="G63" s="64">
        <v>76997.39</v>
      </c>
      <c r="H63" s="64">
        <v>76997.39</v>
      </c>
      <c r="I63" s="64">
        <v>76997.39</v>
      </c>
      <c r="J63" s="64">
        <v>76997.39</v>
      </c>
      <c r="K63" s="64">
        <v>76997.39</v>
      </c>
      <c r="L63" s="64">
        <v>76997.39</v>
      </c>
      <c r="M63" s="64">
        <v>76997.679999999993</v>
      </c>
      <c r="N63" s="64">
        <v>77009.329999999987</v>
      </c>
      <c r="O63" s="64">
        <v>77009.329999999987</v>
      </c>
      <c r="P63" s="64">
        <v>77009.539999999994</v>
      </c>
      <c r="Q63" s="64">
        <v>77023.599999999991</v>
      </c>
      <c r="R63" s="64">
        <v>77023.599999999991</v>
      </c>
      <c r="S63" s="64">
        <v>77023.599999999991</v>
      </c>
      <c r="T63" s="64">
        <v>77023.599999999991</v>
      </c>
      <c r="U63" s="64">
        <v>77023.849999999991</v>
      </c>
      <c r="V63" s="64">
        <v>77023.849999999991</v>
      </c>
      <c r="W63" s="64">
        <v>77024.279999999984</v>
      </c>
      <c r="X63" s="64">
        <v>77031.619999999981</v>
      </c>
      <c r="Y63" s="64">
        <v>77031.619999999981</v>
      </c>
      <c r="Z63" s="64">
        <v>77031.619999999981</v>
      </c>
      <c r="AA63" s="64">
        <v>77031.619999999981</v>
      </c>
      <c r="AB63" s="64">
        <v>77031.619999999981</v>
      </c>
      <c r="AC63" s="64">
        <v>77031.619999999981</v>
      </c>
      <c r="AD63" s="64">
        <v>77031.619999999981</v>
      </c>
      <c r="AE63" s="64">
        <v>77031.619999999981</v>
      </c>
      <c r="AF63" s="224">
        <v>77031.619999999981</v>
      </c>
      <c r="AG63" s="51">
        <f t="shared" si="1"/>
        <v>77031.619999999981</v>
      </c>
      <c r="AH63" s="44">
        <v>76996.570000000007</v>
      </c>
    </row>
    <row r="64" spans="1:34" x14ac:dyDescent="0.35">
      <c r="A64" s="33" t="s">
        <v>70</v>
      </c>
      <c r="B64" s="223">
        <v>86430.139999999985</v>
      </c>
      <c r="C64" s="64">
        <v>86430.139999999985</v>
      </c>
      <c r="D64" s="64">
        <v>86430.139999999985</v>
      </c>
      <c r="E64" s="64">
        <v>86430.139999999985</v>
      </c>
      <c r="F64" s="64">
        <v>86430.139999999985</v>
      </c>
      <c r="G64" s="64">
        <v>86430.139999999985</v>
      </c>
      <c r="H64" s="64">
        <v>86430.139999999985</v>
      </c>
      <c r="I64" s="64">
        <v>86430.139999999985</v>
      </c>
      <c r="J64" s="64">
        <v>86430.139999999985</v>
      </c>
      <c r="K64" s="64">
        <v>86430.139999999985</v>
      </c>
      <c r="L64" s="64">
        <v>86430.139999999985</v>
      </c>
      <c r="M64" s="64">
        <v>86430.139999999985</v>
      </c>
      <c r="N64" s="64">
        <v>86430.139999999985</v>
      </c>
      <c r="O64" s="64">
        <v>86430.139999999985</v>
      </c>
      <c r="P64" s="64">
        <v>86430.139999999985</v>
      </c>
      <c r="Q64" s="64">
        <v>86430.139999999985</v>
      </c>
      <c r="R64" s="64">
        <v>86430.139999999985</v>
      </c>
      <c r="S64" s="64">
        <v>86430.139999999985</v>
      </c>
      <c r="T64" s="64">
        <v>86430.139999999985</v>
      </c>
      <c r="U64" s="64">
        <v>86430.139999999985</v>
      </c>
      <c r="V64" s="64">
        <v>86430.139999999985</v>
      </c>
      <c r="W64" s="64">
        <v>86430.139999999985</v>
      </c>
      <c r="X64" s="64">
        <v>86430.139999999985</v>
      </c>
      <c r="Y64" s="64">
        <v>86430.139999999985</v>
      </c>
      <c r="Z64" s="64">
        <v>86430.139999999985</v>
      </c>
      <c r="AA64" s="64">
        <v>86430.139999999985</v>
      </c>
      <c r="AB64" s="64">
        <v>86430.139999999985</v>
      </c>
      <c r="AC64" s="64">
        <v>86430.139999999985</v>
      </c>
      <c r="AD64" s="64">
        <v>86430.139999999985</v>
      </c>
      <c r="AE64" s="64">
        <v>86430.139999999985</v>
      </c>
      <c r="AF64" s="224">
        <v>86430.139999999985</v>
      </c>
      <c r="AG64" s="51">
        <f t="shared" si="1"/>
        <v>86430.139999999985</v>
      </c>
      <c r="AH64" s="44">
        <v>86430.14</v>
      </c>
    </row>
    <row r="65" spans="1:34" x14ac:dyDescent="0.35">
      <c r="A65" s="33" t="s">
        <v>71</v>
      </c>
      <c r="B65" s="223">
        <v>84458.240000000005</v>
      </c>
      <c r="C65" s="64">
        <v>84468.73000000001</v>
      </c>
      <c r="D65" s="64">
        <v>84474.390000000014</v>
      </c>
      <c r="E65" s="64">
        <v>84477.99000000002</v>
      </c>
      <c r="F65" s="64">
        <v>84477.99000000002</v>
      </c>
      <c r="G65" s="64">
        <v>84485.280000000013</v>
      </c>
      <c r="H65" s="64">
        <v>84493.46</v>
      </c>
      <c r="I65" s="64">
        <v>84497.13</v>
      </c>
      <c r="J65" s="64">
        <v>84507.760000000009</v>
      </c>
      <c r="K65" s="64">
        <v>84518.420000000013</v>
      </c>
      <c r="L65" s="64">
        <v>84529.930000000008</v>
      </c>
      <c r="M65" s="64">
        <v>84540.640000000014</v>
      </c>
      <c r="N65" s="64">
        <v>84540.640000000014</v>
      </c>
      <c r="O65" s="64">
        <v>84556.810000000012</v>
      </c>
      <c r="P65" s="64">
        <v>84575.040000000008</v>
      </c>
      <c r="Q65" s="64">
        <v>84595.560000000012</v>
      </c>
      <c r="R65" s="64">
        <v>84606.12000000001</v>
      </c>
      <c r="S65" s="64">
        <v>84612.71</v>
      </c>
      <c r="T65" s="64">
        <v>84629.66</v>
      </c>
      <c r="U65" s="64">
        <v>84640.150000000009</v>
      </c>
      <c r="V65" s="64">
        <v>84660.91</v>
      </c>
      <c r="W65" s="64">
        <v>84661.96</v>
      </c>
      <c r="X65" s="64">
        <v>84681.450000000012</v>
      </c>
      <c r="Y65" s="64">
        <v>84683.540000000008</v>
      </c>
      <c r="Z65" s="64">
        <v>84696.71</v>
      </c>
      <c r="AA65" s="64">
        <v>84713.37000000001</v>
      </c>
      <c r="AB65" s="64">
        <v>84722.530000000013</v>
      </c>
      <c r="AC65" s="64">
        <v>84734.260000000009</v>
      </c>
      <c r="AD65" s="64">
        <v>84755.090000000011</v>
      </c>
      <c r="AE65" s="64">
        <v>84759.280000000013</v>
      </c>
      <c r="AF65" s="224">
        <v>84763.080000000016</v>
      </c>
      <c r="AG65" s="51">
        <f t="shared" si="1"/>
        <v>84763.080000000016</v>
      </c>
      <c r="AH65" s="44">
        <v>84436.67</v>
      </c>
    </row>
    <row r="66" spans="1:34" x14ac:dyDescent="0.35">
      <c r="A66" s="33" t="s">
        <v>72</v>
      </c>
      <c r="B66" s="223">
        <v>82409.480000000171</v>
      </c>
      <c r="C66" s="64">
        <v>82430.110000000175</v>
      </c>
      <c r="D66" s="64">
        <v>82451.730000000171</v>
      </c>
      <c r="E66" s="64">
        <v>82473.260000000169</v>
      </c>
      <c r="F66" s="64">
        <v>82494.820000000167</v>
      </c>
      <c r="G66" s="64">
        <v>82505.420000000173</v>
      </c>
      <c r="H66" s="64">
        <v>82518.660000000178</v>
      </c>
      <c r="I66" s="64">
        <v>82531.370000000185</v>
      </c>
      <c r="J66" s="64">
        <v>82545.230000000185</v>
      </c>
      <c r="K66" s="64">
        <v>82548.820000000182</v>
      </c>
      <c r="L66" s="64">
        <v>82553.160000000178</v>
      </c>
      <c r="M66" s="64">
        <v>82553.280000000173</v>
      </c>
      <c r="N66" s="64">
        <v>82566.570000000167</v>
      </c>
      <c r="O66" s="64">
        <v>82587.770000000164</v>
      </c>
      <c r="P66" s="64">
        <v>82596.860000000161</v>
      </c>
      <c r="Q66" s="64">
        <v>82618.320000000167</v>
      </c>
      <c r="R66" s="64">
        <v>82638.25000000016</v>
      </c>
      <c r="S66" s="64">
        <v>82660.100000000166</v>
      </c>
      <c r="T66" s="64">
        <v>82677.670000000173</v>
      </c>
      <c r="U66" s="64">
        <v>82688.260000000169</v>
      </c>
      <c r="V66" s="64">
        <v>82707.970000000176</v>
      </c>
      <c r="W66" s="64">
        <v>82712.62000000017</v>
      </c>
      <c r="X66" s="64">
        <v>82712.62000000017</v>
      </c>
      <c r="Y66" s="64">
        <v>82712.62000000017</v>
      </c>
      <c r="Z66" s="64">
        <v>82721.960000000166</v>
      </c>
      <c r="AA66" s="64">
        <v>82729.37000000017</v>
      </c>
      <c r="AB66" s="64">
        <v>82739.410000000164</v>
      </c>
      <c r="AC66" s="64">
        <v>82759.860000000161</v>
      </c>
      <c r="AD66" s="64">
        <v>82781.460000000166</v>
      </c>
      <c r="AE66" s="64">
        <v>82781.460000000166</v>
      </c>
      <c r="AF66" s="224">
        <v>82800.110000000161</v>
      </c>
      <c r="AG66" s="51">
        <f t="shared" si="1"/>
        <v>82800.110000000161</v>
      </c>
      <c r="AH66" s="44">
        <v>82388.25</v>
      </c>
    </row>
    <row r="67" spans="1:34" x14ac:dyDescent="0.35">
      <c r="A67" s="33" t="s">
        <v>73</v>
      </c>
      <c r="B67" s="223">
        <v>84853.179999999877</v>
      </c>
      <c r="C67" s="64">
        <v>84864.759999999878</v>
      </c>
      <c r="D67" s="64">
        <v>84877.72999999988</v>
      </c>
      <c r="E67" s="64">
        <v>84887.939999999886</v>
      </c>
      <c r="F67" s="64">
        <v>84900.289999999892</v>
      </c>
      <c r="G67" s="64">
        <v>84901.039999999892</v>
      </c>
      <c r="H67" s="64">
        <v>84901.039999999892</v>
      </c>
      <c r="I67" s="64">
        <v>84901.039999999892</v>
      </c>
      <c r="J67" s="64">
        <v>84901.039999999892</v>
      </c>
      <c r="K67" s="64">
        <v>84901.039999999892</v>
      </c>
      <c r="L67" s="64">
        <v>84901.039999999892</v>
      </c>
      <c r="M67" s="64">
        <v>84901.039999999892</v>
      </c>
      <c r="N67" s="64">
        <v>84901.039999999892</v>
      </c>
      <c r="O67" s="64">
        <v>84901.039999999892</v>
      </c>
      <c r="P67" s="64">
        <v>84901.039999999892</v>
      </c>
      <c r="Q67" s="64">
        <v>84914.549999999886</v>
      </c>
      <c r="R67" s="64">
        <v>84935.249999999884</v>
      </c>
      <c r="S67" s="64">
        <v>84956.759999999878</v>
      </c>
      <c r="T67" s="64">
        <v>84969.269999999873</v>
      </c>
      <c r="U67" s="64">
        <v>84977.709999999875</v>
      </c>
      <c r="V67" s="64">
        <v>84982.779999999882</v>
      </c>
      <c r="W67" s="64">
        <v>84989.329999999885</v>
      </c>
      <c r="X67" s="64">
        <v>84995.259999999878</v>
      </c>
      <c r="Y67" s="64">
        <v>85013.439999999871</v>
      </c>
      <c r="Z67" s="64">
        <v>85028.889999999868</v>
      </c>
      <c r="AA67" s="64">
        <v>85046.499999999869</v>
      </c>
      <c r="AB67" s="64">
        <v>85066.559999999867</v>
      </c>
      <c r="AC67" s="64">
        <v>85071.459999999861</v>
      </c>
      <c r="AD67" s="64">
        <v>85071.809999999867</v>
      </c>
      <c r="AE67" s="64">
        <v>85074.429999999862</v>
      </c>
      <c r="AF67" s="224">
        <v>85083.219999999856</v>
      </c>
      <c r="AG67" s="51">
        <f t="shared" si="1"/>
        <v>85083.219999999856</v>
      </c>
      <c r="AH67" s="44">
        <v>84831.22</v>
      </c>
    </row>
    <row r="68" spans="1:34" x14ac:dyDescent="0.35">
      <c r="A68" s="33" t="s">
        <v>74</v>
      </c>
      <c r="B68" s="223">
        <v>82780.519999999829</v>
      </c>
      <c r="C68" s="64">
        <v>82800.689999999828</v>
      </c>
      <c r="D68" s="64">
        <v>82808.669999999824</v>
      </c>
      <c r="E68" s="64">
        <v>82813.109999999826</v>
      </c>
      <c r="F68" s="64">
        <v>82818.349999999831</v>
      </c>
      <c r="G68" s="64">
        <v>82824.569999999832</v>
      </c>
      <c r="H68" s="64">
        <v>82843.059999999838</v>
      </c>
      <c r="I68" s="64">
        <v>82850.079999999842</v>
      </c>
      <c r="J68" s="64">
        <v>82871.609999999841</v>
      </c>
      <c r="K68" s="64">
        <v>82881.489999999845</v>
      </c>
      <c r="L68" s="64">
        <v>82892.889999999839</v>
      </c>
      <c r="M68" s="64">
        <v>82905.149999999834</v>
      </c>
      <c r="N68" s="64">
        <v>82914.24999999984</v>
      </c>
      <c r="O68" s="64">
        <v>82926.369999999835</v>
      </c>
      <c r="P68" s="64">
        <v>82943.229999999836</v>
      </c>
      <c r="Q68" s="64">
        <v>82958.789999999834</v>
      </c>
      <c r="R68" s="64">
        <v>82979.619999999835</v>
      </c>
      <c r="S68" s="64">
        <v>83000.269999999829</v>
      </c>
      <c r="T68" s="64">
        <v>83011.619999999835</v>
      </c>
      <c r="U68" s="64">
        <v>83025.869999999835</v>
      </c>
      <c r="V68" s="64">
        <v>83026.219999999841</v>
      </c>
      <c r="W68" s="64">
        <v>83034.449999999837</v>
      </c>
      <c r="X68" s="64">
        <v>83036.959999999832</v>
      </c>
      <c r="Y68" s="64">
        <v>83049.12999999983</v>
      </c>
      <c r="Z68" s="64">
        <v>83065.299999999828</v>
      </c>
      <c r="AA68" s="64">
        <v>83070.299999999828</v>
      </c>
      <c r="AB68" s="64">
        <v>83087.87999999983</v>
      </c>
      <c r="AC68" s="64">
        <v>83108.089999999836</v>
      </c>
      <c r="AD68" s="64">
        <v>83129.439999999842</v>
      </c>
      <c r="AE68" s="64">
        <v>83135.929999999847</v>
      </c>
      <c r="AF68" s="224">
        <v>83152.029999999853</v>
      </c>
      <c r="AG68" s="51">
        <f t="shared" ref="AG68:AG99" si="2">MAX(B68:AF68)</f>
        <v>83152.029999999853</v>
      </c>
      <c r="AH68" s="44">
        <v>82759.11</v>
      </c>
    </row>
    <row r="69" spans="1:34" x14ac:dyDescent="0.35">
      <c r="A69" s="33" t="s">
        <v>75</v>
      </c>
      <c r="B69" s="223">
        <v>86301.850000000049</v>
      </c>
      <c r="C69" s="64">
        <v>86304.880000000048</v>
      </c>
      <c r="D69" s="64">
        <v>86314.96000000005</v>
      </c>
      <c r="E69" s="64">
        <v>86315.620000000054</v>
      </c>
      <c r="F69" s="64">
        <v>86320.760000000053</v>
      </c>
      <c r="G69" s="64">
        <v>86333.650000000052</v>
      </c>
      <c r="H69" s="64">
        <v>86347.660000000047</v>
      </c>
      <c r="I69" s="64">
        <v>86362.060000000041</v>
      </c>
      <c r="J69" s="64">
        <v>86362.260000000038</v>
      </c>
      <c r="K69" s="64">
        <v>86362.260000000038</v>
      </c>
      <c r="L69" s="64">
        <v>86362.270000000033</v>
      </c>
      <c r="M69" s="64">
        <v>86362.440000000031</v>
      </c>
      <c r="N69" s="64">
        <v>86362.650000000038</v>
      </c>
      <c r="O69" s="64">
        <v>86379.950000000041</v>
      </c>
      <c r="P69" s="64">
        <v>86398.740000000034</v>
      </c>
      <c r="Q69" s="64">
        <v>86419.890000000029</v>
      </c>
      <c r="R69" s="64">
        <v>86440.350000000035</v>
      </c>
      <c r="S69" s="64">
        <v>86457.510000000038</v>
      </c>
      <c r="T69" s="64">
        <v>86463.320000000036</v>
      </c>
      <c r="U69" s="64">
        <v>86478.22000000003</v>
      </c>
      <c r="V69" s="64">
        <v>86493.370000000024</v>
      </c>
      <c r="W69" s="64">
        <v>86500.730000000025</v>
      </c>
      <c r="X69" s="64">
        <v>86507.260000000024</v>
      </c>
      <c r="Y69" s="64">
        <v>86515.300000000017</v>
      </c>
      <c r="Z69" s="64">
        <v>86532.780000000013</v>
      </c>
      <c r="AA69" s="64">
        <v>86552.810000000012</v>
      </c>
      <c r="AB69" s="64">
        <v>86555.57</v>
      </c>
      <c r="AC69" s="64">
        <v>86574.340000000011</v>
      </c>
      <c r="AD69" s="64">
        <v>86585.560000000012</v>
      </c>
      <c r="AE69" s="64">
        <v>86606.760000000009</v>
      </c>
      <c r="AF69" s="224">
        <v>86627.890000000014</v>
      </c>
      <c r="AG69" s="51">
        <f t="shared" si="2"/>
        <v>86627.890000000014</v>
      </c>
      <c r="AH69" s="44">
        <v>86297.78</v>
      </c>
    </row>
    <row r="70" spans="1:34" x14ac:dyDescent="0.35">
      <c r="A70" s="33" t="s">
        <v>76</v>
      </c>
      <c r="B70" s="223">
        <v>84961.230000000141</v>
      </c>
      <c r="C70" s="64">
        <v>84982.630000000136</v>
      </c>
      <c r="D70" s="64">
        <v>85002.250000000131</v>
      </c>
      <c r="E70" s="64">
        <v>85023.370000000126</v>
      </c>
      <c r="F70" s="64">
        <v>85024.64000000013</v>
      </c>
      <c r="G70" s="64">
        <v>85032.800000000134</v>
      </c>
      <c r="H70" s="64">
        <v>85041.020000000135</v>
      </c>
      <c r="I70" s="64">
        <v>85047.070000000138</v>
      </c>
      <c r="J70" s="64">
        <v>85063.200000000143</v>
      </c>
      <c r="K70" s="64">
        <v>85083.840000000142</v>
      </c>
      <c r="L70" s="64">
        <v>85098.850000000137</v>
      </c>
      <c r="M70" s="64">
        <v>85105.620000000141</v>
      </c>
      <c r="N70" s="64">
        <v>85124.26000000014</v>
      </c>
      <c r="O70" s="64">
        <v>85133.180000000139</v>
      </c>
      <c r="P70" s="64">
        <v>85153.950000000143</v>
      </c>
      <c r="Q70" s="64">
        <v>85174.480000000141</v>
      </c>
      <c r="R70" s="64">
        <v>85192.950000000143</v>
      </c>
      <c r="S70" s="64">
        <v>85214.210000000137</v>
      </c>
      <c r="T70" s="64">
        <v>85224.720000000132</v>
      </c>
      <c r="U70" s="64">
        <v>85238.790000000139</v>
      </c>
      <c r="V70" s="64">
        <v>85238.890000000145</v>
      </c>
      <c r="W70" s="64">
        <v>85255.220000000147</v>
      </c>
      <c r="X70" s="64">
        <v>85265.070000000153</v>
      </c>
      <c r="Y70" s="64">
        <v>85277.100000000151</v>
      </c>
      <c r="Z70" s="64">
        <v>85291.040000000154</v>
      </c>
      <c r="AA70" s="64">
        <v>85312.330000000147</v>
      </c>
      <c r="AB70" s="64">
        <v>85325.040000000154</v>
      </c>
      <c r="AC70" s="64">
        <v>85346.640000000159</v>
      </c>
      <c r="AD70" s="64">
        <v>85365.700000000157</v>
      </c>
      <c r="AE70" s="64">
        <v>85379.420000000158</v>
      </c>
      <c r="AF70" s="224">
        <v>85390.120000000155</v>
      </c>
      <c r="AG70" s="51">
        <f t="shared" si="2"/>
        <v>85390.120000000155</v>
      </c>
      <c r="AH70" s="44">
        <v>84945.59</v>
      </c>
    </row>
    <row r="71" spans="1:34" x14ac:dyDescent="0.35">
      <c r="A71" s="33" t="s">
        <v>77</v>
      </c>
      <c r="B71" s="223">
        <v>74560.460000000079</v>
      </c>
      <c r="C71" s="64">
        <v>74580.670000000086</v>
      </c>
      <c r="D71" s="64">
        <v>74602.480000000083</v>
      </c>
      <c r="E71" s="64">
        <v>74613.19000000009</v>
      </c>
      <c r="F71" s="64">
        <v>74634.30000000009</v>
      </c>
      <c r="G71" s="64">
        <v>74634.30000000009</v>
      </c>
      <c r="H71" s="64">
        <v>74642.580000000089</v>
      </c>
      <c r="I71" s="64">
        <v>74643.890000000087</v>
      </c>
      <c r="J71" s="64">
        <v>74644.900000000081</v>
      </c>
      <c r="K71" s="64">
        <v>74651.380000000077</v>
      </c>
      <c r="L71" s="64">
        <v>74661.620000000083</v>
      </c>
      <c r="M71" s="64">
        <v>74681.57000000008</v>
      </c>
      <c r="N71" s="64">
        <v>74692.510000000082</v>
      </c>
      <c r="O71" s="64">
        <v>74695.880000000077</v>
      </c>
      <c r="P71" s="64">
        <v>74716.520000000077</v>
      </c>
      <c r="Q71" s="64">
        <v>74719.050000000076</v>
      </c>
      <c r="R71" s="64">
        <v>74719.050000000076</v>
      </c>
      <c r="S71" s="64">
        <v>74719.050000000076</v>
      </c>
      <c r="T71" s="64">
        <v>74719.050000000076</v>
      </c>
      <c r="U71" s="64">
        <v>74719.050000000076</v>
      </c>
      <c r="V71" s="64">
        <v>74719.500000000073</v>
      </c>
      <c r="W71" s="64">
        <v>74719.500000000073</v>
      </c>
      <c r="X71" s="64">
        <v>74733.280000000072</v>
      </c>
      <c r="Y71" s="64">
        <v>74749.81000000007</v>
      </c>
      <c r="Z71" s="64">
        <v>74757.320000000065</v>
      </c>
      <c r="AA71" s="64">
        <v>74757.320000000065</v>
      </c>
      <c r="AB71" s="64">
        <v>74762.440000000061</v>
      </c>
      <c r="AC71" s="64">
        <v>74769.460000000065</v>
      </c>
      <c r="AD71" s="64">
        <v>74777.040000000066</v>
      </c>
      <c r="AE71" s="64">
        <v>74786.960000000065</v>
      </c>
      <c r="AF71" s="224">
        <v>74807.350000000064</v>
      </c>
      <c r="AG71" s="51">
        <f t="shared" si="2"/>
        <v>74807.350000000064</v>
      </c>
      <c r="AH71" s="44">
        <v>74550.92</v>
      </c>
    </row>
    <row r="72" spans="1:34" x14ac:dyDescent="0.35">
      <c r="A72" s="33" t="s">
        <v>78</v>
      </c>
      <c r="B72" s="223">
        <v>77653.679999999949</v>
      </c>
      <c r="C72" s="64">
        <v>77675.529999999955</v>
      </c>
      <c r="D72" s="64">
        <v>77697.369999999952</v>
      </c>
      <c r="E72" s="64">
        <v>77711.179999999949</v>
      </c>
      <c r="F72" s="64">
        <v>77733.099999999948</v>
      </c>
      <c r="G72" s="64">
        <v>77733.859999999942</v>
      </c>
      <c r="H72" s="64">
        <v>77733.859999999942</v>
      </c>
      <c r="I72" s="64">
        <v>77743.859999999942</v>
      </c>
      <c r="J72" s="64">
        <v>77764.559999999939</v>
      </c>
      <c r="K72" s="64">
        <v>77764.559999999939</v>
      </c>
      <c r="L72" s="64">
        <v>77781.539999999935</v>
      </c>
      <c r="M72" s="64">
        <v>77802.68999999993</v>
      </c>
      <c r="N72" s="64">
        <v>77822.999999999927</v>
      </c>
      <c r="O72" s="64">
        <v>77840.29999999993</v>
      </c>
      <c r="P72" s="64">
        <v>77844.519999999931</v>
      </c>
      <c r="Q72" s="64">
        <v>77859.989999999932</v>
      </c>
      <c r="R72" s="64">
        <v>77872.839999999938</v>
      </c>
      <c r="S72" s="64">
        <v>77893.789999999935</v>
      </c>
      <c r="T72" s="64">
        <v>77914.139999999941</v>
      </c>
      <c r="U72" s="64">
        <v>77934.689999999944</v>
      </c>
      <c r="V72" s="64">
        <v>77948.91999999994</v>
      </c>
      <c r="W72" s="64">
        <v>77953.999999999942</v>
      </c>
      <c r="X72" s="64">
        <v>77972.329999999944</v>
      </c>
      <c r="Y72" s="64">
        <v>77992.829999999944</v>
      </c>
      <c r="Z72" s="64">
        <v>78006.689999999944</v>
      </c>
      <c r="AA72" s="64">
        <v>78012.989999999947</v>
      </c>
      <c r="AB72" s="64">
        <v>78021.899999999951</v>
      </c>
      <c r="AC72" s="64">
        <v>78043.209999999948</v>
      </c>
      <c r="AD72" s="64">
        <v>78059.669999999955</v>
      </c>
      <c r="AE72" s="64">
        <v>78074.359999999957</v>
      </c>
      <c r="AF72" s="224">
        <v>78095.76999999996</v>
      </c>
      <c r="AG72" s="51">
        <f t="shared" si="2"/>
        <v>78095.76999999996</v>
      </c>
      <c r="AH72" s="44">
        <v>77632.36</v>
      </c>
    </row>
    <row r="73" spans="1:34" x14ac:dyDescent="0.35">
      <c r="A73" s="33" t="s">
        <v>79</v>
      </c>
      <c r="B73" s="223">
        <v>80119.779999999882</v>
      </c>
      <c r="C73" s="64">
        <v>80119.779999999882</v>
      </c>
      <c r="D73" s="64">
        <v>80126.029999999882</v>
      </c>
      <c r="E73" s="64">
        <v>80147.519999999888</v>
      </c>
      <c r="F73" s="64">
        <v>80168.259999999893</v>
      </c>
      <c r="G73" s="64">
        <v>80173.629999999888</v>
      </c>
      <c r="H73" s="64">
        <v>80192.889999999883</v>
      </c>
      <c r="I73" s="64">
        <v>80212.809999999881</v>
      </c>
      <c r="J73" s="64">
        <v>80234.299999999886</v>
      </c>
      <c r="K73" s="64">
        <v>80249.579999999885</v>
      </c>
      <c r="L73" s="64">
        <v>80270.819999999891</v>
      </c>
      <c r="M73" s="64">
        <v>80281.369999999893</v>
      </c>
      <c r="N73" s="64">
        <v>80285.129999999888</v>
      </c>
      <c r="O73" s="64">
        <v>80306.859999999884</v>
      </c>
      <c r="P73" s="64">
        <v>80316.22999999988</v>
      </c>
      <c r="Q73" s="64">
        <v>80327.749999999884</v>
      </c>
      <c r="R73" s="64">
        <v>80348.389999999883</v>
      </c>
      <c r="S73" s="64">
        <v>80369.97999999988</v>
      </c>
      <c r="T73" s="64">
        <v>80391.879999999874</v>
      </c>
      <c r="U73" s="64">
        <v>80413.069999999876</v>
      </c>
      <c r="V73" s="64">
        <v>80434.069999999876</v>
      </c>
      <c r="W73" s="64">
        <v>80455.389999999883</v>
      </c>
      <c r="X73" s="64">
        <v>80469.139999999883</v>
      </c>
      <c r="Y73" s="64">
        <v>80474.889999999883</v>
      </c>
      <c r="Z73" s="64">
        <v>80474.889999999883</v>
      </c>
      <c r="AA73" s="64">
        <v>80474.889999999883</v>
      </c>
      <c r="AB73" s="64">
        <v>80474.889999999883</v>
      </c>
      <c r="AC73" s="64">
        <v>80474.889999999883</v>
      </c>
      <c r="AD73" s="64">
        <v>80474.889999999883</v>
      </c>
      <c r="AE73" s="64">
        <v>80474.889999999883</v>
      </c>
      <c r="AF73" s="224">
        <v>80474.889999999883</v>
      </c>
      <c r="AG73" s="51">
        <f t="shared" si="2"/>
        <v>80474.889999999883</v>
      </c>
      <c r="AH73" s="44">
        <v>80116.259999999995</v>
      </c>
    </row>
    <row r="74" spans="1:34" x14ac:dyDescent="0.35">
      <c r="A74" s="33" t="s">
        <v>80</v>
      </c>
      <c r="B74" s="223">
        <v>85226.679999999964</v>
      </c>
      <c r="C74" s="64">
        <v>85248.469999999958</v>
      </c>
      <c r="D74" s="64">
        <v>85269.609999999957</v>
      </c>
      <c r="E74" s="64">
        <v>85291.129999999961</v>
      </c>
      <c r="F74" s="64">
        <v>85312.65999999996</v>
      </c>
      <c r="G74" s="64">
        <v>85322.329999999958</v>
      </c>
      <c r="H74" s="64">
        <v>85336.01999999996</v>
      </c>
      <c r="I74" s="64">
        <v>85345.679999999964</v>
      </c>
      <c r="J74" s="64">
        <v>85366.88999999997</v>
      </c>
      <c r="K74" s="64">
        <v>85382.539999999964</v>
      </c>
      <c r="L74" s="64">
        <v>85402.329999999958</v>
      </c>
      <c r="M74" s="64">
        <v>85412.76999999996</v>
      </c>
      <c r="N74" s="64">
        <v>85429.929999999964</v>
      </c>
      <c r="O74" s="64">
        <v>85443.199999999968</v>
      </c>
      <c r="P74" s="64">
        <v>85464.649999999965</v>
      </c>
      <c r="Q74" s="64">
        <v>85467.929999999964</v>
      </c>
      <c r="R74" s="64">
        <v>85488.149999999965</v>
      </c>
      <c r="S74" s="64">
        <v>85509.009999999966</v>
      </c>
      <c r="T74" s="64">
        <v>85531.329999999973</v>
      </c>
      <c r="U74" s="64">
        <v>85538.179999999978</v>
      </c>
      <c r="V74" s="64">
        <v>85538.179999999978</v>
      </c>
      <c r="W74" s="64">
        <v>85538.179999999978</v>
      </c>
      <c r="X74" s="64">
        <v>85547.969999999972</v>
      </c>
      <c r="Y74" s="64">
        <v>85568.059999999969</v>
      </c>
      <c r="Z74" s="64">
        <v>85588.969999999972</v>
      </c>
      <c r="AA74" s="64">
        <v>85604.199999999968</v>
      </c>
      <c r="AB74" s="64">
        <v>85612.929999999964</v>
      </c>
      <c r="AC74" s="64">
        <v>85634.679999999964</v>
      </c>
      <c r="AD74" s="64">
        <v>85656.299999999959</v>
      </c>
      <c r="AE74" s="64">
        <v>85677.90999999996</v>
      </c>
      <c r="AF74" s="224">
        <v>85689.129999999961</v>
      </c>
      <c r="AG74" s="51">
        <f t="shared" si="2"/>
        <v>85689.129999999961</v>
      </c>
      <c r="AH74" s="44">
        <v>85204.96</v>
      </c>
    </row>
    <row r="75" spans="1:34" x14ac:dyDescent="0.35">
      <c r="A75" s="33" t="s">
        <v>81</v>
      </c>
      <c r="B75" s="223">
        <v>84272.269999999815</v>
      </c>
      <c r="C75" s="64">
        <v>84281.539999999819</v>
      </c>
      <c r="D75" s="64">
        <v>84289.139999999825</v>
      </c>
      <c r="E75" s="64">
        <v>84307.199999999822</v>
      </c>
      <c r="F75" s="64">
        <v>84307.199999999822</v>
      </c>
      <c r="G75" s="64">
        <v>84325.449999999822</v>
      </c>
      <c r="H75" s="64">
        <v>84337.409999999829</v>
      </c>
      <c r="I75" s="64">
        <v>84353.62999999983</v>
      </c>
      <c r="J75" s="64">
        <v>84371.409999999829</v>
      </c>
      <c r="K75" s="64">
        <v>84386.599999999831</v>
      </c>
      <c r="L75" s="64">
        <v>84396.779999999824</v>
      </c>
      <c r="M75" s="64">
        <v>84400.37999999983</v>
      </c>
      <c r="N75" s="64">
        <v>84400.37999999983</v>
      </c>
      <c r="O75" s="64">
        <v>84415.519999999829</v>
      </c>
      <c r="P75" s="64">
        <v>84436.969999999827</v>
      </c>
      <c r="Q75" s="64">
        <v>84458.139999999825</v>
      </c>
      <c r="R75" s="64">
        <v>84479.679999999804</v>
      </c>
      <c r="S75" s="64">
        <v>84501.409999999814</v>
      </c>
      <c r="T75" s="64">
        <v>84522.679999999818</v>
      </c>
      <c r="U75" s="64">
        <v>84535.079999999813</v>
      </c>
      <c r="V75" s="64">
        <v>84548.839999999807</v>
      </c>
      <c r="W75" s="64">
        <v>84568.739999999802</v>
      </c>
      <c r="X75" s="64">
        <v>84588.669999999795</v>
      </c>
      <c r="Y75" s="64">
        <v>84609.869999999792</v>
      </c>
      <c r="Z75" s="64">
        <v>84617.049999999785</v>
      </c>
      <c r="AA75" s="64">
        <v>84638.119999999792</v>
      </c>
      <c r="AB75" s="64">
        <v>84648.469999999797</v>
      </c>
      <c r="AC75" s="64">
        <v>84661.619999999792</v>
      </c>
      <c r="AD75" s="64">
        <v>84681.939999999799</v>
      </c>
      <c r="AE75" s="64">
        <v>84701.699999999793</v>
      </c>
      <c r="AF75" s="224">
        <v>84714.329999999798</v>
      </c>
      <c r="AG75" s="51">
        <f t="shared" si="2"/>
        <v>84714.329999999798</v>
      </c>
      <c r="AH75" s="44">
        <v>84272.27</v>
      </c>
    </row>
    <row r="76" spans="1:34" x14ac:dyDescent="0.35">
      <c r="A76" s="33" t="s">
        <v>82</v>
      </c>
      <c r="B76" s="223">
        <v>84525.370000000185</v>
      </c>
      <c r="C76" s="64">
        <v>84537.650000000183</v>
      </c>
      <c r="D76" s="64">
        <v>84558.74000000018</v>
      </c>
      <c r="E76" s="64">
        <v>84580.200000000186</v>
      </c>
      <c r="F76" s="64">
        <v>84591.24000000018</v>
      </c>
      <c r="G76" s="64">
        <v>84601.380000000179</v>
      </c>
      <c r="H76" s="64">
        <v>84612.000000000175</v>
      </c>
      <c r="I76" s="64">
        <v>84622.810000000172</v>
      </c>
      <c r="J76" s="64">
        <v>84643.570000000167</v>
      </c>
      <c r="K76" s="64">
        <v>84656.330000000162</v>
      </c>
      <c r="L76" s="64">
        <v>84658.920000000158</v>
      </c>
      <c r="M76" s="64">
        <v>84678.420000000158</v>
      </c>
      <c r="N76" s="64">
        <v>84693.140000000159</v>
      </c>
      <c r="O76" s="64">
        <v>84698.140000000159</v>
      </c>
      <c r="P76" s="64">
        <v>84717.230000000156</v>
      </c>
      <c r="Q76" s="64">
        <v>84736.120000000155</v>
      </c>
      <c r="R76" s="64">
        <v>84755.830000000162</v>
      </c>
      <c r="S76" s="64">
        <v>84776.740000000165</v>
      </c>
      <c r="T76" s="64">
        <v>84796.62000000017</v>
      </c>
      <c r="U76" s="64">
        <v>84816.540000000168</v>
      </c>
      <c r="V76" s="64">
        <v>84819.740000000165</v>
      </c>
      <c r="W76" s="64">
        <v>84831.75000000016</v>
      </c>
      <c r="X76" s="64">
        <v>84838.990000000165</v>
      </c>
      <c r="Y76" s="64">
        <v>84854.270000000164</v>
      </c>
      <c r="Z76" s="64">
        <v>84854.270000000164</v>
      </c>
      <c r="AA76" s="64">
        <v>84854.270000000164</v>
      </c>
      <c r="AB76" s="64">
        <v>84854.270000000164</v>
      </c>
      <c r="AC76" s="64">
        <v>84864.470000000161</v>
      </c>
      <c r="AD76" s="64">
        <v>84882.780000000159</v>
      </c>
      <c r="AE76" s="64">
        <v>84885.00000000016</v>
      </c>
      <c r="AF76" s="224">
        <v>84906.530000000159</v>
      </c>
      <c r="AG76" s="51">
        <f t="shared" si="2"/>
        <v>84906.530000000159</v>
      </c>
      <c r="AH76" s="44">
        <v>84512.51</v>
      </c>
    </row>
    <row r="77" spans="1:34" x14ac:dyDescent="0.35">
      <c r="A77" s="33" t="s">
        <v>83</v>
      </c>
      <c r="B77" s="223">
        <v>83480.259999999937</v>
      </c>
      <c r="C77" s="64">
        <v>83489.199999999939</v>
      </c>
      <c r="D77" s="64">
        <v>83504.579999999944</v>
      </c>
      <c r="E77" s="64">
        <v>83522.599999999948</v>
      </c>
      <c r="F77" s="64">
        <v>83543.709999999948</v>
      </c>
      <c r="G77" s="64">
        <v>83563.159999999945</v>
      </c>
      <c r="H77" s="64">
        <v>83581.249999999942</v>
      </c>
      <c r="I77" s="64">
        <v>83598.979999999938</v>
      </c>
      <c r="J77" s="64">
        <v>83601.809999999939</v>
      </c>
      <c r="K77" s="64">
        <v>83619.569999999934</v>
      </c>
      <c r="L77" s="64">
        <v>83640.519999999931</v>
      </c>
      <c r="M77" s="64">
        <v>83659.29999999993</v>
      </c>
      <c r="N77" s="64">
        <v>83660.509999999937</v>
      </c>
      <c r="O77" s="64">
        <v>83666.969999999943</v>
      </c>
      <c r="P77" s="64">
        <v>83678.03999999995</v>
      </c>
      <c r="Q77" s="64">
        <v>83678.03999999995</v>
      </c>
      <c r="R77" s="64">
        <v>83697.03999999995</v>
      </c>
      <c r="S77" s="64">
        <v>83707.659999999945</v>
      </c>
      <c r="T77" s="64">
        <v>83727.219999999943</v>
      </c>
      <c r="U77" s="64">
        <v>83746.939999999944</v>
      </c>
      <c r="V77" s="64">
        <v>83748.209999999948</v>
      </c>
      <c r="W77" s="64">
        <v>83766.239999999947</v>
      </c>
      <c r="X77" s="64">
        <v>83768.989999999947</v>
      </c>
      <c r="Y77" s="64">
        <v>83785.509999999951</v>
      </c>
      <c r="Z77" s="64">
        <v>83804.249999999956</v>
      </c>
      <c r="AA77" s="64">
        <v>83804.249999999956</v>
      </c>
      <c r="AB77" s="64">
        <v>83824.139999999956</v>
      </c>
      <c r="AC77" s="64">
        <v>83845.669999999955</v>
      </c>
      <c r="AD77" s="64">
        <v>83856.439999999959</v>
      </c>
      <c r="AE77" s="64">
        <v>83877.319999999963</v>
      </c>
      <c r="AF77" s="224">
        <v>83898.249999999956</v>
      </c>
      <c r="AG77" s="51">
        <f t="shared" si="2"/>
        <v>83898.249999999956</v>
      </c>
      <c r="AH77" s="44">
        <v>83468.649999999994</v>
      </c>
    </row>
    <row r="78" spans="1:34" x14ac:dyDescent="0.35">
      <c r="A78" s="33" t="s">
        <v>84</v>
      </c>
      <c r="B78" s="223">
        <v>86114.389999999985</v>
      </c>
      <c r="C78" s="64">
        <v>86129.229999999981</v>
      </c>
      <c r="D78" s="64">
        <v>86146.209999999977</v>
      </c>
      <c r="E78" s="64">
        <v>86167.029999999984</v>
      </c>
      <c r="F78" s="64">
        <v>86185.62999999999</v>
      </c>
      <c r="G78" s="64">
        <v>86207.189999999988</v>
      </c>
      <c r="H78" s="64">
        <v>86218.209999999992</v>
      </c>
      <c r="I78" s="64">
        <v>86237.499999999985</v>
      </c>
      <c r="J78" s="64">
        <v>86258.669999999984</v>
      </c>
      <c r="K78" s="64">
        <v>86270.679999999978</v>
      </c>
      <c r="L78" s="64">
        <v>86278.659999999974</v>
      </c>
      <c r="M78" s="64">
        <v>86290.549999999974</v>
      </c>
      <c r="N78" s="64">
        <v>86311.939999999973</v>
      </c>
      <c r="O78" s="64">
        <v>86333.499999999971</v>
      </c>
      <c r="P78" s="64">
        <v>86354.299999999974</v>
      </c>
      <c r="Q78" s="64">
        <v>86375.769999999975</v>
      </c>
      <c r="R78" s="64">
        <v>86397.179999999978</v>
      </c>
      <c r="S78" s="64">
        <v>86407.949999999983</v>
      </c>
      <c r="T78" s="64">
        <v>86426.999999999985</v>
      </c>
      <c r="U78" s="64">
        <v>86428.099999999991</v>
      </c>
      <c r="V78" s="64">
        <v>86434.79</v>
      </c>
      <c r="W78" s="64">
        <v>86444.969999999987</v>
      </c>
      <c r="X78" s="64">
        <v>86460.809999999983</v>
      </c>
      <c r="Y78" s="64">
        <v>86476.25999999998</v>
      </c>
      <c r="Z78" s="64">
        <v>86496.819999999978</v>
      </c>
      <c r="AA78" s="64">
        <v>86518.089999999982</v>
      </c>
      <c r="AB78" s="64">
        <v>86538.549999999988</v>
      </c>
      <c r="AC78" s="64">
        <v>86560.339999999982</v>
      </c>
      <c r="AD78" s="64">
        <v>86573.559999999983</v>
      </c>
      <c r="AE78" s="64">
        <v>86573.559999999983</v>
      </c>
      <c r="AF78" s="224">
        <v>86585.639999999985</v>
      </c>
      <c r="AG78" s="51">
        <f t="shared" si="2"/>
        <v>86585.639999999985</v>
      </c>
      <c r="AH78" s="44">
        <v>86100.24</v>
      </c>
    </row>
    <row r="79" spans="1:34" x14ac:dyDescent="0.35">
      <c r="A79" s="33" t="s">
        <v>85</v>
      </c>
      <c r="B79" s="223">
        <v>86761.469999999885</v>
      </c>
      <c r="C79" s="64">
        <v>86782.919999999882</v>
      </c>
      <c r="D79" s="64">
        <v>86804.489999999889</v>
      </c>
      <c r="E79" s="64">
        <v>86817.989999999889</v>
      </c>
      <c r="F79" s="64">
        <v>86834.339999999895</v>
      </c>
      <c r="G79" s="64">
        <v>86836.549999999901</v>
      </c>
      <c r="H79" s="64">
        <v>86857.999999999898</v>
      </c>
      <c r="I79" s="64">
        <v>86877.549999999901</v>
      </c>
      <c r="J79" s="64">
        <v>86889.789999999906</v>
      </c>
      <c r="K79" s="64">
        <v>86905.709999999905</v>
      </c>
      <c r="L79" s="64">
        <v>86926.729999999909</v>
      </c>
      <c r="M79" s="64">
        <v>86948.549999999916</v>
      </c>
      <c r="N79" s="64">
        <v>86962.789999999921</v>
      </c>
      <c r="O79" s="64">
        <v>86970.149999999921</v>
      </c>
      <c r="P79" s="64">
        <v>86970.149999999921</v>
      </c>
      <c r="Q79" s="64">
        <v>86974.049999999916</v>
      </c>
      <c r="R79" s="64">
        <v>86977.92999999992</v>
      </c>
      <c r="S79" s="64">
        <v>86997.529999999926</v>
      </c>
      <c r="T79" s="64">
        <v>87018.979999999923</v>
      </c>
      <c r="U79" s="64">
        <v>87039.349999999919</v>
      </c>
      <c r="V79" s="64">
        <v>87060.749999999913</v>
      </c>
      <c r="W79" s="64">
        <v>87071.439999999915</v>
      </c>
      <c r="X79" s="64">
        <v>87092.81999999992</v>
      </c>
      <c r="Y79" s="64">
        <v>87114.139999999927</v>
      </c>
      <c r="Z79" s="64">
        <v>87134.839999999924</v>
      </c>
      <c r="AA79" s="64">
        <v>87155.81999999992</v>
      </c>
      <c r="AB79" s="64">
        <v>87176.509999999922</v>
      </c>
      <c r="AC79" s="64">
        <v>87197.859999999928</v>
      </c>
      <c r="AD79" s="64">
        <v>87219.54999999993</v>
      </c>
      <c r="AE79" s="64">
        <v>87241.119999999937</v>
      </c>
      <c r="AF79" s="224">
        <v>87262.629999999932</v>
      </c>
      <c r="AG79" s="51">
        <f t="shared" si="2"/>
        <v>87262.629999999932</v>
      </c>
      <c r="AH79" s="44">
        <v>86739.9</v>
      </c>
    </row>
    <row r="80" spans="1:34" x14ac:dyDescent="0.35">
      <c r="A80" s="33" t="s">
        <v>86</v>
      </c>
      <c r="B80" s="223">
        <v>84862.379999999917</v>
      </c>
      <c r="C80" s="64">
        <v>84883.769999999917</v>
      </c>
      <c r="D80" s="64">
        <v>84905.109999999913</v>
      </c>
      <c r="E80" s="64">
        <v>84924.169999999911</v>
      </c>
      <c r="F80" s="64">
        <v>84945.899999999907</v>
      </c>
      <c r="G80" s="64">
        <v>84965.989999999903</v>
      </c>
      <c r="H80" s="64">
        <v>84987.529999999897</v>
      </c>
      <c r="I80" s="64">
        <v>85008.859999999899</v>
      </c>
      <c r="J80" s="64">
        <v>85030.469999999899</v>
      </c>
      <c r="K80" s="64">
        <v>85049.599999999904</v>
      </c>
      <c r="L80" s="64">
        <v>85061.799999999901</v>
      </c>
      <c r="M80" s="64">
        <v>85076.239999999903</v>
      </c>
      <c r="N80" s="64">
        <v>85078.05999999991</v>
      </c>
      <c r="O80" s="64">
        <v>85084.69999999991</v>
      </c>
      <c r="P80" s="64">
        <v>85103.269999999917</v>
      </c>
      <c r="Q80" s="64">
        <v>85103.269999999917</v>
      </c>
      <c r="R80" s="64">
        <v>85112.149999999921</v>
      </c>
      <c r="S80" s="64">
        <v>85133.259999999922</v>
      </c>
      <c r="T80" s="64">
        <v>85154.439999999915</v>
      </c>
      <c r="U80" s="64">
        <v>85160.80999999991</v>
      </c>
      <c r="V80" s="64">
        <v>85160.80999999991</v>
      </c>
      <c r="W80" s="64">
        <v>85160.80999999991</v>
      </c>
      <c r="X80" s="64">
        <v>85160.80999999991</v>
      </c>
      <c r="Y80" s="64">
        <v>85160.80999999991</v>
      </c>
      <c r="Z80" s="64">
        <v>85160.80999999991</v>
      </c>
      <c r="AA80" s="64">
        <v>85160.80999999991</v>
      </c>
      <c r="AB80" s="64">
        <v>85160.80999999991</v>
      </c>
      <c r="AC80" s="64">
        <v>85168.939999999915</v>
      </c>
      <c r="AD80" s="64">
        <v>85186.44999999991</v>
      </c>
      <c r="AE80" s="64">
        <v>85197.169999999911</v>
      </c>
      <c r="AF80" s="224">
        <v>85211.089999999909</v>
      </c>
      <c r="AG80" s="51">
        <f t="shared" si="2"/>
        <v>85211.089999999909</v>
      </c>
      <c r="AH80" s="44">
        <v>84841.06</v>
      </c>
    </row>
    <row r="81" spans="1:34" x14ac:dyDescent="0.35">
      <c r="A81" s="33" t="s">
        <v>87</v>
      </c>
      <c r="B81" s="223">
        <v>84458.200000000186</v>
      </c>
      <c r="C81" s="64">
        <v>84479.700000000186</v>
      </c>
      <c r="D81" s="64">
        <v>84492.070000000182</v>
      </c>
      <c r="E81" s="64">
        <v>84513.530000000188</v>
      </c>
      <c r="F81" s="64">
        <v>84535.240000000194</v>
      </c>
      <c r="G81" s="64">
        <v>84556.270000000193</v>
      </c>
      <c r="H81" s="64">
        <v>84576.660000000193</v>
      </c>
      <c r="I81" s="64">
        <v>84590.550000000192</v>
      </c>
      <c r="J81" s="64">
        <v>84611.730000000185</v>
      </c>
      <c r="K81" s="64">
        <v>84633.330000000191</v>
      </c>
      <c r="L81" s="64">
        <v>84648.250000000189</v>
      </c>
      <c r="M81" s="64">
        <v>84669.72000000019</v>
      </c>
      <c r="N81" s="64">
        <v>84690.700000000186</v>
      </c>
      <c r="O81" s="64">
        <v>84712.130000000179</v>
      </c>
      <c r="P81" s="64">
        <v>84733.690000000177</v>
      </c>
      <c r="Q81" s="64">
        <v>84755.310000000172</v>
      </c>
      <c r="R81" s="64">
        <v>84776.720000000176</v>
      </c>
      <c r="S81" s="64">
        <v>84798.070000000182</v>
      </c>
      <c r="T81" s="64">
        <v>84810.560000000187</v>
      </c>
      <c r="U81" s="64">
        <v>84820.430000000182</v>
      </c>
      <c r="V81" s="64">
        <v>84840.150000000183</v>
      </c>
      <c r="W81" s="64">
        <v>84861.640000000189</v>
      </c>
      <c r="X81" s="64">
        <v>84883.310000000187</v>
      </c>
      <c r="Y81" s="64">
        <v>84897.040000000183</v>
      </c>
      <c r="Z81" s="64">
        <v>84909.480000000185</v>
      </c>
      <c r="AA81" s="64">
        <v>84921.690000000192</v>
      </c>
      <c r="AB81" s="64">
        <v>84937.22000000019</v>
      </c>
      <c r="AC81" s="64">
        <v>84937.22000000019</v>
      </c>
      <c r="AD81" s="64">
        <v>84949.61000000019</v>
      </c>
      <c r="AE81" s="64">
        <v>84971.670000000187</v>
      </c>
      <c r="AF81" s="224">
        <v>84978.880000000194</v>
      </c>
      <c r="AG81" s="51">
        <f t="shared" si="2"/>
        <v>84978.880000000194</v>
      </c>
      <c r="AH81" s="44">
        <v>84436.46</v>
      </c>
    </row>
    <row r="82" spans="1:34" x14ac:dyDescent="0.35">
      <c r="A82" s="33" t="s">
        <v>88</v>
      </c>
      <c r="B82" s="223">
        <v>84925.519999999931</v>
      </c>
      <c r="C82" s="64">
        <v>84947.749999999927</v>
      </c>
      <c r="D82" s="64">
        <v>84969.419999999925</v>
      </c>
      <c r="E82" s="64">
        <v>84990.959999999919</v>
      </c>
      <c r="F82" s="64">
        <v>85002.009999999922</v>
      </c>
      <c r="G82" s="64">
        <v>85023.389999999927</v>
      </c>
      <c r="H82" s="64">
        <v>85044.739999999932</v>
      </c>
      <c r="I82" s="64">
        <v>85066.18999999993</v>
      </c>
      <c r="J82" s="64">
        <v>85087.629999999932</v>
      </c>
      <c r="K82" s="64">
        <v>85109.039999999935</v>
      </c>
      <c r="L82" s="64">
        <v>85122.929999999935</v>
      </c>
      <c r="M82" s="64">
        <v>85144.379999999932</v>
      </c>
      <c r="N82" s="64">
        <v>85162.129999999932</v>
      </c>
      <c r="O82" s="64">
        <v>85183.699999999939</v>
      </c>
      <c r="P82" s="64">
        <v>85204.929999999935</v>
      </c>
      <c r="Q82" s="64">
        <v>85225.719999999928</v>
      </c>
      <c r="R82" s="64">
        <v>85246.789999999935</v>
      </c>
      <c r="S82" s="64">
        <v>85268.459999999934</v>
      </c>
      <c r="T82" s="64">
        <v>85290.079999999929</v>
      </c>
      <c r="U82" s="64">
        <v>85311.869999999923</v>
      </c>
      <c r="V82" s="64">
        <v>85331.519999999917</v>
      </c>
      <c r="W82" s="64">
        <v>85353.039999999921</v>
      </c>
      <c r="X82" s="64">
        <v>85372.099999999919</v>
      </c>
      <c r="Y82" s="64">
        <v>85372.099999999919</v>
      </c>
      <c r="Z82" s="64">
        <v>85380.729999999923</v>
      </c>
      <c r="AA82" s="64">
        <v>85401.019999999917</v>
      </c>
      <c r="AB82" s="64">
        <v>85421.499999999913</v>
      </c>
      <c r="AC82" s="64">
        <v>85436.859999999913</v>
      </c>
      <c r="AD82" s="64">
        <v>85457.839999999909</v>
      </c>
      <c r="AE82" s="64">
        <v>85478.569999999905</v>
      </c>
      <c r="AF82" s="224">
        <v>85500.379999999903</v>
      </c>
      <c r="AG82" s="51">
        <f t="shared" si="2"/>
        <v>85500.379999999903</v>
      </c>
      <c r="AH82" s="44">
        <v>84904.39</v>
      </c>
    </row>
    <row r="83" spans="1:34" x14ac:dyDescent="0.35">
      <c r="A83" s="33" t="s">
        <v>89</v>
      </c>
      <c r="B83" s="223">
        <v>84894.909999999669</v>
      </c>
      <c r="C83" s="64">
        <v>84916.229999999676</v>
      </c>
      <c r="D83" s="64">
        <v>84936.409999999669</v>
      </c>
      <c r="E83" s="64">
        <v>84953.049999999668</v>
      </c>
      <c r="F83" s="64">
        <v>84969.37999999967</v>
      </c>
      <c r="G83" s="64">
        <v>84989.509999999675</v>
      </c>
      <c r="H83" s="64">
        <v>85011.049999999668</v>
      </c>
      <c r="I83" s="64">
        <v>85032.749999999665</v>
      </c>
      <c r="J83" s="64">
        <v>85054.059999999663</v>
      </c>
      <c r="K83" s="64">
        <v>85075.219999999666</v>
      </c>
      <c r="L83" s="64">
        <v>85096.269999999669</v>
      </c>
      <c r="M83" s="64">
        <v>85106.209999999672</v>
      </c>
      <c r="N83" s="64">
        <v>85107.309999999678</v>
      </c>
      <c r="O83" s="64">
        <v>85128.769999999684</v>
      </c>
      <c r="P83" s="64">
        <v>85145.579999999682</v>
      </c>
      <c r="Q83" s="64">
        <v>85160.309999999678</v>
      </c>
      <c r="R83" s="64">
        <v>85181.819999999672</v>
      </c>
      <c r="S83" s="64">
        <v>85203.499999999665</v>
      </c>
      <c r="T83" s="64">
        <v>85225.299999999668</v>
      </c>
      <c r="U83" s="64">
        <v>85243.759999999675</v>
      </c>
      <c r="V83" s="64">
        <v>85264.85999999968</v>
      </c>
      <c r="W83" s="64">
        <v>85286.059999999678</v>
      </c>
      <c r="X83" s="64">
        <v>85300.299999999683</v>
      </c>
      <c r="Y83" s="64">
        <v>85321.319999999687</v>
      </c>
      <c r="Z83" s="64">
        <v>85342.429999999687</v>
      </c>
      <c r="AA83" s="64">
        <v>85363.689999999682</v>
      </c>
      <c r="AB83" s="64">
        <v>85385.24999999968</v>
      </c>
      <c r="AC83" s="64">
        <v>85405.24999999968</v>
      </c>
      <c r="AD83" s="64">
        <v>85422.559999999678</v>
      </c>
      <c r="AE83" s="64">
        <v>85442.509999999675</v>
      </c>
      <c r="AF83" s="224">
        <v>85448.259999999675</v>
      </c>
      <c r="AG83" s="51">
        <f t="shared" si="2"/>
        <v>85448.259999999675</v>
      </c>
      <c r="AH83" s="44">
        <v>84894.85</v>
      </c>
    </row>
    <row r="84" spans="1:34" x14ac:dyDescent="0.35">
      <c r="A84" s="33" t="s">
        <v>90</v>
      </c>
      <c r="B84" s="223">
        <v>85838.41</v>
      </c>
      <c r="C84" s="64">
        <v>85838.41</v>
      </c>
      <c r="D84" s="64">
        <v>85838.41</v>
      </c>
      <c r="E84" s="64">
        <v>85838.41</v>
      </c>
      <c r="F84" s="64">
        <v>85838.41</v>
      </c>
      <c r="G84" s="64">
        <v>85848.53</v>
      </c>
      <c r="H84" s="64">
        <v>85859.45</v>
      </c>
      <c r="I84" s="64">
        <v>85866.3</v>
      </c>
      <c r="J84" s="64">
        <v>85882.84</v>
      </c>
      <c r="K84" s="64">
        <v>85894.04</v>
      </c>
      <c r="L84" s="64">
        <v>85909.36</v>
      </c>
      <c r="M84" s="64">
        <v>85919.75</v>
      </c>
      <c r="N84" s="64">
        <v>85941.52</v>
      </c>
      <c r="O84" s="64">
        <v>85958.62000000001</v>
      </c>
      <c r="P84" s="64">
        <v>85958.62000000001</v>
      </c>
      <c r="Q84" s="64">
        <v>85962.030000000013</v>
      </c>
      <c r="R84" s="64">
        <v>85982.410000000018</v>
      </c>
      <c r="S84" s="64">
        <v>85986.820000000022</v>
      </c>
      <c r="T84" s="64">
        <v>85986.820000000022</v>
      </c>
      <c r="U84" s="64">
        <v>86001.340000000026</v>
      </c>
      <c r="V84" s="64">
        <v>86021.160000000033</v>
      </c>
      <c r="W84" s="64">
        <v>86030.200000000026</v>
      </c>
      <c r="X84" s="64">
        <v>86041.080000000031</v>
      </c>
      <c r="Y84" s="64">
        <v>86056.740000000034</v>
      </c>
      <c r="Z84" s="64">
        <v>86077.890000000029</v>
      </c>
      <c r="AA84" s="64">
        <v>86098.47000000003</v>
      </c>
      <c r="AB84" s="64">
        <v>86114.410000000033</v>
      </c>
      <c r="AC84" s="64">
        <v>86134.640000000029</v>
      </c>
      <c r="AD84" s="64">
        <v>86156.370000000024</v>
      </c>
      <c r="AE84" s="64">
        <v>86168.590000000026</v>
      </c>
      <c r="AF84" s="224">
        <v>86187.670000000027</v>
      </c>
      <c r="AG84" s="51">
        <f t="shared" si="2"/>
        <v>86187.670000000027</v>
      </c>
      <c r="AH84" s="44">
        <v>85838.41</v>
      </c>
    </row>
    <row r="85" spans="1:34" x14ac:dyDescent="0.35">
      <c r="A85" s="33" t="s">
        <v>91</v>
      </c>
      <c r="B85" s="223">
        <v>85951.899999999718</v>
      </c>
      <c r="C85" s="64">
        <v>85971.869999999719</v>
      </c>
      <c r="D85" s="64">
        <v>85985.599999999715</v>
      </c>
      <c r="E85" s="64">
        <v>86003.649999999718</v>
      </c>
      <c r="F85" s="64">
        <v>86024.949999999721</v>
      </c>
      <c r="G85" s="64">
        <v>86046.349999999715</v>
      </c>
      <c r="H85" s="64">
        <v>86067.539999999717</v>
      </c>
      <c r="I85" s="64">
        <v>86078.569999999716</v>
      </c>
      <c r="J85" s="64">
        <v>86092.009999999718</v>
      </c>
      <c r="K85" s="64">
        <v>86100.979999999719</v>
      </c>
      <c r="L85" s="64">
        <v>86113.029999999722</v>
      </c>
      <c r="M85" s="64">
        <v>86134.139999999723</v>
      </c>
      <c r="N85" s="64">
        <v>86145.189999999726</v>
      </c>
      <c r="O85" s="64">
        <v>86165.929999999731</v>
      </c>
      <c r="P85" s="64">
        <v>86186.839999999735</v>
      </c>
      <c r="Q85" s="64">
        <v>86198.629999999728</v>
      </c>
      <c r="R85" s="64">
        <v>86219.229999999734</v>
      </c>
      <c r="S85" s="64">
        <v>86240.299999999741</v>
      </c>
      <c r="T85" s="64">
        <v>86261.32999999974</v>
      </c>
      <c r="U85" s="64">
        <v>86282.749999999738</v>
      </c>
      <c r="V85" s="64">
        <v>86301.029999999737</v>
      </c>
      <c r="W85" s="64">
        <v>86316.229999999734</v>
      </c>
      <c r="X85" s="64">
        <v>86337.629999999728</v>
      </c>
      <c r="Y85" s="64">
        <v>86358.95999999973</v>
      </c>
      <c r="Z85" s="64">
        <v>86378.469999999725</v>
      </c>
      <c r="AA85" s="64">
        <v>86394.929999999731</v>
      </c>
      <c r="AB85" s="64">
        <v>86414.659999999727</v>
      </c>
      <c r="AC85" s="64">
        <v>86435.989999999729</v>
      </c>
      <c r="AD85" s="64">
        <v>86444.719999999725</v>
      </c>
      <c r="AE85" s="64">
        <v>86464.509999999718</v>
      </c>
      <c r="AF85" s="224">
        <v>86485.779999999722</v>
      </c>
      <c r="AG85" s="51">
        <f t="shared" si="2"/>
        <v>86485.779999999722</v>
      </c>
      <c r="AH85" s="44">
        <v>85951.75</v>
      </c>
    </row>
    <row r="86" spans="1:34" x14ac:dyDescent="0.35">
      <c r="A86" s="33" t="s">
        <v>92</v>
      </c>
      <c r="B86" s="223">
        <v>86281.70000000007</v>
      </c>
      <c r="C86" s="64">
        <v>86301.190000000075</v>
      </c>
      <c r="D86" s="64">
        <v>86314.630000000077</v>
      </c>
      <c r="E86" s="64">
        <v>86327.630000000077</v>
      </c>
      <c r="F86" s="64">
        <v>86342.350000000079</v>
      </c>
      <c r="G86" s="64">
        <v>86352.360000000073</v>
      </c>
      <c r="H86" s="64">
        <v>86371.780000000072</v>
      </c>
      <c r="I86" s="64">
        <v>86392.860000000073</v>
      </c>
      <c r="J86" s="64">
        <v>86411.190000000075</v>
      </c>
      <c r="K86" s="64">
        <v>86431.000000000073</v>
      </c>
      <c r="L86" s="64">
        <v>86452.640000000072</v>
      </c>
      <c r="M86" s="64">
        <v>86473.940000000075</v>
      </c>
      <c r="N86" s="64">
        <v>86495.540000000081</v>
      </c>
      <c r="O86" s="64">
        <v>86511.210000000079</v>
      </c>
      <c r="P86" s="64">
        <v>86527.500000000073</v>
      </c>
      <c r="Q86" s="64">
        <v>86549.360000000073</v>
      </c>
      <c r="R86" s="64">
        <v>86571.18000000008</v>
      </c>
      <c r="S86" s="64">
        <v>86585.420000000086</v>
      </c>
      <c r="T86" s="64">
        <v>86605.990000000093</v>
      </c>
      <c r="U86" s="64">
        <v>86625.580000000089</v>
      </c>
      <c r="V86" s="64">
        <v>86646.830000000089</v>
      </c>
      <c r="W86" s="64">
        <v>86667.930000000095</v>
      </c>
      <c r="X86" s="64">
        <v>86689.3100000001</v>
      </c>
      <c r="Y86" s="64">
        <v>86710.640000000101</v>
      </c>
      <c r="Z86" s="64">
        <v>86718.1700000001</v>
      </c>
      <c r="AA86" s="64">
        <v>86718.1700000001</v>
      </c>
      <c r="AB86" s="64">
        <v>86735.750000000102</v>
      </c>
      <c r="AC86" s="64">
        <v>86750.630000000107</v>
      </c>
      <c r="AD86" s="64">
        <v>86756.410000000105</v>
      </c>
      <c r="AE86" s="64">
        <v>86767.140000000101</v>
      </c>
      <c r="AF86" s="224">
        <v>86788.340000000098</v>
      </c>
      <c r="AG86" s="51">
        <f t="shared" si="2"/>
        <v>86788.340000000098</v>
      </c>
      <c r="AH86" s="44">
        <v>86260.18</v>
      </c>
    </row>
    <row r="87" spans="1:34" x14ac:dyDescent="0.35">
      <c r="A87" s="33" t="s">
        <v>93</v>
      </c>
      <c r="B87" s="223">
        <v>79869.349999999889</v>
      </c>
      <c r="C87" s="64">
        <v>79869.349999999889</v>
      </c>
      <c r="D87" s="64">
        <v>79869.349999999889</v>
      </c>
      <c r="E87" s="64">
        <v>79869.349999999889</v>
      </c>
      <c r="F87" s="64">
        <v>79869.349999999889</v>
      </c>
      <c r="G87" s="64">
        <v>79869.349999999889</v>
      </c>
      <c r="H87" s="64">
        <v>79885.899999999892</v>
      </c>
      <c r="I87" s="64">
        <v>79907.139999999898</v>
      </c>
      <c r="J87" s="64">
        <v>79917.589999999895</v>
      </c>
      <c r="K87" s="64">
        <v>79933.009999999893</v>
      </c>
      <c r="L87" s="64">
        <v>79952.729999999894</v>
      </c>
      <c r="M87" s="64">
        <v>79973.199999999895</v>
      </c>
      <c r="N87" s="64">
        <v>79989.8299999999</v>
      </c>
      <c r="O87" s="64">
        <v>80011.1899999999</v>
      </c>
      <c r="P87" s="64">
        <v>80019.649999999907</v>
      </c>
      <c r="Q87" s="64">
        <v>80040.149999999907</v>
      </c>
      <c r="R87" s="64">
        <v>80061.159999999902</v>
      </c>
      <c r="S87" s="64">
        <v>80082.949999999895</v>
      </c>
      <c r="T87" s="64">
        <v>80103.799999999901</v>
      </c>
      <c r="U87" s="64">
        <v>80125.009999999907</v>
      </c>
      <c r="V87" s="64">
        <v>80146.679999999906</v>
      </c>
      <c r="W87" s="64">
        <v>80167.919999999911</v>
      </c>
      <c r="X87" s="64">
        <v>80179.049999999916</v>
      </c>
      <c r="Y87" s="64">
        <v>80190.579999999914</v>
      </c>
      <c r="Z87" s="64">
        <v>80211.81999999992</v>
      </c>
      <c r="AA87" s="64">
        <v>80233.469999999914</v>
      </c>
      <c r="AB87" s="64">
        <v>80254.909999999916</v>
      </c>
      <c r="AC87" s="64">
        <v>80274.499999999913</v>
      </c>
      <c r="AD87" s="64">
        <v>80295.539999999906</v>
      </c>
      <c r="AE87" s="64">
        <v>80313.569999999905</v>
      </c>
      <c r="AF87" s="224">
        <v>80319.149999999907</v>
      </c>
      <c r="AG87" s="51">
        <f t="shared" si="2"/>
        <v>80319.149999999907</v>
      </c>
      <c r="AH87" s="44">
        <v>79869.350000000006</v>
      </c>
    </row>
    <row r="88" spans="1:34" x14ac:dyDescent="0.35">
      <c r="A88" s="33" t="s">
        <v>94</v>
      </c>
      <c r="B88" s="223">
        <v>87738.959999999817</v>
      </c>
      <c r="C88" s="64">
        <v>87760.619999999821</v>
      </c>
      <c r="D88" s="64">
        <v>87782.459999999817</v>
      </c>
      <c r="E88" s="64">
        <v>87804.239999999816</v>
      </c>
      <c r="F88" s="64">
        <v>87825.52999999981</v>
      </c>
      <c r="G88" s="64">
        <v>87847.219999999812</v>
      </c>
      <c r="H88" s="64">
        <v>87868.769999999815</v>
      </c>
      <c r="I88" s="64">
        <v>87887.469999999812</v>
      </c>
      <c r="J88" s="64">
        <v>87901.399999999805</v>
      </c>
      <c r="K88" s="64">
        <v>87914.569999999803</v>
      </c>
      <c r="L88" s="64">
        <v>87935.939999999799</v>
      </c>
      <c r="M88" s="64">
        <v>87957.319999999803</v>
      </c>
      <c r="N88" s="64">
        <v>87965.789999999804</v>
      </c>
      <c r="O88" s="64">
        <v>87987.799999999799</v>
      </c>
      <c r="P88" s="64">
        <v>88009.549999999799</v>
      </c>
      <c r="Q88" s="64">
        <v>88030.9099999998</v>
      </c>
      <c r="R88" s="64">
        <v>88050.119999999806</v>
      </c>
      <c r="S88" s="64">
        <v>88069.1599999998</v>
      </c>
      <c r="T88" s="64">
        <v>88091.119999999806</v>
      </c>
      <c r="U88" s="64">
        <v>88112.329999999813</v>
      </c>
      <c r="V88" s="64">
        <v>88128.369999999806</v>
      </c>
      <c r="W88" s="64">
        <v>88146.219999999812</v>
      </c>
      <c r="X88" s="64">
        <v>88167.219999999812</v>
      </c>
      <c r="Y88" s="64">
        <v>88182.699999999808</v>
      </c>
      <c r="Z88" s="64">
        <v>88201.159999999814</v>
      </c>
      <c r="AA88" s="64">
        <v>88222.579999999813</v>
      </c>
      <c r="AB88" s="64">
        <v>88235.659999999814</v>
      </c>
      <c r="AC88" s="64">
        <v>88257.239999999816</v>
      </c>
      <c r="AD88" s="64">
        <v>88278.769999999815</v>
      </c>
      <c r="AE88" s="64">
        <v>88300.359999999811</v>
      </c>
      <c r="AF88" s="224">
        <v>88316.009999999806</v>
      </c>
      <c r="AG88" s="51">
        <f t="shared" si="2"/>
        <v>88316.009999999806</v>
      </c>
      <c r="AH88" s="44">
        <v>87722.26</v>
      </c>
    </row>
    <row r="89" spans="1:34" x14ac:dyDescent="0.35">
      <c r="A89" s="33" t="s">
        <v>95</v>
      </c>
      <c r="B89" s="223">
        <v>83837.479999999734</v>
      </c>
      <c r="C89" s="64">
        <v>83851.479999999734</v>
      </c>
      <c r="D89" s="64">
        <v>83872.949999999735</v>
      </c>
      <c r="E89" s="64">
        <v>83894.479999999734</v>
      </c>
      <c r="F89" s="64">
        <v>83902.739999999729</v>
      </c>
      <c r="G89" s="64">
        <v>83921.769999999728</v>
      </c>
      <c r="H89" s="64">
        <v>83939.049999999726</v>
      </c>
      <c r="I89" s="64">
        <v>83960.149999999732</v>
      </c>
      <c r="J89" s="64">
        <v>83972.029999999737</v>
      </c>
      <c r="K89" s="64">
        <v>83979.119999999733</v>
      </c>
      <c r="L89" s="64">
        <v>83996.779999999737</v>
      </c>
      <c r="M89" s="64">
        <v>84018.479999999734</v>
      </c>
      <c r="N89" s="64">
        <v>84034.81999999973</v>
      </c>
      <c r="O89" s="64">
        <v>84036.149999999732</v>
      </c>
      <c r="P89" s="64">
        <v>84051.439999999726</v>
      </c>
      <c r="Q89" s="64">
        <v>84072.979999999719</v>
      </c>
      <c r="R89" s="64">
        <v>84088.429999999717</v>
      </c>
      <c r="S89" s="64">
        <v>84102.279999999722</v>
      </c>
      <c r="T89" s="64">
        <v>84123.989999999729</v>
      </c>
      <c r="U89" s="64">
        <v>84140.789999999732</v>
      </c>
      <c r="V89" s="64">
        <v>84147.919999999736</v>
      </c>
      <c r="W89" s="64">
        <v>84154.499999999738</v>
      </c>
      <c r="X89" s="64">
        <v>84154.519999999742</v>
      </c>
      <c r="Y89" s="64">
        <v>84171.389999999737</v>
      </c>
      <c r="Z89" s="64">
        <v>84191.679999999731</v>
      </c>
      <c r="AA89" s="64">
        <v>84209.749999999738</v>
      </c>
      <c r="AB89" s="64">
        <v>84230.109999999739</v>
      </c>
      <c r="AC89" s="64">
        <v>84247.82999999974</v>
      </c>
      <c r="AD89" s="64">
        <v>84263.749999999738</v>
      </c>
      <c r="AE89" s="64">
        <v>84284.889999999737</v>
      </c>
      <c r="AF89" s="224">
        <v>84299.909999999742</v>
      </c>
      <c r="AG89" s="51">
        <f t="shared" si="2"/>
        <v>84299.909999999742</v>
      </c>
      <c r="AH89" s="44">
        <v>83819.460000000006</v>
      </c>
    </row>
    <row r="90" spans="1:34" x14ac:dyDescent="0.35">
      <c r="A90" s="33" t="s">
        <v>96</v>
      </c>
      <c r="B90" s="223">
        <v>85199.299999999828</v>
      </c>
      <c r="C90" s="64">
        <v>85216.679999999833</v>
      </c>
      <c r="D90" s="64">
        <v>85231.439999999828</v>
      </c>
      <c r="E90" s="64">
        <v>85236.569999999832</v>
      </c>
      <c r="F90" s="64">
        <v>85258.059999999838</v>
      </c>
      <c r="G90" s="64">
        <v>85279.189999999842</v>
      </c>
      <c r="H90" s="64">
        <v>85300.629999999845</v>
      </c>
      <c r="I90" s="64">
        <v>85304.959999999846</v>
      </c>
      <c r="J90" s="64">
        <v>85320.439999999842</v>
      </c>
      <c r="K90" s="64">
        <v>85341.379999999845</v>
      </c>
      <c r="L90" s="64">
        <v>85362.649999999849</v>
      </c>
      <c r="M90" s="64">
        <v>85383.009999999849</v>
      </c>
      <c r="N90" s="64">
        <v>85389.599999999846</v>
      </c>
      <c r="O90" s="64">
        <v>85401.22999999985</v>
      </c>
      <c r="P90" s="64">
        <v>85416.719999999856</v>
      </c>
      <c r="Q90" s="64">
        <v>85435.959999999861</v>
      </c>
      <c r="R90" s="64">
        <v>85452.319999999861</v>
      </c>
      <c r="S90" s="64">
        <v>85452.319999999861</v>
      </c>
      <c r="T90" s="64">
        <v>85452.319999999861</v>
      </c>
      <c r="U90" s="64">
        <v>85461.98999999986</v>
      </c>
      <c r="V90" s="64">
        <v>85464.539999999863</v>
      </c>
      <c r="W90" s="64">
        <v>85475.389999999868</v>
      </c>
      <c r="X90" s="64">
        <v>85488.149999999863</v>
      </c>
      <c r="Y90" s="64">
        <v>85509.409999999858</v>
      </c>
      <c r="Z90" s="64">
        <v>85530.269999999859</v>
      </c>
      <c r="AA90" s="64">
        <v>85551.659999999858</v>
      </c>
      <c r="AB90" s="64">
        <v>85573.269999999859</v>
      </c>
      <c r="AC90" s="64">
        <v>85595.319999999861</v>
      </c>
      <c r="AD90" s="64">
        <v>85616.789999999863</v>
      </c>
      <c r="AE90" s="64">
        <v>85638.389999999868</v>
      </c>
      <c r="AF90" s="224">
        <v>85660.229999999865</v>
      </c>
      <c r="AG90" s="51">
        <f t="shared" si="2"/>
        <v>85660.229999999865</v>
      </c>
      <c r="AH90" s="44">
        <v>85180.71</v>
      </c>
    </row>
    <row r="91" spans="1:34" x14ac:dyDescent="0.35">
      <c r="A91" s="33" t="s">
        <v>97</v>
      </c>
      <c r="B91" s="223">
        <v>86146.970000000016</v>
      </c>
      <c r="C91" s="64">
        <v>86156.900000000009</v>
      </c>
      <c r="D91" s="64">
        <v>86178.150000000009</v>
      </c>
      <c r="E91" s="64">
        <v>86197.420000000013</v>
      </c>
      <c r="F91" s="64">
        <v>86218.900000000009</v>
      </c>
      <c r="G91" s="64">
        <v>86240.060000000012</v>
      </c>
      <c r="H91" s="64">
        <v>86255.700000000012</v>
      </c>
      <c r="I91" s="64">
        <v>86276.830000000016</v>
      </c>
      <c r="J91" s="64">
        <v>86294.930000000022</v>
      </c>
      <c r="K91" s="64">
        <v>86315.810000000027</v>
      </c>
      <c r="L91" s="64">
        <v>86336.980000000025</v>
      </c>
      <c r="M91" s="64">
        <v>86357.22000000003</v>
      </c>
      <c r="N91" s="64">
        <v>86374.130000000034</v>
      </c>
      <c r="O91" s="64">
        <v>86384.130000000034</v>
      </c>
      <c r="P91" s="64">
        <v>86403.450000000041</v>
      </c>
      <c r="Q91" s="64">
        <v>86403.450000000041</v>
      </c>
      <c r="R91" s="64">
        <v>86403.450000000041</v>
      </c>
      <c r="S91" s="64">
        <v>86403.450000000041</v>
      </c>
      <c r="T91" s="64">
        <v>86403.450000000041</v>
      </c>
      <c r="U91" s="64">
        <v>86403.450000000041</v>
      </c>
      <c r="V91" s="64">
        <v>86403.450000000041</v>
      </c>
      <c r="W91" s="64">
        <v>86414.210000000036</v>
      </c>
      <c r="X91" s="64">
        <v>86435.420000000042</v>
      </c>
      <c r="Y91" s="64">
        <v>86456.710000000036</v>
      </c>
      <c r="Z91" s="64">
        <v>86477.780000000042</v>
      </c>
      <c r="AA91" s="64">
        <v>86499.380000000048</v>
      </c>
      <c r="AB91" s="64">
        <v>86509.760000000053</v>
      </c>
      <c r="AC91" s="64">
        <v>86527.46000000005</v>
      </c>
      <c r="AD91" s="64">
        <v>86533.220000000045</v>
      </c>
      <c r="AE91" s="64">
        <v>86547.350000000049</v>
      </c>
      <c r="AF91" s="224">
        <v>86557.360000000044</v>
      </c>
      <c r="AG91" s="51">
        <f t="shared" si="2"/>
        <v>86557.360000000044</v>
      </c>
      <c r="AH91" s="44">
        <v>86127.01</v>
      </c>
    </row>
    <row r="92" spans="1:34" x14ac:dyDescent="0.35">
      <c r="A92" s="33" t="s">
        <v>98</v>
      </c>
      <c r="B92" s="223">
        <v>85261.460000000021</v>
      </c>
      <c r="C92" s="64">
        <v>85278.170000000027</v>
      </c>
      <c r="D92" s="64">
        <v>85299.540000000023</v>
      </c>
      <c r="E92" s="64">
        <v>85320.85000000002</v>
      </c>
      <c r="F92" s="64">
        <v>85322.690000000017</v>
      </c>
      <c r="G92" s="64">
        <v>85335.890000000014</v>
      </c>
      <c r="H92" s="64">
        <v>85356.85000000002</v>
      </c>
      <c r="I92" s="64">
        <v>85378.070000000022</v>
      </c>
      <c r="J92" s="64">
        <v>85399.410000000018</v>
      </c>
      <c r="K92" s="64">
        <v>85420.700000000012</v>
      </c>
      <c r="L92" s="64">
        <v>85441.610000000015</v>
      </c>
      <c r="M92" s="64">
        <v>85462.780000000013</v>
      </c>
      <c r="N92" s="64">
        <v>85478.98000000001</v>
      </c>
      <c r="O92" s="64">
        <v>85500.950000000012</v>
      </c>
      <c r="P92" s="64">
        <v>85511.810000000012</v>
      </c>
      <c r="Q92" s="64">
        <v>85514.240000000005</v>
      </c>
      <c r="R92" s="64">
        <v>85528.1</v>
      </c>
      <c r="S92" s="64">
        <v>85545.180000000008</v>
      </c>
      <c r="T92" s="64">
        <v>85563.63</v>
      </c>
      <c r="U92" s="64">
        <v>85566.98000000001</v>
      </c>
      <c r="V92" s="64">
        <v>85579.860000000015</v>
      </c>
      <c r="W92" s="64">
        <v>85585.140000000014</v>
      </c>
      <c r="X92" s="64">
        <v>85592.300000000017</v>
      </c>
      <c r="Y92" s="64">
        <v>85610.35000000002</v>
      </c>
      <c r="Z92" s="64">
        <v>85631.950000000026</v>
      </c>
      <c r="AA92" s="64">
        <v>85652.480000000025</v>
      </c>
      <c r="AB92" s="64">
        <v>85671.510000000024</v>
      </c>
      <c r="AC92" s="64">
        <v>85692.840000000026</v>
      </c>
      <c r="AD92" s="64">
        <v>85698.650000000023</v>
      </c>
      <c r="AE92" s="64">
        <v>85718.560000000027</v>
      </c>
      <c r="AF92" s="224">
        <v>85731.940000000031</v>
      </c>
      <c r="AG92" s="51">
        <f t="shared" si="2"/>
        <v>85731.940000000031</v>
      </c>
      <c r="AH92" s="44">
        <v>85240.03</v>
      </c>
    </row>
    <row r="93" spans="1:34" x14ac:dyDescent="0.35">
      <c r="A93" s="33" t="s">
        <v>99</v>
      </c>
      <c r="B93" s="223">
        <v>82398.170000000173</v>
      </c>
      <c r="C93" s="64">
        <v>82404.330000000176</v>
      </c>
      <c r="D93" s="64">
        <v>82404.330000000176</v>
      </c>
      <c r="E93" s="64">
        <v>82404.330000000176</v>
      </c>
      <c r="F93" s="64">
        <v>82404.330000000176</v>
      </c>
      <c r="G93" s="64">
        <v>82404.330000000176</v>
      </c>
      <c r="H93" s="64">
        <v>82404.330000000176</v>
      </c>
      <c r="I93" s="64">
        <v>82404.330000000176</v>
      </c>
      <c r="J93" s="64">
        <v>82404.330000000176</v>
      </c>
      <c r="K93" s="64">
        <v>82404.330000000176</v>
      </c>
      <c r="L93" s="64">
        <v>82404.330000000176</v>
      </c>
      <c r="M93" s="64">
        <v>82404.330000000176</v>
      </c>
      <c r="N93" s="64">
        <v>82404.330000000176</v>
      </c>
      <c r="O93" s="64">
        <v>82404.330000000176</v>
      </c>
      <c r="P93" s="64">
        <v>82404.330000000176</v>
      </c>
      <c r="Q93" s="64">
        <v>82404.330000000176</v>
      </c>
      <c r="R93" s="64">
        <v>82404.330000000176</v>
      </c>
      <c r="S93" s="64">
        <v>82404.330000000176</v>
      </c>
      <c r="T93" s="64">
        <v>82404.330000000176</v>
      </c>
      <c r="U93" s="64">
        <v>82404.330000000176</v>
      </c>
      <c r="V93" s="64">
        <v>82410.080000000176</v>
      </c>
      <c r="W93" s="64">
        <v>82426.530000000173</v>
      </c>
      <c r="X93" s="64">
        <v>82441.050000000178</v>
      </c>
      <c r="Y93" s="64">
        <v>82455.74000000018</v>
      </c>
      <c r="Z93" s="64">
        <v>82476.280000000173</v>
      </c>
      <c r="AA93" s="64">
        <v>82494.560000000172</v>
      </c>
      <c r="AB93" s="64">
        <v>82509.840000000171</v>
      </c>
      <c r="AC93" s="64">
        <v>82531.590000000171</v>
      </c>
      <c r="AD93" s="64">
        <v>82553.730000000171</v>
      </c>
      <c r="AE93" s="64">
        <v>82569.550000000178</v>
      </c>
      <c r="AF93" s="224">
        <v>82590.810000000172</v>
      </c>
      <c r="AG93" s="51">
        <f t="shared" si="2"/>
        <v>82590.810000000172</v>
      </c>
      <c r="AH93" s="44">
        <v>82384.75</v>
      </c>
    </row>
    <row r="94" spans="1:34" x14ac:dyDescent="0.35">
      <c r="A94" s="293" t="s">
        <v>100</v>
      </c>
      <c r="B94" s="223">
        <v>81277.610000000015</v>
      </c>
      <c r="C94" s="64">
        <v>81277.610000000015</v>
      </c>
      <c r="D94" s="64">
        <v>81277.610000000015</v>
      </c>
      <c r="E94" s="64">
        <v>81277.610000000015</v>
      </c>
      <c r="F94" s="64">
        <v>81277.610000000015</v>
      </c>
      <c r="G94" s="64">
        <v>81277.610000000015</v>
      </c>
      <c r="H94" s="64">
        <v>81277.610000000015</v>
      </c>
      <c r="I94" s="64">
        <v>81277.610000000015</v>
      </c>
      <c r="J94" s="64">
        <v>81277.610000000015</v>
      </c>
      <c r="K94" s="64">
        <v>81277.610000000015</v>
      </c>
      <c r="L94" s="64">
        <v>81277.610000000015</v>
      </c>
      <c r="M94" s="64">
        <v>81277.610000000015</v>
      </c>
      <c r="N94" s="64">
        <v>81277.610000000015</v>
      </c>
      <c r="O94" s="64">
        <v>81277.610000000015</v>
      </c>
      <c r="P94" s="64">
        <v>81277.610000000015</v>
      </c>
      <c r="Q94" s="64">
        <v>81277.610000000015</v>
      </c>
      <c r="R94" s="64">
        <v>81277.610000000015</v>
      </c>
      <c r="S94" s="64">
        <v>81277.610000000015</v>
      </c>
      <c r="T94" s="64">
        <v>81277.610000000015</v>
      </c>
      <c r="U94" s="64">
        <v>81277.610000000015</v>
      </c>
      <c r="V94" s="64">
        <v>81277.610000000015</v>
      </c>
      <c r="W94" s="64">
        <v>81277.610000000015</v>
      </c>
      <c r="X94" s="64">
        <v>81277.610000000015</v>
      </c>
      <c r="Y94" s="64">
        <v>81277.610000000015</v>
      </c>
      <c r="Z94" s="64">
        <v>81277.610000000015</v>
      </c>
      <c r="AA94" s="64">
        <v>81277.610000000015</v>
      </c>
      <c r="AB94" s="64">
        <v>81277.610000000015</v>
      </c>
      <c r="AC94" s="64">
        <v>81277.610000000015</v>
      </c>
      <c r="AD94" s="64">
        <v>81277.610000000015</v>
      </c>
      <c r="AE94" s="64">
        <v>81277.610000000015</v>
      </c>
      <c r="AF94" s="224">
        <v>81277.610000000015</v>
      </c>
      <c r="AG94" s="51">
        <f t="shared" si="2"/>
        <v>81277.610000000015</v>
      </c>
      <c r="AH94" s="44">
        <v>81277.61</v>
      </c>
    </row>
    <row r="95" spans="1:34" x14ac:dyDescent="0.35">
      <c r="A95" s="33" t="s">
        <v>101</v>
      </c>
      <c r="B95" s="223">
        <v>83271.98</v>
      </c>
      <c r="C95" s="64">
        <v>83293.429999999993</v>
      </c>
      <c r="D95" s="64">
        <v>83312.23</v>
      </c>
      <c r="E95" s="64">
        <v>83320.759999999995</v>
      </c>
      <c r="F95" s="64">
        <v>83343.649999999994</v>
      </c>
      <c r="G95" s="64">
        <v>83365.25</v>
      </c>
      <c r="H95" s="64">
        <v>83386.3</v>
      </c>
      <c r="I95" s="64">
        <v>83393.87000000001</v>
      </c>
      <c r="J95" s="64">
        <v>83393.87000000001</v>
      </c>
      <c r="K95" s="64">
        <v>83393.87000000001</v>
      </c>
      <c r="L95" s="64">
        <v>83403.140000000014</v>
      </c>
      <c r="M95" s="64">
        <v>83414.910000000018</v>
      </c>
      <c r="N95" s="64">
        <v>83422.020000000019</v>
      </c>
      <c r="O95" s="64">
        <v>83437.390000000014</v>
      </c>
      <c r="P95" s="64">
        <v>83459.270000000019</v>
      </c>
      <c r="Q95" s="64">
        <v>83469.590000000026</v>
      </c>
      <c r="R95" s="64">
        <v>83488.840000000026</v>
      </c>
      <c r="S95" s="64">
        <v>83502.440000000031</v>
      </c>
      <c r="T95" s="64">
        <v>83523.350000000035</v>
      </c>
      <c r="U95" s="64">
        <v>83533.760000000038</v>
      </c>
      <c r="V95" s="64">
        <v>83552.330000000045</v>
      </c>
      <c r="W95" s="64">
        <v>83573.640000000043</v>
      </c>
      <c r="X95" s="64">
        <v>83594.870000000039</v>
      </c>
      <c r="Y95" s="64">
        <v>83616.070000000036</v>
      </c>
      <c r="Z95" s="64">
        <v>83631.670000000042</v>
      </c>
      <c r="AA95" s="64">
        <v>83650.320000000036</v>
      </c>
      <c r="AB95" s="64">
        <v>83671.620000000039</v>
      </c>
      <c r="AC95" s="64">
        <v>83681.390000000043</v>
      </c>
      <c r="AD95" s="64">
        <v>83700.650000000038</v>
      </c>
      <c r="AE95" s="64">
        <v>83722.350000000035</v>
      </c>
      <c r="AF95" s="224">
        <v>83743.890000000029</v>
      </c>
      <c r="AG95" s="51">
        <f t="shared" si="2"/>
        <v>83743.890000000029</v>
      </c>
      <c r="AH95" s="44">
        <v>83256.2</v>
      </c>
    </row>
    <row r="96" spans="1:34" x14ac:dyDescent="0.35">
      <c r="A96" s="33" t="s">
        <v>102</v>
      </c>
      <c r="B96" s="223">
        <v>84395.150000000183</v>
      </c>
      <c r="C96" s="64">
        <v>84397.86000000019</v>
      </c>
      <c r="D96" s="64">
        <v>84414.980000000185</v>
      </c>
      <c r="E96" s="64">
        <v>84436.530000000188</v>
      </c>
      <c r="F96" s="64">
        <v>84444.780000000188</v>
      </c>
      <c r="G96" s="64">
        <v>84444.810000000187</v>
      </c>
      <c r="H96" s="64">
        <v>84445.020000000193</v>
      </c>
      <c r="I96" s="64">
        <v>84465.100000000195</v>
      </c>
      <c r="J96" s="64">
        <v>84469.97000000019</v>
      </c>
      <c r="K96" s="64">
        <v>84490.11000000019</v>
      </c>
      <c r="L96" s="64">
        <v>84499.890000000189</v>
      </c>
      <c r="M96" s="64">
        <v>84511.740000000194</v>
      </c>
      <c r="N96" s="64">
        <v>84529.2300000002</v>
      </c>
      <c r="O96" s="64">
        <v>84546.150000000198</v>
      </c>
      <c r="P96" s="64">
        <v>84567.570000000196</v>
      </c>
      <c r="Q96" s="64">
        <v>84588.890000000203</v>
      </c>
      <c r="R96" s="64">
        <v>84607.140000000203</v>
      </c>
      <c r="S96" s="64">
        <v>84614.220000000205</v>
      </c>
      <c r="T96" s="64">
        <v>84635.96000000021</v>
      </c>
      <c r="U96" s="64">
        <v>84643.680000000211</v>
      </c>
      <c r="V96" s="64">
        <v>84665.440000000206</v>
      </c>
      <c r="W96" s="64">
        <v>84684.130000000208</v>
      </c>
      <c r="X96" s="64">
        <v>84702.180000000211</v>
      </c>
      <c r="Y96" s="64">
        <v>84722.870000000214</v>
      </c>
      <c r="Z96" s="64">
        <v>84722.870000000214</v>
      </c>
      <c r="AA96" s="64">
        <v>84738.730000000214</v>
      </c>
      <c r="AB96" s="64">
        <v>84760.08000000022</v>
      </c>
      <c r="AC96" s="64">
        <v>84781.530000000217</v>
      </c>
      <c r="AD96" s="64">
        <v>84790.900000000212</v>
      </c>
      <c r="AE96" s="64">
        <v>84812.620000000214</v>
      </c>
      <c r="AF96" s="224">
        <v>84833.970000000219</v>
      </c>
      <c r="AG96" s="51">
        <f t="shared" si="2"/>
        <v>84833.970000000219</v>
      </c>
      <c r="AH96" s="44">
        <v>84378.75</v>
      </c>
    </row>
    <row r="97" spans="1:34" x14ac:dyDescent="0.35">
      <c r="A97" s="33" t="s">
        <v>103</v>
      </c>
      <c r="B97" s="223">
        <v>85601.569999999745</v>
      </c>
      <c r="C97" s="64">
        <v>85616.839999999749</v>
      </c>
      <c r="D97" s="64">
        <v>85633.819999999745</v>
      </c>
      <c r="E97" s="64">
        <v>85655.229999999749</v>
      </c>
      <c r="F97" s="64">
        <v>85676.589999999749</v>
      </c>
      <c r="G97" s="64">
        <v>85690.689999999755</v>
      </c>
      <c r="H97" s="64">
        <v>85706.05999999975</v>
      </c>
      <c r="I97" s="64">
        <v>85721.599999999744</v>
      </c>
      <c r="J97" s="64">
        <v>85741.869999999748</v>
      </c>
      <c r="K97" s="64">
        <v>85763.569999999745</v>
      </c>
      <c r="L97" s="64">
        <v>85774.639999999752</v>
      </c>
      <c r="M97" s="64">
        <v>85786.549999999756</v>
      </c>
      <c r="N97" s="64">
        <v>85807.969999999754</v>
      </c>
      <c r="O97" s="64">
        <v>85822.709999999759</v>
      </c>
      <c r="P97" s="64">
        <v>85843.689999999755</v>
      </c>
      <c r="Q97" s="64">
        <v>85859.349999999758</v>
      </c>
      <c r="R97" s="64">
        <v>85859.399999999761</v>
      </c>
      <c r="S97" s="64">
        <v>85859.399999999761</v>
      </c>
      <c r="T97" s="64">
        <v>85864.559999999765</v>
      </c>
      <c r="U97" s="64">
        <v>85864.559999999765</v>
      </c>
      <c r="V97" s="64">
        <v>85876.109999999768</v>
      </c>
      <c r="W97" s="64">
        <v>85882.559999999765</v>
      </c>
      <c r="X97" s="64">
        <v>85885.339999999764</v>
      </c>
      <c r="Y97" s="64">
        <v>85903.419999999765</v>
      </c>
      <c r="Z97" s="64">
        <v>85908.029999999766</v>
      </c>
      <c r="AA97" s="64">
        <v>85908.029999999766</v>
      </c>
      <c r="AB97" s="64">
        <v>85908.029999999766</v>
      </c>
      <c r="AC97" s="64">
        <v>85908.029999999766</v>
      </c>
      <c r="AD97" s="64">
        <v>85908.029999999766</v>
      </c>
      <c r="AE97" s="64">
        <v>85925.459999999759</v>
      </c>
      <c r="AF97" s="224">
        <v>85944.229999999763</v>
      </c>
      <c r="AG97" s="51">
        <f t="shared" si="2"/>
        <v>85944.229999999763</v>
      </c>
      <c r="AH97" s="44">
        <v>85580.34</v>
      </c>
    </row>
    <row r="98" spans="1:34" x14ac:dyDescent="0.35">
      <c r="A98" s="33" t="s">
        <v>104</v>
      </c>
      <c r="B98" s="223">
        <v>83743.360000000292</v>
      </c>
      <c r="C98" s="64">
        <v>83764.710000000297</v>
      </c>
      <c r="D98" s="64">
        <v>83786.130000000296</v>
      </c>
      <c r="E98" s="64">
        <v>83807.730000000302</v>
      </c>
      <c r="F98" s="64">
        <v>83828.800000000309</v>
      </c>
      <c r="G98" s="64">
        <v>83849.850000000311</v>
      </c>
      <c r="H98" s="64">
        <v>83871.110000000306</v>
      </c>
      <c r="I98" s="64">
        <v>83892.350000000311</v>
      </c>
      <c r="J98" s="64">
        <v>83909.070000000313</v>
      </c>
      <c r="K98" s="64">
        <v>83930.040000000314</v>
      </c>
      <c r="L98" s="64">
        <v>83946.930000000313</v>
      </c>
      <c r="M98" s="64">
        <v>83969.190000000308</v>
      </c>
      <c r="N98" s="64">
        <v>83990.490000000311</v>
      </c>
      <c r="O98" s="64">
        <v>84011.820000000313</v>
      </c>
      <c r="P98" s="64">
        <v>84033.370000000315</v>
      </c>
      <c r="Q98" s="64">
        <v>84042.560000000318</v>
      </c>
      <c r="R98" s="64">
        <v>84062.470000000321</v>
      </c>
      <c r="S98" s="64">
        <v>84078.160000000324</v>
      </c>
      <c r="T98" s="64">
        <v>84099.980000000331</v>
      </c>
      <c r="U98" s="64">
        <v>84117.450000000332</v>
      </c>
      <c r="V98" s="64">
        <v>84137.780000000334</v>
      </c>
      <c r="W98" s="64">
        <v>84143.150000000329</v>
      </c>
      <c r="X98" s="64">
        <v>84163.380000000325</v>
      </c>
      <c r="Y98" s="64">
        <v>84185.030000000319</v>
      </c>
      <c r="Z98" s="64">
        <v>84198.700000000317</v>
      </c>
      <c r="AA98" s="64">
        <v>84214.080000000322</v>
      </c>
      <c r="AB98" s="64">
        <v>84233.990000000325</v>
      </c>
      <c r="AC98" s="64">
        <v>84246.87000000033</v>
      </c>
      <c r="AD98" s="64">
        <v>84267.790000000328</v>
      </c>
      <c r="AE98" s="64">
        <v>84288.800000000323</v>
      </c>
      <c r="AF98" s="224">
        <v>84310.220000000321</v>
      </c>
      <c r="AG98" s="51">
        <f t="shared" si="2"/>
        <v>84310.220000000321</v>
      </c>
      <c r="AH98" s="44">
        <v>83724.740000000005</v>
      </c>
    </row>
    <row r="99" spans="1:34" x14ac:dyDescent="0.35">
      <c r="A99" s="33" t="s">
        <v>105</v>
      </c>
      <c r="B99" s="223">
        <v>82232.900000000009</v>
      </c>
      <c r="C99" s="64">
        <v>82243.840000000011</v>
      </c>
      <c r="D99" s="64">
        <v>82259.410000000018</v>
      </c>
      <c r="E99" s="64">
        <v>82279.950000000012</v>
      </c>
      <c r="F99" s="64">
        <v>82285.920000000013</v>
      </c>
      <c r="G99" s="64">
        <v>82299.840000000011</v>
      </c>
      <c r="H99" s="64">
        <v>82315.220000000016</v>
      </c>
      <c r="I99" s="64">
        <v>82328.290000000023</v>
      </c>
      <c r="J99" s="64">
        <v>82340.560000000027</v>
      </c>
      <c r="K99" s="64">
        <v>82344.870000000024</v>
      </c>
      <c r="L99" s="64">
        <v>82345.640000000029</v>
      </c>
      <c r="M99" s="64">
        <v>82347.020000000033</v>
      </c>
      <c r="N99" s="64">
        <v>82347.700000000026</v>
      </c>
      <c r="O99" s="64">
        <v>82348.800000000032</v>
      </c>
      <c r="P99" s="64">
        <v>82367.950000000026</v>
      </c>
      <c r="Q99" s="64">
        <v>82389.710000000021</v>
      </c>
      <c r="R99" s="64">
        <v>82410.620000000024</v>
      </c>
      <c r="S99" s="64">
        <v>82432.210000000021</v>
      </c>
      <c r="T99" s="64">
        <v>82449.960000000021</v>
      </c>
      <c r="U99" s="64">
        <v>82464.85000000002</v>
      </c>
      <c r="V99" s="64">
        <v>82485.810000000027</v>
      </c>
      <c r="W99" s="64">
        <v>82503.050000000032</v>
      </c>
      <c r="X99" s="64">
        <v>82524.430000000037</v>
      </c>
      <c r="Y99" s="64">
        <v>82537.010000000038</v>
      </c>
      <c r="Z99" s="64">
        <v>82552.650000000038</v>
      </c>
      <c r="AA99" s="64">
        <v>82570.810000000041</v>
      </c>
      <c r="AB99" s="64">
        <v>82592.350000000035</v>
      </c>
      <c r="AC99" s="64">
        <v>82613.930000000037</v>
      </c>
      <c r="AD99" s="64">
        <v>82629.760000000038</v>
      </c>
      <c r="AE99" s="64">
        <v>82650.34000000004</v>
      </c>
      <c r="AF99" s="224">
        <v>82671.850000000035</v>
      </c>
      <c r="AG99" s="51">
        <f t="shared" si="2"/>
        <v>82671.850000000035</v>
      </c>
      <c r="AH99" s="44">
        <v>82218.23</v>
      </c>
    </row>
    <row r="100" spans="1:34" x14ac:dyDescent="0.35">
      <c r="A100" s="33" t="s">
        <v>106</v>
      </c>
      <c r="B100" s="223">
        <v>80327.270000000033</v>
      </c>
      <c r="C100" s="64">
        <v>80348.390000000029</v>
      </c>
      <c r="D100" s="64">
        <v>80351.140000000029</v>
      </c>
      <c r="E100" s="64">
        <v>80355.870000000024</v>
      </c>
      <c r="F100" s="64">
        <v>80356.780000000028</v>
      </c>
      <c r="G100" s="64">
        <v>80356.780000000028</v>
      </c>
      <c r="H100" s="64">
        <v>80371.290000000023</v>
      </c>
      <c r="I100" s="64">
        <v>80392.310000000027</v>
      </c>
      <c r="J100" s="64">
        <v>80406.530000000028</v>
      </c>
      <c r="K100" s="64">
        <v>80421.400000000023</v>
      </c>
      <c r="L100" s="64">
        <v>80429.120000000024</v>
      </c>
      <c r="M100" s="64">
        <v>80435.36000000003</v>
      </c>
      <c r="N100" s="64">
        <v>80456.730000000025</v>
      </c>
      <c r="O100" s="64">
        <v>80467.450000000026</v>
      </c>
      <c r="P100" s="64">
        <v>80484.950000000026</v>
      </c>
      <c r="Q100" s="64">
        <v>80505.36000000003</v>
      </c>
      <c r="R100" s="64">
        <v>80518.150000000023</v>
      </c>
      <c r="S100" s="64">
        <v>80539.650000000023</v>
      </c>
      <c r="T100" s="64">
        <v>80560.780000000028</v>
      </c>
      <c r="U100" s="64">
        <v>80582.350000000035</v>
      </c>
      <c r="V100" s="64">
        <v>80603.550000000032</v>
      </c>
      <c r="W100" s="64">
        <v>80622.340000000026</v>
      </c>
      <c r="X100" s="64">
        <v>80626.660000000033</v>
      </c>
      <c r="Y100" s="64">
        <v>80645.210000000036</v>
      </c>
      <c r="Z100" s="64">
        <v>80664.210000000036</v>
      </c>
      <c r="AA100" s="64">
        <v>80681.84000000004</v>
      </c>
      <c r="AB100" s="64">
        <v>80703.510000000038</v>
      </c>
      <c r="AC100" s="64">
        <v>80720.630000000034</v>
      </c>
      <c r="AD100" s="64">
        <v>80736.490000000034</v>
      </c>
      <c r="AE100" s="64">
        <v>80758.210000000036</v>
      </c>
      <c r="AF100" s="224">
        <v>80763.84000000004</v>
      </c>
      <c r="AG100" s="51">
        <f t="shared" ref="AG100:AG106" si="3">MAX(B100:AF100)</f>
        <v>80763.84000000004</v>
      </c>
      <c r="AH100" s="44">
        <v>80323.56</v>
      </c>
    </row>
    <row r="101" spans="1:34" x14ac:dyDescent="0.35">
      <c r="A101" s="33" t="s">
        <v>107</v>
      </c>
      <c r="B101" s="223">
        <v>83593.119999999995</v>
      </c>
      <c r="C101" s="64">
        <v>83610.37</v>
      </c>
      <c r="D101" s="64">
        <v>83630.69</v>
      </c>
      <c r="E101" s="64">
        <v>83652.11</v>
      </c>
      <c r="F101" s="64">
        <v>83670.94</v>
      </c>
      <c r="G101" s="64">
        <v>83690.97</v>
      </c>
      <c r="H101" s="64">
        <v>83709.95</v>
      </c>
      <c r="I101" s="64">
        <v>83730.09</v>
      </c>
      <c r="J101" s="64">
        <v>83749.8</v>
      </c>
      <c r="K101" s="64">
        <v>83765.38</v>
      </c>
      <c r="L101" s="64">
        <v>83787.08</v>
      </c>
      <c r="M101" s="64">
        <v>83798.11</v>
      </c>
      <c r="N101" s="64">
        <v>83819.33</v>
      </c>
      <c r="O101" s="64">
        <v>83840.61</v>
      </c>
      <c r="P101" s="64">
        <v>83861.820000000007</v>
      </c>
      <c r="Q101" s="64">
        <v>83882.820000000007</v>
      </c>
      <c r="R101" s="64">
        <v>83903.340000000011</v>
      </c>
      <c r="S101" s="64">
        <v>83910.470000000016</v>
      </c>
      <c r="T101" s="64">
        <v>83915.250000000015</v>
      </c>
      <c r="U101" s="64">
        <v>83924.760000000009</v>
      </c>
      <c r="V101" s="64">
        <v>83945.750000000015</v>
      </c>
      <c r="W101" s="64">
        <v>83966.810000000012</v>
      </c>
      <c r="X101" s="64">
        <v>83988.24</v>
      </c>
      <c r="Y101" s="64">
        <v>83995.44</v>
      </c>
      <c r="Z101" s="64">
        <v>84007.64</v>
      </c>
      <c r="AA101" s="64">
        <v>84029.29</v>
      </c>
      <c r="AB101" s="64">
        <v>84034.37</v>
      </c>
      <c r="AC101" s="64">
        <v>84034.37</v>
      </c>
      <c r="AD101" s="64">
        <v>84053.319999999992</v>
      </c>
      <c r="AE101" s="64">
        <v>84074.43</v>
      </c>
      <c r="AF101" s="224">
        <v>84087.829999999987</v>
      </c>
      <c r="AG101" s="51">
        <f t="shared" si="3"/>
        <v>84087.829999999987</v>
      </c>
      <c r="AH101" s="44">
        <v>83571.600000000006</v>
      </c>
    </row>
    <row r="102" spans="1:34" x14ac:dyDescent="0.35">
      <c r="A102" s="33" t="s">
        <v>108</v>
      </c>
      <c r="B102" s="223">
        <v>84073.99</v>
      </c>
      <c r="C102" s="64">
        <v>84095.590000000011</v>
      </c>
      <c r="D102" s="64">
        <v>84117.21</v>
      </c>
      <c r="E102" s="64">
        <v>84138.82</v>
      </c>
      <c r="F102" s="64">
        <v>84149.430000000008</v>
      </c>
      <c r="G102" s="64">
        <v>84167.22</v>
      </c>
      <c r="H102" s="64">
        <v>84170.63</v>
      </c>
      <c r="I102" s="64">
        <v>84186.67</v>
      </c>
      <c r="J102" s="64">
        <v>84208.37</v>
      </c>
      <c r="K102" s="64">
        <v>84230.069999999992</v>
      </c>
      <c r="L102" s="64">
        <v>84250.73</v>
      </c>
      <c r="M102" s="64">
        <v>84271.94</v>
      </c>
      <c r="N102" s="64">
        <v>84284.45</v>
      </c>
      <c r="O102" s="64">
        <v>84305.84</v>
      </c>
      <c r="P102" s="64">
        <v>84326.58</v>
      </c>
      <c r="Q102" s="64">
        <v>84347.91</v>
      </c>
      <c r="R102" s="64">
        <v>84369.34</v>
      </c>
      <c r="S102" s="64">
        <v>84390.76</v>
      </c>
      <c r="T102" s="64">
        <v>84412.5</v>
      </c>
      <c r="U102" s="64">
        <v>84431.2</v>
      </c>
      <c r="V102" s="64">
        <v>84452.62</v>
      </c>
      <c r="W102" s="64">
        <v>84473.94</v>
      </c>
      <c r="X102" s="64">
        <v>84495.58</v>
      </c>
      <c r="Y102" s="64">
        <v>84516.89</v>
      </c>
      <c r="Z102" s="64">
        <v>84537.78</v>
      </c>
      <c r="AA102" s="64">
        <v>84559.19</v>
      </c>
      <c r="AB102" s="64">
        <v>84580.88</v>
      </c>
      <c r="AC102" s="64">
        <v>84598.590000000011</v>
      </c>
      <c r="AD102" s="64">
        <v>84620.32</v>
      </c>
      <c r="AE102" s="64">
        <v>84641.94</v>
      </c>
      <c r="AF102" s="224">
        <v>84654.98</v>
      </c>
      <c r="AG102" s="51">
        <f t="shared" si="3"/>
        <v>84654.98</v>
      </c>
      <c r="AH102" s="44">
        <v>84057.66</v>
      </c>
    </row>
    <row r="103" spans="1:34" x14ac:dyDescent="0.35">
      <c r="A103" s="33" t="s">
        <v>109</v>
      </c>
      <c r="B103" s="223">
        <v>83147.100000000137</v>
      </c>
      <c r="C103" s="64">
        <v>83162.470000000132</v>
      </c>
      <c r="D103" s="64">
        <v>83177.380000000136</v>
      </c>
      <c r="E103" s="64">
        <v>83198.570000000138</v>
      </c>
      <c r="F103" s="64">
        <v>83219.990000000136</v>
      </c>
      <c r="G103" s="64">
        <v>83241.090000000142</v>
      </c>
      <c r="H103" s="64">
        <v>83256.880000000136</v>
      </c>
      <c r="I103" s="64">
        <v>83277.740000000136</v>
      </c>
      <c r="J103" s="64">
        <v>83299.310000000143</v>
      </c>
      <c r="K103" s="64">
        <v>83320.870000000141</v>
      </c>
      <c r="L103" s="64">
        <v>83333.210000000137</v>
      </c>
      <c r="M103" s="64">
        <v>83352.850000000137</v>
      </c>
      <c r="N103" s="64">
        <v>83374.180000000139</v>
      </c>
      <c r="O103" s="64">
        <v>83395.460000000137</v>
      </c>
      <c r="P103" s="64">
        <v>83416.90000000014</v>
      </c>
      <c r="Q103" s="64">
        <v>83438.450000000143</v>
      </c>
      <c r="R103" s="64">
        <v>83459.860000000146</v>
      </c>
      <c r="S103" s="64">
        <v>83480.220000000147</v>
      </c>
      <c r="T103" s="64">
        <v>83498.610000000146</v>
      </c>
      <c r="U103" s="64">
        <v>83519.780000000144</v>
      </c>
      <c r="V103" s="64">
        <v>83532.700000000143</v>
      </c>
      <c r="W103" s="64">
        <v>83544.26000000014</v>
      </c>
      <c r="X103" s="64">
        <v>83565.110000000146</v>
      </c>
      <c r="Y103" s="64">
        <v>83586.030000000144</v>
      </c>
      <c r="Z103" s="64">
        <v>83607.580000000147</v>
      </c>
      <c r="AA103" s="64">
        <v>83628.870000000141</v>
      </c>
      <c r="AB103" s="64">
        <v>83646.740000000136</v>
      </c>
      <c r="AC103" s="64">
        <v>83657.970000000132</v>
      </c>
      <c r="AD103" s="64">
        <v>83679.380000000136</v>
      </c>
      <c r="AE103" s="64">
        <v>83700.980000000141</v>
      </c>
      <c r="AF103" s="224">
        <v>83714.240000000136</v>
      </c>
      <c r="AG103" s="51">
        <f t="shared" si="3"/>
        <v>83714.240000000136</v>
      </c>
      <c r="AH103" s="44">
        <v>83125.61</v>
      </c>
    </row>
    <row r="104" spans="1:34" x14ac:dyDescent="0.35">
      <c r="A104" s="33" t="s">
        <v>110</v>
      </c>
      <c r="B104" s="223">
        <v>84439.480000000098</v>
      </c>
      <c r="C104" s="64">
        <v>84444.280000000101</v>
      </c>
      <c r="D104" s="64">
        <v>84462.180000000095</v>
      </c>
      <c r="E104" s="64">
        <v>84483.500000000102</v>
      </c>
      <c r="F104" s="64">
        <v>84504.790000000095</v>
      </c>
      <c r="G104" s="64">
        <v>84525.630000000092</v>
      </c>
      <c r="H104" s="64">
        <v>84538.170000000086</v>
      </c>
      <c r="I104" s="64">
        <v>84538.170000000086</v>
      </c>
      <c r="J104" s="64">
        <v>84538.170000000086</v>
      </c>
      <c r="K104" s="64">
        <v>84552.370000000083</v>
      </c>
      <c r="L104" s="64">
        <v>84573.060000000085</v>
      </c>
      <c r="M104" s="64">
        <v>84591.55000000009</v>
      </c>
      <c r="N104" s="64">
        <v>84613.000000000087</v>
      </c>
      <c r="O104" s="64">
        <v>84633.93000000008</v>
      </c>
      <c r="P104" s="64">
        <v>84655.520000000077</v>
      </c>
      <c r="Q104" s="64">
        <v>84676.32000000008</v>
      </c>
      <c r="R104" s="64">
        <v>84697.520000000077</v>
      </c>
      <c r="S104" s="64">
        <v>84704.95000000007</v>
      </c>
      <c r="T104" s="64">
        <v>84725.720000000074</v>
      </c>
      <c r="U104" s="64">
        <v>84745.06000000007</v>
      </c>
      <c r="V104" s="64">
        <v>84766.790000000066</v>
      </c>
      <c r="W104" s="64">
        <v>84777.280000000072</v>
      </c>
      <c r="X104" s="64">
        <v>84798.70000000007</v>
      </c>
      <c r="Y104" s="64">
        <v>84805.070000000065</v>
      </c>
      <c r="Z104" s="64">
        <v>84820.320000000065</v>
      </c>
      <c r="AA104" s="64">
        <v>84840.980000000069</v>
      </c>
      <c r="AB104" s="64">
        <v>84862.320000000065</v>
      </c>
      <c r="AC104" s="64">
        <v>84878.540000000066</v>
      </c>
      <c r="AD104" s="64">
        <v>84883.260000000068</v>
      </c>
      <c r="AE104" s="64">
        <v>84904.81000000007</v>
      </c>
      <c r="AF104" s="224">
        <v>84926.250000000073</v>
      </c>
      <c r="AG104" s="51">
        <f t="shared" si="3"/>
        <v>84926.250000000073</v>
      </c>
      <c r="AH104" s="44">
        <v>84419.1</v>
      </c>
    </row>
    <row r="105" spans="1:34" x14ac:dyDescent="0.35">
      <c r="A105" s="33" t="s">
        <v>111</v>
      </c>
      <c r="B105" s="223">
        <v>76002.530000000086</v>
      </c>
      <c r="C105" s="64">
        <v>76023.710000000079</v>
      </c>
      <c r="D105" s="64">
        <v>76044.150000000081</v>
      </c>
      <c r="E105" s="64">
        <v>76065.270000000077</v>
      </c>
      <c r="F105" s="64">
        <v>76085.410000000076</v>
      </c>
      <c r="G105" s="64">
        <v>76106.550000000076</v>
      </c>
      <c r="H105" s="64">
        <v>76120.040000000081</v>
      </c>
      <c r="I105" s="64">
        <v>76130.530000000086</v>
      </c>
      <c r="J105" s="64">
        <v>76138.68000000008</v>
      </c>
      <c r="K105" s="64">
        <v>76159.160000000076</v>
      </c>
      <c r="L105" s="64">
        <v>76180.540000000081</v>
      </c>
      <c r="M105" s="64">
        <v>76190.560000000085</v>
      </c>
      <c r="N105" s="64">
        <v>76206.540000000081</v>
      </c>
      <c r="O105" s="64">
        <v>76227.980000000083</v>
      </c>
      <c r="P105" s="64">
        <v>76231.990000000078</v>
      </c>
      <c r="Q105" s="64">
        <v>76233.510000000082</v>
      </c>
      <c r="R105" s="64">
        <v>76254.160000000076</v>
      </c>
      <c r="S105" s="64">
        <v>76275.410000000076</v>
      </c>
      <c r="T105" s="64">
        <v>76292.760000000082</v>
      </c>
      <c r="U105" s="64">
        <v>76314.390000000087</v>
      </c>
      <c r="V105" s="64">
        <v>76335.500000000087</v>
      </c>
      <c r="W105" s="64">
        <v>76354.620000000083</v>
      </c>
      <c r="X105" s="64">
        <v>76365.640000000087</v>
      </c>
      <c r="Y105" s="64">
        <v>76385.290000000081</v>
      </c>
      <c r="Z105" s="64">
        <v>76406.580000000075</v>
      </c>
      <c r="AA105" s="64">
        <v>76425.340000000069</v>
      </c>
      <c r="AB105" s="64">
        <v>76446.95000000007</v>
      </c>
      <c r="AC105" s="64">
        <v>76447.270000000077</v>
      </c>
      <c r="AD105" s="64">
        <v>76468.18000000008</v>
      </c>
      <c r="AE105" s="64">
        <v>76485.510000000082</v>
      </c>
      <c r="AF105" s="224">
        <v>76506.940000000075</v>
      </c>
      <c r="AG105" s="51">
        <f t="shared" si="3"/>
        <v>76506.940000000075</v>
      </c>
      <c r="AH105" s="44">
        <v>75980.45</v>
      </c>
    </row>
    <row r="106" spans="1:34" ht="15" thickBot="1" x14ac:dyDescent="0.4">
      <c r="A106" s="34" t="s">
        <v>112</v>
      </c>
      <c r="B106" s="225">
        <v>84149.77</v>
      </c>
      <c r="C106" s="226">
        <v>84171.46</v>
      </c>
      <c r="D106" s="226">
        <v>84185.310000000012</v>
      </c>
      <c r="E106" s="226">
        <v>84197.800000000017</v>
      </c>
      <c r="F106" s="226">
        <v>84208.73000000001</v>
      </c>
      <c r="G106" s="226">
        <v>84223.500000000015</v>
      </c>
      <c r="H106" s="226">
        <v>84242.710000000021</v>
      </c>
      <c r="I106" s="226">
        <v>84264.24000000002</v>
      </c>
      <c r="J106" s="226">
        <v>84285.630000000019</v>
      </c>
      <c r="K106" s="226">
        <v>84307.260000000024</v>
      </c>
      <c r="L106" s="226">
        <v>84327.050000000017</v>
      </c>
      <c r="M106" s="226">
        <v>84332.910000000018</v>
      </c>
      <c r="N106" s="226">
        <v>84348.880000000019</v>
      </c>
      <c r="O106" s="226">
        <v>84369.830000000016</v>
      </c>
      <c r="P106" s="226">
        <v>84384.700000000012</v>
      </c>
      <c r="Q106" s="226">
        <v>84394.550000000017</v>
      </c>
      <c r="R106" s="226">
        <v>84399.310000000012</v>
      </c>
      <c r="S106" s="226">
        <v>84415.180000000008</v>
      </c>
      <c r="T106" s="226">
        <v>84431.680000000008</v>
      </c>
      <c r="U106" s="226">
        <v>84447.32</v>
      </c>
      <c r="V106" s="226">
        <v>84461.790000000008</v>
      </c>
      <c r="W106" s="226">
        <v>84479.590000000011</v>
      </c>
      <c r="X106" s="226">
        <v>84496.340000000011</v>
      </c>
      <c r="Y106" s="226">
        <v>84516.800000000017</v>
      </c>
      <c r="Z106" s="226">
        <v>84520.270000000019</v>
      </c>
      <c r="AA106" s="226">
        <v>84520.270000000019</v>
      </c>
      <c r="AB106" s="226">
        <v>84520.270000000019</v>
      </c>
      <c r="AC106" s="226">
        <v>84526.510000000024</v>
      </c>
      <c r="AD106" s="226">
        <v>84536.330000000031</v>
      </c>
      <c r="AE106" s="226">
        <v>84548.450000000026</v>
      </c>
      <c r="AF106" s="227">
        <v>84562.140000000029</v>
      </c>
      <c r="AG106" s="52">
        <f t="shared" si="3"/>
        <v>84562.140000000029</v>
      </c>
      <c r="AH106" s="44">
        <v>84134.03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45505</v>
      </c>
      <c r="C108" s="46">
        <v>45506</v>
      </c>
      <c r="D108" s="46">
        <v>45507</v>
      </c>
      <c r="E108" s="46">
        <v>45508</v>
      </c>
      <c r="F108" s="46">
        <v>45509</v>
      </c>
      <c r="G108" s="46">
        <v>45510</v>
      </c>
      <c r="H108" s="46">
        <v>45511</v>
      </c>
      <c r="I108" s="46">
        <v>45512</v>
      </c>
      <c r="J108" s="46">
        <v>45513</v>
      </c>
      <c r="K108" s="46">
        <v>45514</v>
      </c>
      <c r="L108" s="46">
        <v>45515</v>
      </c>
      <c r="M108" s="46">
        <v>45516</v>
      </c>
      <c r="N108" s="46">
        <v>45517</v>
      </c>
      <c r="O108" s="46">
        <v>45518</v>
      </c>
      <c r="P108" s="46">
        <v>45519</v>
      </c>
      <c r="Q108" s="46">
        <v>45520</v>
      </c>
      <c r="R108" s="46">
        <v>45521</v>
      </c>
      <c r="S108" s="46">
        <v>45522</v>
      </c>
      <c r="T108" s="46">
        <v>45523</v>
      </c>
      <c r="U108" s="46">
        <v>45524</v>
      </c>
      <c r="V108" s="46">
        <v>45525</v>
      </c>
      <c r="W108" s="46">
        <v>45526</v>
      </c>
      <c r="X108" s="46">
        <v>45527</v>
      </c>
      <c r="Y108" s="46">
        <v>45528</v>
      </c>
      <c r="Z108" s="46">
        <v>45529</v>
      </c>
      <c r="AA108" s="46">
        <v>45530</v>
      </c>
      <c r="AB108" s="46">
        <v>45531</v>
      </c>
      <c r="AC108" s="46">
        <v>45532</v>
      </c>
      <c r="AD108" s="46">
        <v>45533</v>
      </c>
      <c r="AE108" s="46">
        <v>45534</v>
      </c>
      <c r="AF108" s="49">
        <v>45535</v>
      </c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228">
        <v>40333.669999999984</v>
      </c>
      <c r="C109" s="221">
        <v>40355.539999999986</v>
      </c>
      <c r="D109" s="221">
        <v>40372.979999999989</v>
      </c>
      <c r="E109" s="221">
        <v>40372.979999999989</v>
      </c>
      <c r="F109" s="221">
        <v>40389.19999999999</v>
      </c>
      <c r="G109" s="221">
        <v>40410.119999999988</v>
      </c>
      <c r="H109" s="221">
        <v>40431.339999999989</v>
      </c>
      <c r="I109" s="221">
        <v>40452.789999999986</v>
      </c>
      <c r="J109" s="221">
        <v>40474.119999999988</v>
      </c>
      <c r="K109" s="221">
        <v>40495.349999999991</v>
      </c>
      <c r="L109" s="221">
        <v>40509.789999999994</v>
      </c>
      <c r="M109" s="221">
        <v>40525.479999999996</v>
      </c>
      <c r="N109" s="221">
        <v>40547.119999999995</v>
      </c>
      <c r="O109" s="221">
        <v>40557.679999999993</v>
      </c>
      <c r="P109" s="221">
        <v>40568.739999999991</v>
      </c>
      <c r="Q109" s="221">
        <v>40570.829999999987</v>
      </c>
      <c r="R109" s="221">
        <v>40584.80999999999</v>
      </c>
      <c r="S109" s="221">
        <v>40604.87999999999</v>
      </c>
      <c r="T109" s="221">
        <v>40614.939999999988</v>
      </c>
      <c r="U109" s="221">
        <v>40627.539999999986</v>
      </c>
      <c r="V109" s="221">
        <v>40649.219999999987</v>
      </c>
      <c r="W109" s="221">
        <v>40666.409999999989</v>
      </c>
      <c r="X109" s="221">
        <v>40671.429999999986</v>
      </c>
      <c r="Y109" s="221">
        <v>40686.419999999984</v>
      </c>
      <c r="Z109" s="221">
        <v>40692.899999999987</v>
      </c>
      <c r="AA109" s="221">
        <v>40700.37999999999</v>
      </c>
      <c r="AB109" s="221">
        <v>40708.919999999991</v>
      </c>
      <c r="AC109" s="221">
        <v>40725.26999999999</v>
      </c>
      <c r="AD109" s="221">
        <v>40745.369999999988</v>
      </c>
      <c r="AE109" s="221">
        <v>40767.109999999986</v>
      </c>
      <c r="AF109" s="229">
        <v>40788.429999999986</v>
      </c>
      <c r="AG109" s="51">
        <f t="shared" ref="AG109:AG124" si="4">MAX(B109:AF109)</f>
        <v>40788.429999999986</v>
      </c>
      <c r="AH109" s="44">
        <v>40311.71</v>
      </c>
    </row>
    <row r="110" spans="1:34" x14ac:dyDescent="0.35">
      <c r="A110" s="26" t="s">
        <v>114</v>
      </c>
      <c r="B110" s="77">
        <v>40602.580000000118</v>
      </c>
      <c r="C110" s="64">
        <v>40624.320000000116</v>
      </c>
      <c r="D110" s="64">
        <v>40635.360000000117</v>
      </c>
      <c r="E110" s="64">
        <v>40657.260000000118</v>
      </c>
      <c r="F110" s="64">
        <v>40668.070000000116</v>
      </c>
      <c r="G110" s="64">
        <v>40689.680000000117</v>
      </c>
      <c r="H110" s="64">
        <v>40710.930000000117</v>
      </c>
      <c r="I110" s="64">
        <v>40732.570000000116</v>
      </c>
      <c r="J110" s="64">
        <v>40753.440000000119</v>
      </c>
      <c r="K110" s="64">
        <v>40774.330000000118</v>
      </c>
      <c r="L110" s="64">
        <v>40791.320000000116</v>
      </c>
      <c r="M110" s="64">
        <v>40800.780000000115</v>
      </c>
      <c r="N110" s="64">
        <v>40809.660000000113</v>
      </c>
      <c r="O110" s="64">
        <v>40829.400000000111</v>
      </c>
      <c r="P110" s="64">
        <v>40844.490000000107</v>
      </c>
      <c r="Q110" s="64">
        <v>40855.04000000011</v>
      </c>
      <c r="R110" s="64">
        <v>40874.880000000107</v>
      </c>
      <c r="S110" s="64">
        <v>40886.270000000106</v>
      </c>
      <c r="T110" s="64">
        <v>40887.700000000106</v>
      </c>
      <c r="U110" s="64">
        <v>40908.520000000106</v>
      </c>
      <c r="V110" s="64">
        <v>40929.570000000109</v>
      </c>
      <c r="W110" s="64">
        <v>40942.430000000109</v>
      </c>
      <c r="X110" s="64">
        <v>40958.320000000109</v>
      </c>
      <c r="Y110" s="64">
        <v>40975.190000000111</v>
      </c>
      <c r="Z110" s="64">
        <v>40993.430000000109</v>
      </c>
      <c r="AA110" s="64">
        <v>41013.430000000109</v>
      </c>
      <c r="AB110" s="64">
        <v>41030.240000000107</v>
      </c>
      <c r="AC110" s="64">
        <v>41045.61000000011</v>
      </c>
      <c r="AD110" s="64">
        <v>41055.910000000113</v>
      </c>
      <c r="AE110" s="64">
        <v>41077.590000000113</v>
      </c>
      <c r="AF110" s="55">
        <v>41099.420000000115</v>
      </c>
      <c r="AG110" s="51">
        <f t="shared" si="4"/>
        <v>41099.420000000115</v>
      </c>
      <c r="AH110" s="44">
        <v>40593.18</v>
      </c>
    </row>
    <row r="111" spans="1:34" x14ac:dyDescent="0.35">
      <c r="A111" s="26" t="s">
        <v>115</v>
      </c>
      <c r="B111" s="77">
        <v>36007.259999999995</v>
      </c>
      <c r="C111" s="64">
        <v>36007.259999999995</v>
      </c>
      <c r="D111" s="64">
        <v>36010.429999999993</v>
      </c>
      <c r="E111" s="64">
        <v>36032.069999999992</v>
      </c>
      <c r="F111" s="64">
        <v>36053.689999999995</v>
      </c>
      <c r="G111" s="64">
        <v>36074.92</v>
      </c>
      <c r="H111" s="64">
        <v>36094.589999999997</v>
      </c>
      <c r="I111" s="64">
        <v>36097.009999999995</v>
      </c>
      <c r="J111" s="64">
        <v>36097.009999999995</v>
      </c>
      <c r="K111" s="64">
        <v>36097.009999999995</v>
      </c>
      <c r="L111" s="64">
        <v>36111.579999999994</v>
      </c>
      <c r="M111" s="64">
        <v>36123.129999999997</v>
      </c>
      <c r="N111" s="64">
        <v>36145.049999999996</v>
      </c>
      <c r="O111" s="64">
        <v>36156.079999999994</v>
      </c>
      <c r="P111" s="64">
        <v>36165.459999999992</v>
      </c>
      <c r="Q111" s="64">
        <v>36182.899999999994</v>
      </c>
      <c r="R111" s="64">
        <v>36203.599999999991</v>
      </c>
      <c r="S111" s="64">
        <v>36223.279999999992</v>
      </c>
      <c r="T111" s="64">
        <v>36234.649999999994</v>
      </c>
      <c r="U111" s="64">
        <v>36256.31</v>
      </c>
      <c r="V111" s="64">
        <v>36277.229999999996</v>
      </c>
      <c r="W111" s="64">
        <v>36298.559999999998</v>
      </c>
      <c r="X111" s="64">
        <v>36319.99</v>
      </c>
      <c r="Y111" s="64">
        <v>36341.449999999997</v>
      </c>
      <c r="Z111" s="64">
        <v>36354.53</v>
      </c>
      <c r="AA111" s="64">
        <v>36375.82</v>
      </c>
      <c r="AB111" s="64">
        <v>36391.870000000003</v>
      </c>
      <c r="AC111" s="64">
        <v>36402.920000000006</v>
      </c>
      <c r="AD111" s="64">
        <v>36404.130000000005</v>
      </c>
      <c r="AE111" s="64">
        <v>36404.130000000005</v>
      </c>
      <c r="AF111" s="55">
        <v>36404.130000000005</v>
      </c>
      <c r="AG111" s="51">
        <f t="shared" si="4"/>
        <v>36404.130000000005</v>
      </c>
      <c r="AH111" s="44">
        <v>35987.85</v>
      </c>
    </row>
    <row r="112" spans="1:34" x14ac:dyDescent="0.35">
      <c r="A112" s="26" t="s">
        <v>116</v>
      </c>
      <c r="B112" s="77">
        <v>35922.469999999936</v>
      </c>
      <c r="C112" s="64">
        <v>35929.809999999932</v>
      </c>
      <c r="D112" s="64">
        <v>35940.769999999931</v>
      </c>
      <c r="E112" s="64">
        <v>35951.779999999933</v>
      </c>
      <c r="F112" s="64">
        <v>35962.899999999936</v>
      </c>
      <c r="G112" s="64">
        <v>35984.459999999934</v>
      </c>
      <c r="H112" s="64">
        <v>35999.47999999993</v>
      </c>
      <c r="I112" s="64">
        <v>36009.259999999929</v>
      </c>
      <c r="J112" s="64">
        <v>36009.259999999929</v>
      </c>
      <c r="K112" s="64">
        <v>36029.879999999932</v>
      </c>
      <c r="L112" s="64">
        <v>36051.449999999932</v>
      </c>
      <c r="M112" s="64">
        <v>36072.919999999933</v>
      </c>
      <c r="N112" s="64">
        <v>36094.04999999993</v>
      </c>
      <c r="O112" s="64">
        <v>36111.559999999932</v>
      </c>
      <c r="P112" s="64">
        <v>36122.769999999931</v>
      </c>
      <c r="Q112" s="64">
        <v>36135.389999999934</v>
      </c>
      <c r="R112" s="64">
        <v>36152.209999999934</v>
      </c>
      <c r="S112" s="64">
        <v>36170.22999999993</v>
      </c>
      <c r="T112" s="64">
        <v>36190.409999999931</v>
      </c>
      <c r="U112" s="64">
        <v>36201.699999999932</v>
      </c>
      <c r="V112" s="64">
        <v>36222.499999999935</v>
      </c>
      <c r="W112" s="64">
        <v>36244.259999999937</v>
      </c>
      <c r="X112" s="64">
        <v>36265.449999999939</v>
      </c>
      <c r="Y112" s="64">
        <v>36282.499999999942</v>
      </c>
      <c r="Z112" s="64">
        <v>36297.529999999941</v>
      </c>
      <c r="AA112" s="64">
        <v>36319.299999999937</v>
      </c>
      <c r="AB112" s="64">
        <v>36340.779999999941</v>
      </c>
      <c r="AC112" s="64">
        <v>36362.209999999941</v>
      </c>
      <c r="AD112" s="64">
        <v>36369.109999999942</v>
      </c>
      <c r="AE112" s="64">
        <v>36379.719999999943</v>
      </c>
      <c r="AF112" s="55">
        <v>36400.689999999944</v>
      </c>
      <c r="AG112" s="51">
        <f t="shared" si="4"/>
        <v>36400.689999999944</v>
      </c>
      <c r="AH112" s="44">
        <v>35912.69</v>
      </c>
    </row>
    <row r="113" spans="1:34" x14ac:dyDescent="0.35">
      <c r="A113" s="26" t="s">
        <v>117</v>
      </c>
      <c r="B113" s="77">
        <v>34963.96</v>
      </c>
      <c r="C113" s="64">
        <v>34985.879999999997</v>
      </c>
      <c r="D113" s="64">
        <v>35001.129999999997</v>
      </c>
      <c r="E113" s="64">
        <v>35021.839999999997</v>
      </c>
      <c r="F113" s="64">
        <v>35032.409999999996</v>
      </c>
      <c r="G113" s="64">
        <v>35043.35</v>
      </c>
      <c r="H113" s="64">
        <v>35061.689999999995</v>
      </c>
      <c r="I113" s="64">
        <v>35083.31</v>
      </c>
      <c r="J113" s="64">
        <v>35099.119999999995</v>
      </c>
      <c r="K113" s="64">
        <v>35120.469999999994</v>
      </c>
      <c r="L113" s="64">
        <v>35138.979999999996</v>
      </c>
      <c r="M113" s="64">
        <v>35156.289999999994</v>
      </c>
      <c r="N113" s="64">
        <v>35166.209999999992</v>
      </c>
      <c r="O113" s="64">
        <v>35178.589999999989</v>
      </c>
      <c r="P113" s="64">
        <v>35192.12999999999</v>
      </c>
      <c r="Q113" s="64">
        <v>35201.049999999988</v>
      </c>
      <c r="R113" s="64">
        <v>35201.049999999988</v>
      </c>
      <c r="S113" s="64">
        <v>35211.969999999987</v>
      </c>
      <c r="T113" s="64">
        <v>35231.19999999999</v>
      </c>
      <c r="U113" s="64">
        <v>35245.569999999992</v>
      </c>
      <c r="V113" s="64">
        <v>35265.249999999993</v>
      </c>
      <c r="W113" s="64">
        <v>35281.889999999992</v>
      </c>
      <c r="X113" s="64">
        <v>35303.55999999999</v>
      </c>
      <c r="Y113" s="64">
        <v>35324.919999999991</v>
      </c>
      <c r="Z113" s="64">
        <v>35345.979999999989</v>
      </c>
      <c r="AA113" s="64">
        <v>35365.999999999985</v>
      </c>
      <c r="AB113" s="64">
        <v>35387.619999999988</v>
      </c>
      <c r="AC113" s="64">
        <v>35389.219999999987</v>
      </c>
      <c r="AD113" s="64">
        <v>35393.809999999983</v>
      </c>
      <c r="AE113" s="64">
        <v>35415.469999999987</v>
      </c>
      <c r="AF113" s="55">
        <v>35423.909999999989</v>
      </c>
      <c r="AG113" s="51">
        <f t="shared" si="4"/>
        <v>35423.909999999989</v>
      </c>
      <c r="AH113" s="44">
        <v>34945.410000000003</v>
      </c>
    </row>
    <row r="114" spans="1:34" x14ac:dyDescent="0.35">
      <c r="A114" s="26" t="s">
        <v>118</v>
      </c>
      <c r="B114" s="77">
        <v>26648.120000000024</v>
      </c>
      <c r="C114" s="64">
        <v>26656.160000000025</v>
      </c>
      <c r="D114" s="64">
        <v>26674.840000000026</v>
      </c>
      <c r="E114" s="64">
        <v>26696.500000000025</v>
      </c>
      <c r="F114" s="64">
        <v>26717.800000000025</v>
      </c>
      <c r="G114" s="64">
        <v>26736.580000000024</v>
      </c>
      <c r="H114" s="64">
        <v>26741.490000000023</v>
      </c>
      <c r="I114" s="64">
        <v>26752.730000000025</v>
      </c>
      <c r="J114" s="64">
        <v>26760.300000000025</v>
      </c>
      <c r="K114" s="64">
        <v>26774.150000000023</v>
      </c>
      <c r="L114" s="64">
        <v>26783.780000000024</v>
      </c>
      <c r="M114" s="64">
        <v>26803.820000000025</v>
      </c>
      <c r="N114" s="64">
        <v>26808.590000000026</v>
      </c>
      <c r="O114" s="64">
        <v>26823.630000000026</v>
      </c>
      <c r="P114" s="64">
        <v>26837.690000000028</v>
      </c>
      <c r="Q114" s="64">
        <v>26859.340000000029</v>
      </c>
      <c r="R114" s="64">
        <v>26875.650000000031</v>
      </c>
      <c r="S114" s="64">
        <v>26886.640000000032</v>
      </c>
      <c r="T114" s="64">
        <v>26897.530000000032</v>
      </c>
      <c r="U114" s="64">
        <v>26914.080000000031</v>
      </c>
      <c r="V114" s="64">
        <v>26932.70000000003</v>
      </c>
      <c r="W114" s="64">
        <v>26948.20000000003</v>
      </c>
      <c r="X114" s="64">
        <v>26969.500000000029</v>
      </c>
      <c r="Y114" s="64">
        <v>26990.510000000028</v>
      </c>
      <c r="Z114" s="64">
        <v>27010.510000000028</v>
      </c>
      <c r="AA114" s="64">
        <v>27025.130000000026</v>
      </c>
      <c r="AB114" s="64">
        <v>27046.300000000025</v>
      </c>
      <c r="AC114" s="64">
        <v>27065.540000000026</v>
      </c>
      <c r="AD114" s="64">
        <v>27083.630000000026</v>
      </c>
      <c r="AE114" s="64">
        <v>27088.040000000026</v>
      </c>
      <c r="AF114" s="55">
        <v>27109.330000000027</v>
      </c>
      <c r="AG114" s="51">
        <f t="shared" si="4"/>
        <v>27109.330000000027</v>
      </c>
      <c r="AH114" s="44">
        <v>26626.639999999999</v>
      </c>
    </row>
    <row r="115" spans="1:34" x14ac:dyDescent="0.35">
      <c r="A115" s="26" t="s">
        <v>119</v>
      </c>
      <c r="B115" s="77">
        <v>25442.780000000006</v>
      </c>
      <c r="C115" s="64">
        <v>25464.210000000006</v>
      </c>
      <c r="D115" s="64">
        <v>25485.070000000007</v>
      </c>
      <c r="E115" s="64">
        <v>25493.880000000008</v>
      </c>
      <c r="F115" s="64">
        <v>25504.610000000008</v>
      </c>
      <c r="G115" s="64">
        <v>25525.340000000007</v>
      </c>
      <c r="H115" s="64">
        <v>25546.590000000007</v>
      </c>
      <c r="I115" s="64">
        <v>25568.130000000008</v>
      </c>
      <c r="J115" s="64">
        <v>25588.990000000009</v>
      </c>
      <c r="K115" s="64">
        <v>25604.970000000008</v>
      </c>
      <c r="L115" s="64">
        <v>25626.44000000001</v>
      </c>
      <c r="M115" s="64">
        <v>25646.700000000008</v>
      </c>
      <c r="N115" s="64">
        <v>25660.670000000009</v>
      </c>
      <c r="O115" s="64">
        <v>25682.360000000008</v>
      </c>
      <c r="P115" s="64">
        <v>25700.160000000007</v>
      </c>
      <c r="Q115" s="64">
        <v>25721.800000000007</v>
      </c>
      <c r="R115" s="64">
        <v>25743.300000000007</v>
      </c>
      <c r="S115" s="64">
        <v>25759.770000000008</v>
      </c>
      <c r="T115" s="64">
        <v>25774.630000000008</v>
      </c>
      <c r="U115" s="64">
        <v>25792.810000000009</v>
      </c>
      <c r="V115" s="64">
        <v>25814.37000000001</v>
      </c>
      <c r="W115" s="64">
        <v>25835.430000000011</v>
      </c>
      <c r="X115" s="64">
        <v>25856.510000000013</v>
      </c>
      <c r="Y115" s="64">
        <v>25877.890000000014</v>
      </c>
      <c r="Z115" s="64">
        <v>25899.150000000012</v>
      </c>
      <c r="AA115" s="64">
        <v>25919.240000000013</v>
      </c>
      <c r="AB115" s="64">
        <v>25932.390000000014</v>
      </c>
      <c r="AC115" s="64">
        <v>25947.190000000013</v>
      </c>
      <c r="AD115" s="64">
        <v>25968.970000000012</v>
      </c>
      <c r="AE115" s="64">
        <v>25990.130000000012</v>
      </c>
      <c r="AF115" s="55">
        <v>26011.560000000012</v>
      </c>
      <c r="AG115" s="51">
        <f t="shared" si="4"/>
        <v>26011.560000000012</v>
      </c>
      <c r="AH115" s="44">
        <v>25425.03</v>
      </c>
    </row>
    <row r="116" spans="1:34" x14ac:dyDescent="0.35">
      <c r="A116" s="26" t="s">
        <v>120</v>
      </c>
      <c r="B116" s="77">
        <v>25474.790000000034</v>
      </c>
      <c r="C116" s="64">
        <v>25496.080000000034</v>
      </c>
      <c r="D116" s="64">
        <v>25517.750000000033</v>
      </c>
      <c r="E116" s="64">
        <v>25537.620000000032</v>
      </c>
      <c r="F116" s="64">
        <v>25559.22000000003</v>
      </c>
      <c r="G116" s="64">
        <v>25580.510000000031</v>
      </c>
      <c r="H116" s="64">
        <v>25602.13000000003</v>
      </c>
      <c r="I116" s="64">
        <v>25623.72000000003</v>
      </c>
      <c r="J116" s="64">
        <v>25645.29000000003</v>
      </c>
      <c r="K116" s="64">
        <v>25666.86000000003</v>
      </c>
      <c r="L116" s="64">
        <v>25678.260000000031</v>
      </c>
      <c r="M116" s="64">
        <v>25698.900000000031</v>
      </c>
      <c r="N116" s="64">
        <v>25720.160000000029</v>
      </c>
      <c r="O116" s="64">
        <v>25741.63000000003</v>
      </c>
      <c r="P116" s="64">
        <v>25762.740000000031</v>
      </c>
      <c r="Q116" s="64">
        <v>25784.210000000032</v>
      </c>
      <c r="R116" s="64">
        <v>25805.610000000033</v>
      </c>
      <c r="S116" s="64">
        <v>25826.590000000033</v>
      </c>
      <c r="T116" s="64">
        <v>25846.790000000034</v>
      </c>
      <c r="U116" s="64">
        <v>25855.310000000034</v>
      </c>
      <c r="V116" s="64">
        <v>25877.020000000033</v>
      </c>
      <c r="W116" s="64">
        <v>25893.280000000032</v>
      </c>
      <c r="X116" s="64">
        <v>25899.920000000031</v>
      </c>
      <c r="Y116" s="64">
        <v>25899.920000000031</v>
      </c>
      <c r="Z116" s="64">
        <v>25899.920000000031</v>
      </c>
      <c r="AA116" s="64">
        <v>25899.920000000031</v>
      </c>
      <c r="AB116" s="64">
        <v>25899.920000000031</v>
      </c>
      <c r="AC116" s="64">
        <v>25912.920000000031</v>
      </c>
      <c r="AD116" s="64">
        <v>25934.180000000029</v>
      </c>
      <c r="AE116" s="64">
        <v>25956.02000000003</v>
      </c>
      <c r="AF116" s="55">
        <v>25973.680000000029</v>
      </c>
      <c r="AG116" s="51">
        <f t="shared" si="4"/>
        <v>25973.680000000029</v>
      </c>
      <c r="AH116" s="44">
        <v>25453.33</v>
      </c>
    </row>
    <row r="117" spans="1:34" x14ac:dyDescent="0.35">
      <c r="A117" s="26" t="s">
        <v>121</v>
      </c>
      <c r="B117" s="77">
        <v>25211.419999999995</v>
      </c>
      <c r="C117" s="64">
        <v>25221.789999999994</v>
      </c>
      <c r="D117" s="64">
        <v>25233.769999999993</v>
      </c>
      <c r="E117" s="64">
        <v>25234.119999999992</v>
      </c>
      <c r="F117" s="64">
        <v>25240.119999999992</v>
      </c>
      <c r="G117" s="64">
        <v>25257.829999999991</v>
      </c>
      <c r="H117" s="64">
        <v>25277.569999999992</v>
      </c>
      <c r="I117" s="64">
        <v>25298.869999999992</v>
      </c>
      <c r="J117" s="64">
        <v>25317.699999999993</v>
      </c>
      <c r="K117" s="64">
        <v>25339.019999999993</v>
      </c>
      <c r="L117" s="64">
        <v>25355.369999999992</v>
      </c>
      <c r="M117" s="64">
        <v>25363.439999999991</v>
      </c>
      <c r="N117" s="64">
        <v>25384.959999999992</v>
      </c>
      <c r="O117" s="64">
        <v>25392.779999999992</v>
      </c>
      <c r="P117" s="64">
        <v>25414.659999999993</v>
      </c>
      <c r="Q117" s="64">
        <v>25436.939999999991</v>
      </c>
      <c r="R117" s="64">
        <v>25459.139999999992</v>
      </c>
      <c r="S117" s="64">
        <v>25477.209999999992</v>
      </c>
      <c r="T117" s="64">
        <v>25498.799999999992</v>
      </c>
      <c r="U117" s="64">
        <v>25517.889999999992</v>
      </c>
      <c r="V117" s="64">
        <v>25537.849999999991</v>
      </c>
      <c r="W117" s="64">
        <v>25559.369999999992</v>
      </c>
      <c r="X117" s="64">
        <v>25580.869999999992</v>
      </c>
      <c r="Y117" s="64">
        <v>25602.279999999992</v>
      </c>
      <c r="Z117" s="64">
        <v>25623.69999999999</v>
      </c>
      <c r="AA117" s="64">
        <v>25641.909999999989</v>
      </c>
      <c r="AB117" s="64">
        <v>25662.239999999991</v>
      </c>
      <c r="AC117" s="64">
        <v>25674.62999999999</v>
      </c>
      <c r="AD117" s="64">
        <v>25691.889999999989</v>
      </c>
      <c r="AE117" s="64">
        <v>25706.03999999999</v>
      </c>
      <c r="AF117" s="55">
        <v>25720.389999999989</v>
      </c>
      <c r="AG117" s="51">
        <f t="shared" si="4"/>
        <v>25720.389999999989</v>
      </c>
      <c r="AH117" s="44">
        <v>25197</v>
      </c>
    </row>
    <row r="118" spans="1:34" x14ac:dyDescent="0.35">
      <c r="A118" s="26" t="s">
        <v>122</v>
      </c>
      <c r="B118" s="77">
        <v>7195.0199999999968</v>
      </c>
      <c r="C118" s="64">
        <v>7216.5599999999968</v>
      </c>
      <c r="D118" s="64">
        <v>7238.1599999999971</v>
      </c>
      <c r="E118" s="64">
        <v>7256.0499999999975</v>
      </c>
      <c r="F118" s="64">
        <v>7276.5999999999976</v>
      </c>
      <c r="G118" s="64">
        <v>7290.5899999999974</v>
      </c>
      <c r="H118" s="64">
        <v>7303.8999999999978</v>
      </c>
      <c r="I118" s="64">
        <v>7307.199999999998</v>
      </c>
      <c r="J118" s="64">
        <v>7329.0999999999976</v>
      </c>
      <c r="K118" s="64">
        <v>7339.0099999999975</v>
      </c>
      <c r="L118" s="64">
        <v>7360.6599999999971</v>
      </c>
      <c r="M118" s="64">
        <v>7382.0199999999968</v>
      </c>
      <c r="N118" s="64">
        <v>7402.9399999999969</v>
      </c>
      <c r="O118" s="64">
        <v>7424.4999999999973</v>
      </c>
      <c r="P118" s="64">
        <v>7445.7899999999972</v>
      </c>
      <c r="Q118" s="64">
        <v>7454.6299999999974</v>
      </c>
      <c r="R118" s="64">
        <v>7475.7899999999972</v>
      </c>
      <c r="S118" s="64">
        <v>7497.5199999999968</v>
      </c>
      <c r="T118" s="64">
        <v>7518.0899999999965</v>
      </c>
      <c r="U118" s="64">
        <v>7518.0899999999965</v>
      </c>
      <c r="V118" s="64">
        <v>7521.7099999999964</v>
      </c>
      <c r="W118" s="64">
        <v>7542.4599999999964</v>
      </c>
      <c r="X118" s="64">
        <v>7560.3399999999965</v>
      </c>
      <c r="Y118" s="64">
        <v>7579.8899999999967</v>
      </c>
      <c r="Z118" s="64">
        <v>7601.2499999999964</v>
      </c>
      <c r="AA118" s="64">
        <v>7621.3499999999967</v>
      </c>
      <c r="AB118" s="64">
        <v>7633.9599999999964</v>
      </c>
      <c r="AC118" s="64">
        <v>7651.359999999996</v>
      </c>
      <c r="AD118" s="64">
        <v>7659.9599999999964</v>
      </c>
      <c r="AE118" s="64">
        <v>7669.1299999999965</v>
      </c>
      <c r="AF118" s="55">
        <v>7689.9899999999961</v>
      </c>
      <c r="AG118" s="51">
        <f t="shared" si="4"/>
        <v>7689.9899999999961</v>
      </c>
      <c r="AH118" s="44">
        <v>7173.55</v>
      </c>
    </row>
    <row r="119" spans="1:34" x14ac:dyDescent="0.35">
      <c r="A119" s="26" t="s">
        <v>123</v>
      </c>
      <c r="B119" s="77">
        <v>7496.1300000000028</v>
      </c>
      <c r="C119" s="64">
        <v>7517.6400000000031</v>
      </c>
      <c r="D119" s="64">
        <v>7539.2600000000029</v>
      </c>
      <c r="E119" s="64">
        <v>7557.4800000000032</v>
      </c>
      <c r="F119" s="64">
        <v>7576.7100000000028</v>
      </c>
      <c r="G119" s="64">
        <v>7584.4400000000023</v>
      </c>
      <c r="H119" s="64">
        <v>7606.2900000000027</v>
      </c>
      <c r="I119" s="64">
        <v>7626.4200000000028</v>
      </c>
      <c r="J119" s="64">
        <v>7648.0000000000027</v>
      </c>
      <c r="K119" s="64">
        <v>7663.6300000000028</v>
      </c>
      <c r="L119" s="64">
        <v>7684.6100000000024</v>
      </c>
      <c r="M119" s="64">
        <v>7704.260000000002</v>
      </c>
      <c r="N119" s="64">
        <v>7725.6100000000024</v>
      </c>
      <c r="O119" s="64">
        <v>7736.760000000002</v>
      </c>
      <c r="P119" s="64">
        <v>7757.6300000000019</v>
      </c>
      <c r="Q119" s="64">
        <v>7778.6800000000021</v>
      </c>
      <c r="R119" s="64">
        <v>7787.0800000000017</v>
      </c>
      <c r="S119" s="64">
        <v>7802.8500000000022</v>
      </c>
      <c r="T119" s="64">
        <v>7824.6200000000026</v>
      </c>
      <c r="U119" s="64">
        <v>7843.1700000000028</v>
      </c>
      <c r="V119" s="64">
        <v>7864.8700000000026</v>
      </c>
      <c r="W119" s="64">
        <v>7886.2500000000027</v>
      </c>
      <c r="X119" s="64">
        <v>7907.9500000000025</v>
      </c>
      <c r="Y119" s="64">
        <v>7929.6300000000028</v>
      </c>
      <c r="Z119" s="64">
        <v>7951.180000000003</v>
      </c>
      <c r="AA119" s="64">
        <v>7971.2900000000027</v>
      </c>
      <c r="AB119" s="64">
        <v>7992.6300000000028</v>
      </c>
      <c r="AC119" s="64">
        <v>8014.1700000000028</v>
      </c>
      <c r="AD119" s="64">
        <v>8035.0000000000027</v>
      </c>
      <c r="AE119" s="64">
        <v>8056.9500000000025</v>
      </c>
      <c r="AF119" s="55">
        <v>8078.5000000000027</v>
      </c>
      <c r="AG119" s="51">
        <f t="shared" si="4"/>
        <v>8078.5000000000027</v>
      </c>
      <c r="AH119" s="44">
        <v>7475.18</v>
      </c>
    </row>
    <row r="120" spans="1:34" x14ac:dyDescent="0.35">
      <c r="A120" s="26" t="s">
        <v>124</v>
      </c>
      <c r="B120" s="77">
        <v>6892.7699999999923</v>
      </c>
      <c r="C120" s="64">
        <v>6914.7199999999921</v>
      </c>
      <c r="D120" s="64">
        <v>6936.3999999999924</v>
      </c>
      <c r="E120" s="64">
        <v>6958.1199999999926</v>
      </c>
      <c r="F120" s="64">
        <v>6977.9799999999923</v>
      </c>
      <c r="G120" s="64">
        <v>6999.3899999999921</v>
      </c>
      <c r="H120" s="64">
        <v>7017.0599999999922</v>
      </c>
      <c r="I120" s="64">
        <v>7032.1399999999921</v>
      </c>
      <c r="J120" s="64">
        <v>7053.299999999992</v>
      </c>
      <c r="K120" s="64">
        <v>7070.1199999999917</v>
      </c>
      <c r="L120" s="64">
        <v>7091.6999999999916</v>
      </c>
      <c r="M120" s="64">
        <v>7100.8099999999913</v>
      </c>
      <c r="N120" s="64">
        <v>7111.5399999999909</v>
      </c>
      <c r="O120" s="64">
        <v>7129.2199999999912</v>
      </c>
      <c r="P120" s="64">
        <v>7145.3899999999912</v>
      </c>
      <c r="Q120" s="64">
        <v>7166.2099999999909</v>
      </c>
      <c r="R120" s="64">
        <v>7188.0099999999911</v>
      </c>
      <c r="S120" s="64">
        <v>7209.4599999999909</v>
      </c>
      <c r="T120" s="64">
        <v>7229.7699999999913</v>
      </c>
      <c r="U120" s="64">
        <v>7250.2299999999914</v>
      </c>
      <c r="V120" s="64">
        <v>7271.6199999999917</v>
      </c>
      <c r="W120" s="64">
        <v>7292.9899999999916</v>
      </c>
      <c r="X120" s="64">
        <v>7314.3299999999917</v>
      </c>
      <c r="Y120" s="64">
        <v>7335.8099999999913</v>
      </c>
      <c r="Z120" s="64">
        <v>7357.2499999999909</v>
      </c>
      <c r="AA120" s="64">
        <v>7377.1399999999912</v>
      </c>
      <c r="AB120" s="64">
        <v>7395.169999999991</v>
      </c>
      <c r="AC120" s="64">
        <v>7416.919999999991</v>
      </c>
      <c r="AD120" s="64">
        <v>7437.8199999999906</v>
      </c>
      <c r="AE120" s="64">
        <v>7459.129999999991</v>
      </c>
      <c r="AF120" s="55">
        <v>7480.6099999999906</v>
      </c>
      <c r="AG120" s="51">
        <f t="shared" si="4"/>
        <v>7480.6099999999906</v>
      </c>
      <c r="AH120" s="44">
        <v>6880.77</v>
      </c>
    </row>
    <row r="121" spans="1:34" x14ac:dyDescent="0.35">
      <c r="A121" s="26" t="s">
        <v>125</v>
      </c>
      <c r="B121" s="77">
        <v>5325.0799999999972</v>
      </c>
      <c r="C121" s="64">
        <v>5346.8599999999969</v>
      </c>
      <c r="D121" s="64">
        <v>5368.4999999999973</v>
      </c>
      <c r="E121" s="64">
        <v>5390.3899999999976</v>
      </c>
      <c r="F121" s="64">
        <v>5411.5099999999975</v>
      </c>
      <c r="G121" s="64">
        <v>5432.9299999999976</v>
      </c>
      <c r="H121" s="64">
        <v>5454.2599999999975</v>
      </c>
      <c r="I121" s="64">
        <v>5475.6399999999976</v>
      </c>
      <c r="J121" s="64">
        <v>5496.8099999999977</v>
      </c>
      <c r="K121" s="64">
        <v>5518.7299999999977</v>
      </c>
      <c r="L121" s="64">
        <v>5539.7499999999982</v>
      </c>
      <c r="M121" s="64">
        <v>5559.8399999999983</v>
      </c>
      <c r="N121" s="64">
        <v>5576.6899999999987</v>
      </c>
      <c r="O121" s="64">
        <v>5578.7899999999991</v>
      </c>
      <c r="P121" s="64">
        <v>5599.9699999999993</v>
      </c>
      <c r="Q121" s="64">
        <v>5621.7499999999991</v>
      </c>
      <c r="R121" s="64">
        <v>5643.4399999999987</v>
      </c>
      <c r="S121" s="64">
        <v>5665.0399999999991</v>
      </c>
      <c r="T121" s="64">
        <v>5686.9299999999994</v>
      </c>
      <c r="U121" s="64">
        <v>5700.73</v>
      </c>
      <c r="V121" s="64">
        <v>5720.65</v>
      </c>
      <c r="W121" s="64">
        <v>5742.4699999999993</v>
      </c>
      <c r="X121" s="64">
        <v>5757.36</v>
      </c>
      <c r="Y121" s="64">
        <v>5779.21</v>
      </c>
      <c r="Z121" s="64">
        <v>5799.68</v>
      </c>
      <c r="AA121" s="64">
        <v>5821.4500000000007</v>
      </c>
      <c r="AB121" s="64">
        <v>5836.7300000000005</v>
      </c>
      <c r="AC121" s="64">
        <v>5854.0700000000006</v>
      </c>
      <c r="AD121" s="64">
        <v>5875.3400000000011</v>
      </c>
      <c r="AE121" s="64">
        <v>5896.9400000000014</v>
      </c>
      <c r="AF121" s="55">
        <v>5918.3300000000017</v>
      </c>
      <c r="AG121" s="51">
        <f t="shared" si="4"/>
        <v>5918.3300000000017</v>
      </c>
      <c r="AH121" s="44">
        <v>5303.35</v>
      </c>
    </row>
    <row r="122" spans="1:34" x14ac:dyDescent="0.35">
      <c r="A122" s="26" t="s">
        <v>126</v>
      </c>
      <c r="B122" s="77">
        <v>6443.7899999999954</v>
      </c>
      <c r="C122" s="64">
        <v>6465.6699999999955</v>
      </c>
      <c r="D122" s="64">
        <v>6481.8099999999959</v>
      </c>
      <c r="E122" s="64">
        <v>6503.6599999999962</v>
      </c>
      <c r="F122" s="64">
        <v>6518.8199999999961</v>
      </c>
      <c r="G122" s="64">
        <v>6519.4199999999964</v>
      </c>
      <c r="H122" s="64">
        <v>6539.3199999999961</v>
      </c>
      <c r="I122" s="64">
        <v>6561.0799999999963</v>
      </c>
      <c r="J122" s="64">
        <v>6581.7699999999959</v>
      </c>
      <c r="K122" s="64">
        <v>6597.8199999999961</v>
      </c>
      <c r="L122" s="64">
        <v>6598.2499999999964</v>
      </c>
      <c r="M122" s="64">
        <v>6619.359999999996</v>
      </c>
      <c r="N122" s="64">
        <v>6639.5899999999956</v>
      </c>
      <c r="O122" s="64">
        <v>6660.7299999999959</v>
      </c>
      <c r="P122" s="64">
        <v>6682.109999999996</v>
      </c>
      <c r="Q122" s="64">
        <v>6698.8499999999958</v>
      </c>
      <c r="R122" s="64">
        <v>6711.9499999999962</v>
      </c>
      <c r="S122" s="64">
        <v>6732.7799999999961</v>
      </c>
      <c r="T122" s="64">
        <v>6752.7599999999957</v>
      </c>
      <c r="U122" s="64">
        <v>6773.859999999996</v>
      </c>
      <c r="V122" s="64">
        <v>6794.9099999999962</v>
      </c>
      <c r="W122" s="64">
        <v>6816.4699999999966</v>
      </c>
      <c r="X122" s="64">
        <v>6837.6199999999963</v>
      </c>
      <c r="Y122" s="64">
        <v>6859.1799999999967</v>
      </c>
      <c r="Z122" s="64">
        <v>6880.279999999997</v>
      </c>
      <c r="AA122" s="64">
        <v>6888.1099999999969</v>
      </c>
      <c r="AB122" s="64">
        <v>6903.319999999997</v>
      </c>
      <c r="AC122" s="64">
        <v>6918.2399999999971</v>
      </c>
      <c r="AD122" s="64">
        <v>6939.529999999997</v>
      </c>
      <c r="AE122" s="64">
        <v>6961.0899999999974</v>
      </c>
      <c r="AF122" s="55">
        <v>6982.4699999999975</v>
      </c>
      <c r="AG122" s="51">
        <f t="shared" si="4"/>
        <v>6982.4699999999975</v>
      </c>
      <c r="AH122" s="44">
        <v>6428.5</v>
      </c>
    </row>
    <row r="123" spans="1:34" x14ac:dyDescent="0.35">
      <c r="A123" s="26" t="s">
        <v>127</v>
      </c>
      <c r="B123" s="77">
        <v>6636.0599999999995</v>
      </c>
      <c r="C123" s="64">
        <v>6657.73</v>
      </c>
      <c r="D123" s="64">
        <v>6679.73</v>
      </c>
      <c r="E123" s="64">
        <v>6697.36</v>
      </c>
      <c r="F123" s="64">
        <v>6699.8099999999995</v>
      </c>
      <c r="G123" s="64">
        <v>6713.73</v>
      </c>
      <c r="H123" s="64">
        <v>6729.0999999999995</v>
      </c>
      <c r="I123" s="64">
        <v>6750.2</v>
      </c>
      <c r="J123" s="64">
        <v>6769.63</v>
      </c>
      <c r="K123" s="64">
        <v>6791.05</v>
      </c>
      <c r="L123" s="64">
        <v>6809.33</v>
      </c>
      <c r="M123" s="64">
        <v>6829.42</v>
      </c>
      <c r="N123" s="64">
        <v>6851.28</v>
      </c>
      <c r="O123" s="64">
        <v>6872.08</v>
      </c>
      <c r="P123" s="64">
        <v>6893.47</v>
      </c>
      <c r="Q123" s="64">
        <v>6915.17</v>
      </c>
      <c r="R123" s="64">
        <v>6928.68</v>
      </c>
      <c r="S123" s="64">
        <v>6934.4800000000005</v>
      </c>
      <c r="T123" s="64">
        <v>6953.64</v>
      </c>
      <c r="U123" s="64">
        <v>6972.71</v>
      </c>
      <c r="V123" s="64">
        <v>6983.11</v>
      </c>
      <c r="W123" s="64">
        <v>7004.15</v>
      </c>
      <c r="X123" s="64">
        <v>7025.17</v>
      </c>
      <c r="Y123" s="64">
        <v>7044.49</v>
      </c>
      <c r="Z123" s="64">
        <v>7065.5999999999995</v>
      </c>
      <c r="AA123" s="64">
        <v>7081.95</v>
      </c>
      <c r="AB123" s="64">
        <v>7102.71</v>
      </c>
      <c r="AC123" s="64">
        <v>7124.07</v>
      </c>
      <c r="AD123" s="64">
        <v>7145.45</v>
      </c>
      <c r="AE123" s="64">
        <v>7166.11</v>
      </c>
      <c r="AF123" s="55">
        <v>7178.61</v>
      </c>
      <c r="AG123" s="51">
        <f t="shared" si="4"/>
        <v>7178.61</v>
      </c>
      <c r="AH123" s="44">
        <v>6614.37</v>
      </c>
    </row>
    <row r="124" spans="1:34" ht="15" thickBot="1" x14ac:dyDescent="0.4">
      <c r="A124" s="36" t="s">
        <v>128</v>
      </c>
      <c r="B124" s="230">
        <v>6399.1599999999953</v>
      </c>
      <c r="C124" s="226">
        <v>6420.8199999999952</v>
      </c>
      <c r="D124" s="226">
        <v>6442.6399999999949</v>
      </c>
      <c r="E124" s="226">
        <v>6464.3899999999949</v>
      </c>
      <c r="F124" s="226">
        <v>6483.769999999995</v>
      </c>
      <c r="G124" s="226">
        <v>6496.8799999999947</v>
      </c>
      <c r="H124" s="226">
        <v>6505.7199999999948</v>
      </c>
      <c r="I124" s="226">
        <v>6518.4499999999944</v>
      </c>
      <c r="J124" s="226">
        <v>6538.9599999999946</v>
      </c>
      <c r="K124" s="226">
        <v>6557.8499999999949</v>
      </c>
      <c r="L124" s="226">
        <v>6578.5299999999952</v>
      </c>
      <c r="M124" s="226">
        <v>6600.3199999999952</v>
      </c>
      <c r="N124" s="226">
        <v>6621.9299999999948</v>
      </c>
      <c r="O124" s="226">
        <v>6643.519999999995</v>
      </c>
      <c r="P124" s="226">
        <v>6657.6799999999948</v>
      </c>
      <c r="Q124" s="226">
        <v>6679.5599999999949</v>
      </c>
      <c r="R124" s="226">
        <v>6701.3899999999949</v>
      </c>
      <c r="S124" s="226">
        <v>6723.0799999999945</v>
      </c>
      <c r="T124" s="226">
        <v>6738.5499999999947</v>
      </c>
      <c r="U124" s="226">
        <v>6759.8299999999945</v>
      </c>
      <c r="V124" s="226">
        <v>6781.3899999999949</v>
      </c>
      <c r="W124" s="226">
        <v>6802.5999999999949</v>
      </c>
      <c r="X124" s="226">
        <v>6824.1399999999949</v>
      </c>
      <c r="Y124" s="226">
        <v>6845.9099999999953</v>
      </c>
      <c r="Z124" s="226">
        <v>6867.1099999999951</v>
      </c>
      <c r="AA124" s="226">
        <v>6887.1599999999953</v>
      </c>
      <c r="AB124" s="226">
        <v>6908.519999999995</v>
      </c>
      <c r="AC124" s="226">
        <v>6929.9999999999945</v>
      </c>
      <c r="AD124" s="226">
        <v>6951.519999999995</v>
      </c>
      <c r="AE124" s="226">
        <v>6969.3799999999947</v>
      </c>
      <c r="AF124" s="231">
        <v>6971.2799999999943</v>
      </c>
      <c r="AG124" s="52">
        <f t="shared" si="4"/>
        <v>6971.2799999999943</v>
      </c>
      <c r="AH124" s="44">
        <v>6377.76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45505</v>
      </c>
      <c r="C126" s="46">
        <v>45506</v>
      </c>
      <c r="D126" s="46">
        <v>45507</v>
      </c>
      <c r="E126" s="46">
        <v>45508</v>
      </c>
      <c r="F126" s="46">
        <v>45509</v>
      </c>
      <c r="G126" s="46">
        <v>45510</v>
      </c>
      <c r="H126" s="46">
        <v>45511</v>
      </c>
      <c r="I126" s="46">
        <v>45512</v>
      </c>
      <c r="J126" s="46">
        <v>45513</v>
      </c>
      <c r="K126" s="46">
        <v>45514</v>
      </c>
      <c r="L126" s="46">
        <v>45515</v>
      </c>
      <c r="M126" s="46">
        <v>45516</v>
      </c>
      <c r="N126" s="46">
        <v>45517</v>
      </c>
      <c r="O126" s="46">
        <v>45518</v>
      </c>
      <c r="P126" s="46">
        <v>45519</v>
      </c>
      <c r="Q126" s="46">
        <v>45520</v>
      </c>
      <c r="R126" s="46">
        <v>45521</v>
      </c>
      <c r="S126" s="46">
        <v>45522</v>
      </c>
      <c r="T126" s="46">
        <v>45523</v>
      </c>
      <c r="U126" s="46">
        <v>45524</v>
      </c>
      <c r="V126" s="46">
        <v>45525</v>
      </c>
      <c r="W126" s="46">
        <v>45526</v>
      </c>
      <c r="X126" s="46">
        <v>45527</v>
      </c>
      <c r="Y126" s="46">
        <v>45528</v>
      </c>
      <c r="Z126" s="46">
        <v>45529</v>
      </c>
      <c r="AA126" s="46">
        <v>45530</v>
      </c>
      <c r="AB126" s="46">
        <v>45531</v>
      </c>
      <c r="AC126" s="46">
        <v>45532</v>
      </c>
      <c r="AD126" s="46">
        <v>45533</v>
      </c>
      <c r="AE126" s="46">
        <v>45534</v>
      </c>
      <c r="AF126" s="46">
        <v>45535</v>
      </c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77">
        <v>87652.000000000015</v>
      </c>
      <c r="C127" s="64">
        <v>87652.000000000015</v>
      </c>
      <c r="D127" s="64">
        <v>87652.000000000015</v>
      </c>
      <c r="E127" s="64">
        <v>87652.000000000015</v>
      </c>
      <c r="F127" s="64">
        <v>87652.000000000015</v>
      </c>
      <c r="G127" s="64">
        <v>87652.000000000015</v>
      </c>
      <c r="H127" s="64">
        <v>87652.000000000015</v>
      </c>
      <c r="I127" s="64">
        <v>87652.000000000015</v>
      </c>
      <c r="J127" s="64">
        <v>87652.000000000015</v>
      </c>
      <c r="K127" s="64">
        <v>87652.000000000015</v>
      </c>
      <c r="L127" s="64">
        <v>87652.000000000015</v>
      </c>
      <c r="M127" s="64">
        <v>87652.000000000015</v>
      </c>
      <c r="N127" s="64">
        <v>87652.000000000015</v>
      </c>
      <c r="O127" s="64">
        <v>87652.000000000015</v>
      </c>
      <c r="P127" s="64">
        <v>87652.000000000015</v>
      </c>
      <c r="Q127" s="64">
        <v>87652.000000000015</v>
      </c>
      <c r="R127" s="64">
        <v>87652.000000000015</v>
      </c>
      <c r="S127" s="64">
        <v>87652.000000000015</v>
      </c>
      <c r="T127" s="64">
        <v>87652.000000000015</v>
      </c>
      <c r="U127" s="64">
        <v>87652.000000000015</v>
      </c>
      <c r="V127" s="64">
        <v>87652.000000000015</v>
      </c>
      <c r="W127" s="64">
        <v>87652.000000000015</v>
      </c>
      <c r="X127" s="64">
        <v>87652.000000000015</v>
      </c>
      <c r="Y127" s="64">
        <v>87652.000000000015</v>
      </c>
      <c r="Z127" s="64">
        <v>87652.000000000015</v>
      </c>
      <c r="AA127" s="64">
        <v>87652.000000000015</v>
      </c>
      <c r="AB127" s="64">
        <v>87652.000000000015</v>
      </c>
      <c r="AC127" s="64">
        <v>87652.000000000015</v>
      </c>
      <c r="AD127" s="64">
        <v>87652.000000000015</v>
      </c>
      <c r="AE127" s="64">
        <v>87652.000000000015</v>
      </c>
      <c r="AF127" s="55">
        <v>87652.000000000015</v>
      </c>
      <c r="AG127" s="91">
        <f t="shared" ref="AG127:AG163" si="5">MAX(B127:AF127)</f>
        <v>87652.000000000015</v>
      </c>
      <c r="AH127" s="44">
        <v>87652</v>
      </c>
    </row>
    <row r="128" spans="1:34" x14ac:dyDescent="0.35">
      <c r="A128" s="40" t="s">
        <v>297</v>
      </c>
      <c r="B128" s="228">
        <v>112144.50000000001</v>
      </c>
      <c r="C128" s="221">
        <v>112144.5</v>
      </c>
      <c r="D128" s="221">
        <v>112144.50000000001</v>
      </c>
      <c r="E128" s="221">
        <v>112191.70000000001</v>
      </c>
      <c r="F128" s="221">
        <v>112205.40000000001</v>
      </c>
      <c r="G128" s="221">
        <v>112205.40000000001</v>
      </c>
      <c r="H128" s="221">
        <v>112205.40000000001</v>
      </c>
      <c r="I128" s="221">
        <v>112205.40000000001</v>
      </c>
      <c r="J128" s="221">
        <v>112205.40000000001</v>
      </c>
      <c r="K128" s="221">
        <v>112205.40000000001</v>
      </c>
      <c r="L128" s="221">
        <v>112205.40000000001</v>
      </c>
      <c r="M128" s="221">
        <v>112228.40000000001</v>
      </c>
      <c r="N128" s="221">
        <v>112228.40000000001</v>
      </c>
      <c r="O128" s="221">
        <v>112228.40000000001</v>
      </c>
      <c r="P128" s="221">
        <v>112271.3</v>
      </c>
      <c r="Q128" s="221">
        <v>112271.3</v>
      </c>
      <c r="R128" s="221">
        <v>112271.3</v>
      </c>
      <c r="S128" s="221">
        <v>112271.3</v>
      </c>
      <c r="T128" s="221">
        <v>112271.3</v>
      </c>
      <c r="U128" s="221">
        <v>112271.3</v>
      </c>
      <c r="V128" s="221">
        <v>112271.3</v>
      </c>
      <c r="W128" s="221">
        <v>112271.3</v>
      </c>
      <c r="X128" s="221">
        <v>112271.3</v>
      </c>
      <c r="Y128" s="221">
        <v>112271.3</v>
      </c>
      <c r="Z128" s="221">
        <v>112271.3</v>
      </c>
      <c r="AA128" s="221">
        <v>112271.3</v>
      </c>
      <c r="AB128" s="221">
        <v>112271.3</v>
      </c>
      <c r="AC128" s="221">
        <v>112271.3</v>
      </c>
      <c r="AD128" s="221">
        <v>112271.3</v>
      </c>
      <c r="AE128" s="221">
        <v>112271.3</v>
      </c>
      <c r="AF128" s="229">
        <v>112271.3</v>
      </c>
      <c r="AG128" s="51">
        <f t="shared" si="5"/>
        <v>112271.3</v>
      </c>
      <c r="AH128" s="44">
        <v>112132</v>
      </c>
    </row>
    <row r="129" spans="1:34" x14ac:dyDescent="0.35">
      <c r="A129" s="27" t="s">
        <v>271</v>
      </c>
      <c r="B129" s="39">
        <v>104580</v>
      </c>
      <c r="C129" s="64">
        <v>104580</v>
      </c>
      <c r="D129" s="64">
        <v>104580</v>
      </c>
      <c r="E129" s="64">
        <v>104639.2</v>
      </c>
      <c r="F129" s="64">
        <v>104658</v>
      </c>
      <c r="G129" s="64">
        <v>104680.3</v>
      </c>
      <c r="H129" s="64">
        <v>104680.3</v>
      </c>
      <c r="I129" s="64">
        <v>104680.3</v>
      </c>
      <c r="J129" s="64">
        <v>104680.3</v>
      </c>
      <c r="K129" s="64">
        <v>104680.3</v>
      </c>
      <c r="L129" s="64">
        <v>104680.3</v>
      </c>
      <c r="M129" s="64">
        <v>104709</v>
      </c>
      <c r="N129" s="64">
        <v>104709</v>
      </c>
      <c r="O129" s="64">
        <v>104709</v>
      </c>
      <c r="P129" s="64">
        <v>104751.3</v>
      </c>
      <c r="Q129" s="64">
        <v>104751.3</v>
      </c>
      <c r="R129" s="64">
        <v>104751.3</v>
      </c>
      <c r="S129" s="64">
        <v>104751.3</v>
      </c>
      <c r="T129" s="64">
        <v>104751.3</v>
      </c>
      <c r="U129" s="64">
        <v>104751.3</v>
      </c>
      <c r="V129" s="64">
        <v>104751.3</v>
      </c>
      <c r="W129" s="64">
        <v>104751.3</v>
      </c>
      <c r="X129" s="64">
        <v>104751.3</v>
      </c>
      <c r="Y129" s="64">
        <v>104751.3</v>
      </c>
      <c r="Z129" s="64">
        <v>104751.3</v>
      </c>
      <c r="AA129" s="64">
        <v>104751.3</v>
      </c>
      <c r="AB129" s="64">
        <v>104751.3</v>
      </c>
      <c r="AC129" s="64">
        <v>104751.3</v>
      </c>
      <c r="AD129" s="64">
        <v>104751.3</v>
      </c>
      <c r="AE129" s="64">
        <v>104751.3</v>
      </c>
      <c r="AF129" s="55">
        <v>104751.3</v>
      </c>
      <c r="AG129" s="91">
        <f t="shared" si="5"/>
        <v>104751.3</v>
      </c>
      <c r="AH129" s="44">
        <v>104572.1</v>
      </c>
    </row>
    <row r="130" spans="1:34" x14ac:dyDescent="0.35">
      <c r="A130" s="27" t="s">
        <v>274</v>
      </c>
      <c r="B130" s="64">
        <v>102824.7</v>
      </c>
      <c r="C130" s="64">
        <v>102824.7</v>
      </c>
      <c r="D130" s="64">
        <v>102824.7</v>
      </c>
      <c r="E130" s="64">
        <v>102824.7</v>
      </c>
      <c r="F130" s="64">
        <v>102824.7</v>
      </c>
      <c r="G130" s="64">
        <v>102824.7</v>
      </c>
      <c r="H130" s="64">
        <v>102824.7</v>
      </c>
      <c r="I130" s="64">
        <v>102824.7</v>
      </c>
      <c r="J130" s="64">
        <v>102824.7</v>
      </c>
      <c r="K130" s="64">
        <v>102824.7</v>
      </c>
      <c r="L130" s="64">
        <v>102824.7</v>
      </c>
      <c r="M130" s="64">
        <v>102824.7</v>
      </c>
      <c r="N130" s="64">
        <v>102824.7</v>
      </c>
      <c r="O130" s="64">
        <v>102824.7</v>
      </c>
      <c r="P130" s="64">
        <v>102824.7</v>
      </c>
      <c r="Q130" s="64">
        <v>102824.7</v>
      </c>
      <c r="R130" s="64">
        <v>102824.7</v>
      </c>
      <c r="S130" s="64">
        <v>102824.7</v>
      </c>
      <c r="T130" s="64">
        <v>102824.7</v>
      </c>
      <c r="U130" s="64">
        <v>102824.7</v>
      </c>
      <c r="V130" s="64">
        <v>102824.7</v>
      </c>
      <c r="W130" s="64">
        <v>102824.7</v>
      </c>
      <c r="X130" s="64">
        <v>102824.7</v>
      </c>
      <c r="Y130" s="64">
        <v>102824.7</v>
      </c>
      <c r="Z130" s="64">
        <v>102824.7</v>
      </c>
      <c r="AA130" s="64">
        <v>102824.7</v>
      </c>
      <c r="AB130" s="64">
        <v>102824.7</v>
      </c>
      <c r="AC130" s="64">
        <v>102824.7</v>
      </c>
      <c r="AD130" s="64">
        <v>102824.7</v>
      </c>
      <c r="AE130" s="64">
        <v>102824.7</v>
      </c>
      <c r="AF130" s="64">
        <v>102824.7</v>
      </c>
      <c r="AG130" s="91">
        <f t="shared" si="5"/>
        <v>102824.7</v>
      </c>
      <c r="AH130" s="44">
        <v>102835</v>
      </c>
    </row>
    <row r="131" spans="1:34" x14ac:dyDescent="0.35">
      <c r="A131" s="27" t="s">
        <v>272</v>
      </c>
      <c r="B131" s="77">
        <v>102059.48999999999</v>
      </c>
      <c r="C131" s="77">
        <v>102059.48999999999</v>
      </c>
      <c r="D131" s="77">
        <v>102059.48999999999</v>
      </c>
      <c r="E131" s="77">
        <v>102059.48999999999</v>
      </c>
      <c r="F131" s="77">
        <v>102059.48999999999</v>
      </c>
      <c r="G131" s="77">
        <v>102059.48999999999</v>
      </c>
      <c r="H131" s="77">
        <v>102059.48999999999</v>
      </c>
      <c r="I131" s="77">
        <v>102059.48999999999</v>
      </c>
      <c r="J131" s="77">
        <v>102059.48999999999</v>
      </c>
      <c r="K131" s="77">
        <v>102059.48999999999</v>
      </c>
      <c r="L131" s="77">
        <v>102059.48999999999</v>
      </c>
      <c r="M131" s="77">
        <v>102059.48999999999</v>
      </c>
      <c r="N131" s="77">
        <v>102059.48999999999</v>
      </c>
      <c r="O131" s="77">
        <v>102059.48999999999</v>
      </c>
      <c r="P131" s="77">
        <v>102062.38999999998</v>
      </c>
      <c r="Q131" s="77">
        <v>102062.38999999998</v>
      </c>
      <c r="R131" s="77">
        <v>102062.38999999998</v>
      </c>
      <c r="S131" s="77">
        <v>102062.38999999998</v>
      </c>
      <c r="T131" s="77">
        <v>102062.38999999998</v>
      </c>
      <c r="U131" s="77">
        <v>102062.38999999998</v>
      </c>
      <c r="V131" s="77">
        <v>102062.38999999998</v>
      </c>
      <c r="W131" s="77">
        <v>102062.38999999998</v>
      </c>
      <c r="X131" s="77">
        <v>102062.38999999998</v>
      </c>
      <c r="Y131" s="77">
        <v>102062.38999999998</v>
      </c>
      <c r="Z131" s="77">
        <v>102062.38999999998</v>
      </c>
      <c r="AA131" s="77">
        <v>102062.38999999998</v>
      </c>
      <c r="AB131" s="77">
        <v>102062.38999999998</v>
      </c>
      <c r="AC131" s="77">
        <v>102062.38999999998</v>
      </c>
      <c r="AD131" s="77">
        <v>102062.38999999998</v>
      </c>
      <c r="AE131" s="77">
        <v>102062.38999999998</v>
      </c>
      <c r="AF131" s="64">
        <v>102062.38999999998</v>
      </c>
      <c r="AG131" s="91">
        <f t="shared" si="5"/>
        <v>102062.38999999998</v>
      </c>
      <c r="AH131" s="44">
        <v>102059.49</v>
      </c>
    </row>
    <row r="132" spans="1:34" x14ac:dyDescent="0.35">
      <c r="A132" s="27" t="s">
        <v>285</v>
      </c>
      <c r="B132" s="77">
        <v>101476.09999999999</v>
      </c>
      <c r="C132" s="64">
        <v>101476.09999999999</v>
      </c>
      <c r="D132" s="64">
        <v>101476.09999999999</v>
      </c>
      <c r="E132" s="64">
        <v>101476.09999999999</v>
      </c>
      <c r="F132" s="64">
        <v>101476.09999999999</v>
      </c>
      <c r="G132" s="64">
        <v>101476.09999999999</v>
      </c>
      <c r="H132" s="64">
        <v>101476.09999999999</v>
      </c>
      <c r="I132" s="64">
        <v>101476.09999999999</v>
      </c>
      <c r="J132" s="64">
        <v>101476.09999999999</v>
      </c>
      <c r="K132" s="64">
        <v>101476.09999999999</v>
      </c>
      <c r="L132" s="64">
        <v>101476.09999999999</v>
      </c>
      <c r="M132" s="64">
        <v>101476.09999999999</v>
      </c>
      <c r="N132" s="64">
        <v>101476.09999999999</v>
      </c>
      <c r="O132" s="64">
        <v>101476.09999999999</v>
      </c>
      <c r="P132" s="64">
        <v>101476.09999999999</v>
      </c>
      <c r="Q132" s="64">
        <v>101476.09999999999</v>
      </c>
      <c r="R132" s="64">
        <v>101476.09999999999</v>
      </c>
      <c r="S132" s="64">
        <v>101476.09999999999</v>
      </c>
      <c r="T132" s="64">
        <v>101476.09999999999</v>
      </c>
      <c r="U132" s="64">
        <v>101476.09999999999</v>
      </c>
      <c r="V132" s="64">
        <v>101476.09999999999</v>
      </c>
      <c r="W132" s="64">
        <v>101476.09999999999</v>
      </c>
      <c r="X132" s="64">
        <v>101476.09999999999</v>
      </c>
      <c r="Y132" s="64">
        <v>101476.09999999999</v>
      </c>
      <c r="Z132" s="64">
        <v>101476.09999999999</v>
      </c>
      <c r="AA132" s="64">
        <v>101476.09999999999</v>
      </c>
      <c r="AB132" s="64">
        <v>101476.09999999999</v>
      </c>
      <c r="AC132" s="64">
        <v>101476.09999999999</v>
      </c>
      <c r="AD132" s="64">
        <v>101476.09999999999</v>
      </c>
      <c r="AE132" s="64">
        <v>101476.09999999999</v>
      </c>
      <c r="AF132" s="55">
        <v>101476.09999999999</v>
      </c>
      <c r="AG132" s="91">
        <f t="shared" si="5"/>
        <v>101476.09999999999</v>
      </c>
      <c r="AH132" s="44">
        <v>101476.1</v>
      </c>
    </row>
    <row r="133" spans="1:34" x14ac:dyDescent="0.35">
      <c r="A133" s="27" t="s">
        <v>306</v>
      </c>
      <c r="B133" s="64">
        <v>100000</v>
      </c>
      <c r="C133" s="64">
        <v>100000</v>
      </c>
      <c r="D133" s="64">
        <v>100000</v>
      </c>
      <c r="E133" s="64">
        <v>100000</v>
      </c>
      <c r="F133" s="64">
        <v>100000</v>
      </c>
      <c r="G133" s="64">
        <v>100000</v>
      </c>
      <c r="H133" s="64">
        <v>100000</v>
      </c>
      <c r="I133" s="64">
        <v>100000</v>
      </c>
      <c r="J133" s="64">
        <v>100000</v>
      </c>
      <c r="K133" s="64">
        <v>100000</v>
      </c>
      <c r="L133" s="64">
        <v>100000</v>
      </c>
      <c r="M133" s="64">
        <v>100000</v>
      </c>
      <c r="N133" s="64">
        <v>100000</v>
      </c>
      <c r="O133" s="64">
        <v>100000</v>
      </c>
      <c r="P133" s="64">
        <v>100000</v>
      </c>
      <c r="Q133" s="64">
        <v>100000</v>
      </c>
      <c r="R133" s="64">
        <v>100000</v>
      </c>
      <c r="S133" s="64">
        <v>100000</v>
      </c>
      <c r="T133" s="64">
        <v>100000</v>
      </c>
      <c r="U133" s="64">
        <v>100000</v>
      </c>
      <c r="V133" s="64">
        <v>100000</v>
      </c>
      <c r="W133" s="64">
        <v>100000</v>
      </c>
      <c r="X133" s="64">
        <v>100000</v>
      </c>
      <c r="Y133" s="64">
        <v>100000</v>
      </c>
      <c r="Z133" s="64">
        <v>100000</v>
      </c>
      <c r="AA133" s="64">
        <v>100000</v>
      </c>
      <c r="AB133" s="64">
        <v>100000</v>
      </c>
      <c r="AC133" s="64">
        <v>100000</v>
      </c>
      <c r="AD133" s="64">
        <v>100000</v>
      </c>
      <c r="AE133" s="64">
        <v>100000</v>
      </c>
      <c r="AF133" s="55">
        <v>100000</v>
      </c>
      <c r="AG133" s="91">
        <f t="shared" si="5"/>
        <v>100000</v>
      </c>
      <c r="AH133" s="44">
        <v>100866.39</v>
      </c>
    </row>
    <row r="134" spans="1:34" x14ac:dyDescent="0.35">
      <c r="A134" s="28" t="s">
        <v>308</v>
      </c>
      <c r="B134" s="64">
        <v>100000</v>
      </c>
      <c r="C134" s="64">
        <v>100000</v>
      </c>
      <c r="D134" s="64">
        <v>100000</v>
      </c>
      <c r="E134" s="64">
        <v>100000</v>
      </c>
      <c r="F134" s="64">
        <v>100000</v>
      </c>
      <c r="G134" s="64">
        <v>100000</v>
      </c>
      <c r="H134" s="64">
        <v>100000</v>
      </c>
      <c r="I134" s="64">
        <v>100000</v>
      </c>
      <c r="J134" s="64">
        <v>100000</v>
      </c>
      <c r="K134" s="64">
        <v>100000</v>
      </c>
      <c r="L134" s="64">
        <v>100000</v>
      </c>
      <c r="M134" s="64">
        <v>100000</v>
      </c>
      <c r="N134" s="64">
        <v>100000</v>
      </c>
      <c r="O134" s="64">
        <v>100000</v>
      </c>
      <c r="P134" s="64">
        <v>100000</v>
      </c>
      <c r="Q134" s="64">
        <v>100000</v>
      </c>
      <c r="R134" s="64">
        <v>100000</v>
      </c>
      <c r="S134" s="64">
        <v>100000</v>
      </c>
      <c r="T134" s="64">
        <v>100000</v>
      </c>
      <c r="U134" s="64">
        <v>100000</v>
      </c>
      <c r="V134" s="64">
        <v>100000</v>
      </c>
      <c r="W134" s="64">
        <v>100000</v>
      </c>
      <c r="X134" s="64">
        <v>100000</v>
      </c>
      <c r="Y134" s="64">
        <v>100000</v>
      </c>
      <c r="Z134" s="64">
        <v>100000</v>
      </c>
      <c r="AA134" s="64">
        <v>100000</v>
      </c>
      <c r="AB134" s="64">
        <v>100000</v>
      </c>
      <c r="AC134" s="64">
        <v>100000</v>
      </c>
      <c r="AD134" s="64">
        <v>100000</v>
      </c>
      <c r="AE134" s="64">
        <v>100000</v>
      </c>
      <c r="AF134" s="73">
        <v>100000</v>
      </c>
      <c r="AG134" s="91">
        <f t="shared" si="5"/>
        <v>100000</v>
      </c>
      <c r="AH134" s="44">
        <v>101852.22</v>
      </c>
    </row>
    <row r="135" spans="1:34" ht="15" thickBot="1" x14ac:dyDescent="0.4">
      <c r="A135" s="27" t="s">
        <v>307</v>
      </c>
      <c r="B135" s="77">
        <v>102275.73000000001</v>
      </c>
      <c r="C135" s="64">
        <v>102275.73000000001</v>
      </c>
      <c r="D135" s="64">
        <v>102275.73000000001</v>
      </c>
      <c r="E135" s="64">
        <v>102275.73000000001</v>
      </c>
      <c r="F135" s="64">
        <v>102275.73000000001</v>
      </c>
      <c r="G135" s="64">
        <v>102275.73000000001</v>
      </c>
      <c r="H135" s="64">
        <v>102275.73000000001</v>
      </c>
      <c r="I135" s="64">
        <v>102275.73000000001</v>
      </c>
      <c r="J135" s="64">
        <v>102275.73000000001</v>
      </c>
      <c r="K135" s="64">
        <v>102275.73000000001</v>
      </c>
      <c r="L135" s="64">
        <v>102275.73000000001</v>
      </c>
      <c r="M135" s="64">
        <v>102275.73000000001</v>
      </c>
      <c r="N135" s="64">
        <v>102275.73000000001</v>
      </c>
      <c r="O135" s="64">
        <v>102275.73000000001</v>
      </c>
      <c r="P135" s="64">
        <v>102275.73000000001</v>
      </c>
      <c r="Q135" s="64">
        <v>102275.73000000001</v>
      </c>
      <c r="R135" s="64">
        <v>102275.73000000001</v>
      </c>
      <c r="S135" s="64">
        <v>102275.73000000001</v>
      </c>
      <c r="T135" s="64">
        <v>102275.73000000001</v>
      </c>
      <c r="U135" s="64">
        <v>102275.73000000001</v>
      </c>
      <c r="V135" s="64">
        <v>102275.73000000001</v>
      </c>
      <c r="W135" s="64">
        <v>102275.73000000001</v>
      </c>
      <c r="X135" s="64">
        <v>102275.73000000001</v>
      </c>
      <c r="Y135" s="64">
        <v>102275.73000000001</v>
      </c>
      <c r="Z135" s="64">
        <v>102275.73000000001</v>
      </c>
      <c r="AA135" s="64">
        <v>102275.73000000001</v>
      </c>
      <c r="AB135" s="64">
        <v>102275.73000000001</v>
      </c>
      <c r="AC135" s="64">
        <v>102275.73000000001</v>
      </c>
      <c r="AD135" s="64">
        <v>102275.73000000001</v>
      </c>
      <c r="AE135" s="64">
        <v>102275.73000000001</v>
      </c>
      <c r="AF135" s="64">
        <v>102275.73000000001</v>
      </c>
      <c r="AG135" s="51">
        <f t="shared" si="5"/>
        <v>102275.73000000001</v>
      </c>
      <c r="AH135" s="44">
        <v>102275.73</v>
      </c>
    </row>
    <row r="136" spans="1:34" x14ac:dyDescent="0.35">
      <c r="A136" s="29" t="s">
        <v>273</v>
      </c>
      <c r="B136" s="252">
        <v>112345</v>
      </c>
      <c r="C136" s="252">
        <v>112345</v>
      </c>
      <c r="D136" s="252">
        <v>112345</v>
      </c>
      <c r="E136" s="252">
        <v>112345</v>
      </c>
      <c r="F136" s="252">
        <v>112345</v>
      </c>
      <c r="G136" s="252">
        <v>112345</v>
      </c>
      <c r="H136" s="252">
        <v>112345</v>
      </c>
      <c r="I136" s="252">
        <v>112345</v>
      </c>
      <c r="J136" s="252">
        <v>112345</v>
      </c>
      <c r="K136" s="252">
        <v>112345</v>
      </c>
      <c r="L136" s="252">
        <v>112345</v>
      </c>
      <c r="M136" s="252">
        <v>112345</v>
      </c>
      <c r="N136" s="252">
        <v>112345</v>
      </c>
      <c r="O136" s="252">
        <v>112345</v>
      </c>
      <c r="P136" s="252">
        <v>112345</v>
      </c>
      <c r="Q136" s="252">
        <v>112345</v>
      </c>
      <c r="R136" s="252">
        <v>112345</v>
      </c>
      <c r="S136" s="252">
        <v>112345</v>
      </c>
      <c r="T136" s="252">
        <v>112345</v>
      </c>
      <c r="U136" s="252">
        <v>112345</v>
      </c>
      <c r="V136" s="252">
        <v>112345</v>
      </c>
      <c r="W136" s="252">
        <v>112345</v>
      </c>
      <c r="X136" s="252">
        <v>112345</v>
      </c>
      <c r="Y136" s="252">
        <v>112345</v>
      </c>
      <c r="Z136" s="252">
        <v>112345</v>
      </c>
      <c r="AA136" s="252">
        <v>112345</v>
      </c>
      <c r="AB136" s="252">
        <v>112345</v>
      </c>
      <c r="AC136" s="252">
        <v>112345</v>
      </c>
      <c r="AD136" s="252">
        <v>112345</v>
      </c>
      <c r="AE136" s="252">
        <v>112345</v>
      </c>
      <c r="AF136" s="253">
        <v>112345</v>
      </c>
      <c r="AG136" s="254">
        <f t="shared" si="5"/>
        <v>112345</v>
      </c>
      <c r="AH136" s="44">
        <v>112344.72</v>
      </c>
    </row>
    <row r="137" spans="1:34" x14ac:dyDescent="0.35">
      <c r="A137" s="30" t="s">
        <v>275</v>
      </c>
      <c r="B137" s="255">
        <v>104483</v>
      </c>
      <c r="C137" s="255">
        <v>104483</v>
      </c>
      <c r="D137" s="255">
        <v>104483</v>
      </c>
      <c r="E137" s="255">
        <v>104483</v>
      </c>
      <c r="F137" s="255">
        <v>104483</v>
      </c>
      <c r="G137" s="255">
        <v>104483</v>
      </c>
      <c r="H137" s="255">
        <v>104483</v>
      </c>
      <c r="I137" s="255">
        <v>104483</v>
      </c>
      <c r="J137" s="255">
        <v>104483</v>
      </c>
      <c r="K137" s="255">
        <v>104483</v>
      </c>
      <c r="L137" s="255">
        <v>104483</v>
      </c>
      <c r="M137" s="255">
        <v>104483</v>
      </c>
      <c r="N137" s="255">
        <v>104483</v>
      </c>
      <c r="O137" s="255">
        <v>104483</v>
      </c>
      <c r="P137" s="255">
        <v>104483</v>
      </c>
      <c r="Q137" s="255">
        <v>104483</v>
      </c>
      <c r="R137" s="255">
        <v>104483</v>
      </c>
      <c r="S137" s="255">
        <v>104483</v>
      </c>
      <c r="T137" s="255">
        <v>104483</v>
      </c>
      <c r="U137" s="255">
        <v>104483</v>
      </c>
      <c r="V137" s="255">
        <v>104483</v>
      </c>
      <c r="W137" s="255">
        <v>104483</v>
      </c>
      <c r="X137" s="255">
        <v>104483</v>
      </c>
      <c r="Y137" s="255">
        <v>104483</v>
      </c>
      <c r="Z137" s="255">
        <v>104483</v>
      </c>
      <c r="AA137" s="255">
        <v>104483</v>
      </c>
      <c r="AB137" s="255">
        <v>104483</v>
      </c>
      <c r="AC137" s="255">
        <v>104483</v>
      </c>
      <c r="AD137" s="255">
        <v>104483</v>
      </c>
      <c r="AE137" s="255">
        <v>104483</v>
      </c>
      <c r="AF137" s="256">
        <v>104483</v>
      </c>
      <c r="AG137" s="257">
        <f t="shared" si="5"/>
        <v>104483</v>
      </c>
      <c r="AH137" s="44">
        <v>106250.8</v>
      </c>
    </row>
    <row r="138" spans="1:34" x14ac:dyDescent="0.35">
      <c r="A138" s="30" t="s">
        <v>276</v>
      </c>
      <c r="B138" s="255">
        <v>110071</v>
      </c>
      <c r="C138" s="255">
        <v>110071</v>
      </c>
      <c r="D138" s="255">
        <v>110071</v>
      </c>
      <c r="E138" s="255">
        <v>110071</v>
      </c>
      <c r="F138" s="255">
        <v>110071</v>
      </c>
      <c r="G138" s="255">
        <v>110071</v>
      </c>
      <c r="H138" s="255">
        <v>110071</v>
      </c>
      <c r="I138" s="255">
        <v>110071</v>
      </c>
      <c r="J138" s="255">
        <v>110071</v>
      </c>
      <c r="K138" s="255">
        <v>110071</v>
      </c>
      <c r="L138" s="255">
        <v>110071</v>
      </c>
      <c r="M138" s="255">
        <v>110071</v>
      </c>
      <c r="N138" s="255">
        <v>110071</v>
      </c>
      <c r="O138" s="255">
        <v>110071</v>
      </c>
      <c r="P138" s="255">
        <v>110071</v>
      </c>
      <c r="Q138" s="255">
        <v>110071</v>
      </c>
      <c r="R138" s="255">
        <v>110071</v>
      </c>
      <c r="S138" s="255">
        <v>110071</v>
      </c>
      <c r="T138" s="255">
        <v>110071</v>
      </c>
      <c r="U138" s="255">
        <v>110071</v>
      </c>
      <c r="V138" s="255">
        <v>110071</v>
      </c>
      <c r="W138" s="255">
        <v>110071</v>
      </c>
      <c r="X138" s="255">
        <v>110071</v>
      </c>
      <c r="Y138" s="255">
        <v>110071</v>
      </c>
      <c r="Z138" s="255">
        <v>110071</v>
      </c>
      <c r="AA138" s="255">
        <v>110071</v>
      </c>
      <c r="AB138" s="255">
        <v>110071</v>
      </c>
      <c r="AC138" s="255">
        <v>110071</v>
      </c>
      <c r="AD138" s="255">
        <v>110071</v>
      </c>
      <c r="AE138" s="255">
        <v>110071</v>
      </c>
      <c r="AF138" s="256">
        <v>110071</v>
      </c>
      <c r="AG138" s="257">
        <f t="shared" si="5"/>
        <v>110071</v>
      </c>
      <c r="AH138" s="44">
        <v>440284</v>
      </c>
    </row>
    <row r="139" spans="1:34" x14ac:dyDescent="0.35">
      <c r="A139" s="30" t="s">
        <v>277</v>
      </c>
      <c r="B139" s="258">
        <v>109858</v>
      </c>
      <c r="C139" s="258">
        <v>109858</v>
      </c>
      <c r="D139" s="258">
        <v>109858</v>
      </c>
      <c r="E139" s="258">
        <v>109858</v>
      </c>
      <c r="F139" s="258">
        <v>109858</v>
      </c>
      <c r="G139" s="258">
        <v>109858</v>
      </c>
      <c r="H139" s="258">
        <v>109858</v>
      </c>
      <c r="I139" s="258">
        <v>109858</v>
      </c>
      <c r="J139" s="258">
        <v>109858</v>
      </c>
      <c r="K139" s="258">
        <v>109858</v>
      </c>
      <c r="L139" s="258">
        <v>109858</v>
      </c>
      <c r="M139" s="258">
        <v>109858</v>
      </c>
      <c r="N139" s="258">
        <v>109858</v>
      </c>
      <c r="O139" s="258">
        <v>109858</v>
      </c>
      <c r="P139" s="258">
        <v>109858</v>
      </c>
      <c r="Q139" s="258">
        <v>109858</v>
      </c>
      <c r="R139" s="258">
        <v>109858</v>
      </c>
      <c r="S139" s="258">
        <v>109858</v>
      </c>
      <c r="T139" s="258">
        <v>109858</v>
      </c>
      <c r="U139" s="258">
        <v>109858</v>
      </c>
      <c r="V139" s="258">
        <v>109858</v>
      </c>
      <c r="W139" s="258">
        <v>109858</v>
      </c>
      <c r="X139" s="258">
        <v>109858</v>
      </c>
      <c r="Y139" s="258">
        <v>109858</v>
      </c>
      <c r="Z139" s="258">
        <v>109858</v>
      </c>
      <c r="AA139" s="258">
        <v>109858</v>
      </c>
      <c r="AB139" s="258">
        <v>109858</v>
      </c>
      <c r="AC139" s="258">
        <v>109858</v>
      </c>
      <c r="AD139" s="258">
        <v>109858</v>
      </c>
      <c r="AE139" s="258">
        <v>109858</v>
      </c>
      <c r="AF139" s="256">
        <v>109858</v>
      </c>
      <c r="AG139" s="257">
        <f t="shared" si="5"/>
        <v>109858</v>
      </c>
      <c r="AH139" s="44">
        <v>439431.32</v>
      </c>
    </row>
    <row r="140" spans="1:34" x14ac:dyDescent="0.35">
      <c r="A140" s="30" t="s">
        <v>278</v>
      </c>
      <c r="B140" s="255">
        <v>103424</v>
      </c>
      <c r="C140" s="255">
        <v>103424</v>
      </c>
      <c r="D140" s="255">
        <v>103424</v>
      </c>
      <c r="E140" s="255">
        <v>103424</v>
      </c>
      <c r="F140" s="255">
        <v>103424</v>
      </c>
      <c r="G140" s="255">
        <v>103424</v>
      </c>
      <c r="H140" s="255">
        <v>103424</v>
      </c>
      <c r="I140" s="255">
        <v>103424</v>
      </c>
      <c r="J140" s="255">
        <v>103424</v>
      </c>
      <c r="K140" s="255">
        <v>103424</v>
      </c>
      <c r="L140" s="255">
        <v>103424</v>
      </c>
      <c r="M140" s="255">
        <v>103424</v>
      </c>
      <c r="N140" s="255">
        <v>103424</v>
      </c>
      <c r="O140" s="255">
        <v>103424</v>
      </c>
      <c r="P140" s="255">
        <v>103424</v>
      </c>
      <c r="Q140" s="255">
        <v>103424</v>
      </c>
      <c r="R140" s="255">
        <v>103424</v>
      </c>
      <c r="S140" s="255">
        <v>103424</v>
      </c>
      <c r="T140" s="255">
        <v>103424</v>
      </c>
      <c r="U140" s="255">
        <v>103424</v>
      </c>
      <c r="V140" s="255">
        <v>103424</v>
      </c>
      <c r="W140" s="255">
        <v>103424</v>
      </c>
      <c r="X140" s="255">
        <v>103424</v>
      </c>
      <c r="Y140" s="255">
        <v>103424</v>
      </c>
      <c r="Z140" s="255">
        <v>103424</v>
      </c>
      <c r="AA140" s="255">
        <v>103424</v>
      </c>
      <c r="AB140" s="255">
        <v>103424</v>
      </c>
      <c r="AC140" s="255">
        <v>103424</v>
      </c>
      <c r="AD140" s="255">
        <v>103424</v>
      </c>
      <c r="AE140" s="255">
        <v>103424</v>
      </c>
      <c r="AF140" s="256">
        <v>103424</v>
      </c>
      <c r="AG140" s="257">
        <f t="shared" si="5"/>
        <v>103424</v>
      </c>
      <c r="AH140" s="44">
        <v>413696</v>
      </c>
    </row>
    <row r="141" spans="1:34" x14ac:dyDescent="0.35">
      <c r="A141" s="30" t="s">
        <v>279</v>
      </c>
      <c r="B141" s="258">
        <v>106858</v>
      </c>
      <c r="C141" s="258">
        <v>106858</v>
      </c>
      <c r="D141" s="258">
        <v>106858</v>
      </c>
      <c r="E141" s="258">
        <v>106858</v>
      </c>
      <c r="F141" s="258">
        <v>106858</v>
      </c>
      <c r="G141" s="258">
        <v>106858</v>
      </c>
      <c r="H141" s="258">
        <v>106858</v>
      </c>
      <c r="I141" s="258">
        <v>106858</v>
      </c>
      <c r="J141" s="258">
        <v>106858</v>
      </c>
      <c r="K141" s="258">
        <v>106858</v>
      </c>
      <c r="L141" s="258">
        <v>106858</v>
      </c>
      <c r="M141" s="258">
        <v>106858</v>
      </c>
      <c r="N141" s="258">
        <v>106858</v>
      </c>
      <c r="O141" s="258">
        <v>106858</v>
      </c>
      <c r="P141" s="258">
        <v>106858</v>
      </c>
      <c r="Q141" s="258">
        <v>106858</v>
      </c>
      <c r="R141" s="258">
        <v>106858</v>
      </c>
      <c r="S141" s="258">
        <v>106858</v>
      </c>
      <c r="T141" s="258">
        <v>106858</v>
      </c>
      <c r="U141" s="258">
        <v>106858</v>
      </c>
      <c r="V141" s="258">
        <v>106858</v>
      </c>
      <c r="W141" s="258">
        <v>106858</v>
      </c>
      <c r="X141" s="258">
        <v>106858</v>
      </c>
      <c r="Y141" s="258">
        <v>106858</v>
      </c>
      <c r="Z141" s="258">
        <v>106858</v>
      </c>
      <c r="AA141" s="258">
        <v>106858</v>
      </c>
      <c r="AB141" s="258">
        <v>106858</v>
      </c>
      <c r="AC141" s="258">
        <v>106858</v>
      </c>
      <c r="AD141" s="258">
        <v>106858</v>
      </c>
      <c r="AE141" s="258">
        <v>106858</v>
      </c>
      <c r="AF141" s="256">
        <v>106858</v>
      </c>
      <c r="AG141" s="257">
        <f t="shared" si="5"/>
        <v>106858</v>
      </c>
      <c r="AH141" s="44">
        <v>427433.6</v>
      </c>
    </row>
    <row r="142" spans="1:34" x14ac:dyDescent="0.35">
      <c r="A142" s="30" t="s">
        <v>280</v>
      </c>
      <c r="B142" s="255">
        <v>104310</v>
      </c>
      <c r="C142" s="255">
        <v>104310</v>
      </c>
      <c r="D142" s="255">
        <v>104310</v>
      </c>
      <c r="E142" s="255">
        <v>104310</v>
      </c>
      <c r="F142" s="255">
        <v>104310</v>
      </c>
      <c r="G142" s="255">
        <v>104310</v>
      </c>
      <c r="H142" s="255">
        <v>104310</v>
      </c>
      <c r="I142" s="255">
        <v>104310</v>
      </c>
      <c r="J142" s="255">
        <v>104310</v>
      </c>
      <c r="K142" s="255">
        <v>104310</v>
      </c>
      <c r="L142" s="255">
        <v>104310</v>
      </c>
      <c r="M142" s="255">
        <v>104310</v>
      </c>
      <c r="N142" s="255">
        <v>104310</v>
      </c>
      <c r="O142" s="255">
        <v>104310</v>
      </c>
      <c r="P142" s="255">
        <v>104310</v>
      </c>
      <c r="Q142" s="255">
        <v>104310</v>
      </c>
      <c r="R142" s="255">
        <v>104310</v>
      </c>
      <c r="S142" s="255">
        <v>104310</v>
      </c>
      <c r="T142" s="255">
        <v>104310</v>
      </c>
      <c r="U142" s="255">
        <v>104310</v>
      </c>
      <c r="V142" s="255">
        <v>104310</v>
      </c>
      <c r="W142" s="255">
        <v>104310</v>
      </c>
      <c r="X142" s="255">
        <v>104310</v>
      </c>
      <c r="Y142" s="255">
        <v>104310</v>
      </c>
      <c r="Z142" s="255">
        <v>104310</v>
      </c>
      <c r="AA142" s="255">
        <v>104310</v>
      </c>
      <c r="AB142" s="255">
        <v>104310</v>
      </c>
      <c r="AC142" s="255">
        <v>104310</v>
      </c>
      <c r="AD142" s="255">
        <v>104310</v>
      </c>
      <c r="AE142" s="255">
        <v>104310</v>
      </c>
      <c r="AF142" s="256">
        <v>104310</v>
      </c>
      <c r="AG142" s="257">
        <f t="shared" si="5"/>
        <v>104310</v>
      </c>
      <c r="AH142" s="44">
        <v>417240</v>
      </c>
    </row>
    <row r="143" spans="1:34" x14ac:dyDescent="0.35">
      <c r="A143" s="30" t="s">
        <v>281</v>
      </c>
      <c r="B143" s="255">
        <v>103814</v>
      </c>
      <c r="C143" s="255">
        <v>103814</v>
      </c>
      <c r="D143" s="255">
        <v>103814</v>
      </c>
      <c r="E143" s="255">
        <v>103814</v>
      </c>
      <c r="F143" s="255">
        <v>103814</v>
      </c>
      <c r="G143" s="255">
        <v>103814</v>
      </c>
      <c r="H143" s="255">
        <v>103814</v>
      </c>
      <c r="I143" s="255">
        <v>103814</v>
      </c>
      <c r="J143" s="255">
        <v>103814</v>
      </c>
      <c r="K143" s="255">
        <v>103814</v>
      </c>
      <c r="L143" s="255">
        <v>103814</v>
      </c>
      <c r="M143" s="255">
        <v>103814</v>
      </c>
      <c r="N143" s="255">
        <v>103814</v>
      </c>
      <c r="O143" s="255">
        <v>103814</v>
      </c>
      <c r="P143" s="255">
        <v>103814</v>
      </c>
      <c r="Q143" s="255">
        <v>103814</v>
      </c>
      <c r="R143" s="255">
        <v>103814</v>
      </c>
      <c r="S143" s="255">
        <v>103814</v>
      </c>
      <c r="T143" s="255">
        <v>103814</v>
      </c>
      <c r="U143" s="255">
        <v>103814</v>
      </c>
      <c r="V143" s="255">
        <v>103814</v>
      </c>
      <c r="W143" s="255">
        <v>103814</v>
      </c>
      <c r="X143" s="255">
        <v>103814</v>
      </c>
      <c r="Y143" s="255">
        <v>103814</v>
      </c>
      <c r="Z143" s="255">
        <v>103814</v>
      </c>
      <c r="AA143" s="255">
        <v>103814</v>
      </c>
      <c r="AB143" s="255">
        <v>103814</v>
      </c>
      <c r="AC143" s="255">
        <v>103814</v>
      </c>
      <c r="AD143" s="255">
        <v>103814</v>
      </c>
      <c r="AE143" s="255">
        <v>103814</v>
      </c>
      <c r="AF143" s="256">
        <v>103814</v>
      </c>
      <c r="AG143" s="257">
        <f t="shared" si="5"/>
        <v>103814</v>
      </c>
      <c r="AH143" s="44">
        <v>415256</v>
      </c>
    </row>
    <row r="144" spans="1:34" x14ac:dyDescent="0.35">
      <c r="A144" s="30" t="s">
        <v>282</v>
      </c>
      <c r="B144" s="255">
        <v>99556</v>
      </c>
      <c r="C144" s="255">
        <v>99556</v>
      </c>
      <c r="D144" s="255">
        <v>99556</v>
      </c>
      <c r="E144" s="255">
        <v>99556</v>
      </c>
      <c r="F144" s="255">
        <v>99556</v>
      </c>
      <c r="G144" s="255">
        <v>99556</v>
      </c>
      <c r="H144" s="255">
        <v>99556</v>
      </c>
      <c r="I144" s="255">
        <v>99556</v>
      </c>
      <c r="J144" s="255">
        <v>99556</v>
      </c>
      <c r="K144" s="255">
        <v>99556</v>
      </c>
      <c r="L144" s="255">
        <v>99556</v>
      </c>
      <c r="M144" s="255">
        <v>99556</v>
      </c>
      <c r="N144" s="255">
        <v>99556</v>
      </c>
      <c r="O144" s="255">
        <v>99556</v>
      </c>
      <c r="P144" s="255">
        <v>99556</v>
      </c>
      <c r="Q144" s="255">
        <v>99556</v>
      </c>
      <c r="R144" s="255">
        <v>99556</v>
      </c>
      <c r="S144" s="255">
        <v>99556</v>
      </c>
      <c r="T144" s="255">
        <v>99556</v>
      </c>
      <c r="U144" s="255">
        <v>99556</v>
      </c>
      <c r="V144" s="255">
        <v>99556</v>
      </c>
      <c r="W144" s="255">
        <v>99556</v>
      </c>
      <c r="X144" s="255">
        <v>99556</v>
      </c>
      <c r="Y144" s="255">
        <v>99556</v>
      </c>
      <c r="Z144" s="255">
        <v>99556</v>
      </c>
      <c r="AA144" s="255">
        <v>99556</v>
      </c>
      <c r="AB144" s="255">
        <v>99556</v>
      </c>
      <c r="AC144" s="255">
        <v>99556</v>
      </c>
      <c r="AD144" s="255">
        <v>99556</v>
      </c>
      <c r="AE144" s="255">
        <v>99556</v>
      </c>
      <c r="AF144" s="256">
        <v>99556</v>
      </c>
      <c r="AG144" s="257">
        <f t="shared" si="5"/>
        <v>99556</v>
      </c>
      <c r="AH144" s="44">
        <v>398196.04</v>
      </c>
    </row>
    <row r="145" spans="1:34" x14ac:dyDescent="0.35">
      <c r="A145" s="30" t="s">
        <v>283</v>
      </c>
      <c r="B145" s="258">
        <v>108367</v>
      </c>
      <c r="C145" s="258">
        <v>108367</v>
      </c>
      <c r="D145" s="258">
        <v>108367</v>
      </c>
      <c r="E145" s="258">
        <v>108367</v>
      </c>
      <c r="F145" s="258">
        <v>108367</v>
      </c>
      <c r="G145" s="258">
        <v>108367</v>
      </c>
      <c r="H145" s="258">
        <v>108367</v>
      </c>
      <c r="I145" s="258">
        <v>108367</v>
      </c>
      <c r="J145" s="258">
        <v>108367</v>
      </c>
      <c r="K145" s="258">
        <v>108367</v>
      </c>
      <c r="L145" s="258">
        <v>108367</v>
      </c>
      <c r="M145" s="258">
        <v>108367</v>
      </c>
      <c r="N145" s="258">
        <v>108367</v>
      </c>
      <c r="O145" s="258">
        <v>108367</v>
      </c>
      <c r="P145" s="258">
        <v>108367</v>
      </c>
      <c r="Q145" s="258">
        <v>108367</v>
      </c>
      <c r="R145" s="258">
        <v>108367</v>
      </c>
      <c r="S145" s="258">
        <v>108367</v>
      </c>
      <c r="T145" s="258">
        <v>108367</v>
      </c>
      <c r="U145" s="258">
        <v>108367</v>
      </c>
      <c r="V145" s="258">
        <v>108367</v>
      </c>
      <c r="W145" s="258">
        <v>108367</v>
      </c>
      <c r="X145" s="258">
        <v>108367</v>
      </c>
      <c r="Y145" s="258">
        <v>108367</v>
      </c>
      <c r="Z145" s="258">
        <v>108367</v>
      </c>
      <c r="AA145" s="258">
        <v>108367</v>
      </c>
      <c r="AB145" s="258">
        <v>108367</v>
      </c>
      <c r="AC145" s="258">
        <v>108367</v>
      </c>
      <c r="AD145" s="258">
        <v>108367</v>
      </c>
      <c r="AE145" s="258">
        <v>108367</v>
      </c>
      <c r="AF145" s="256">
        <v>108367</v>
      </c>
      <c r="AG145" s="257">
        <f t="shared" si="5"/>
        <v>108367</v>
      </c>
      <c r="AH145" s="44">
        <v>433469</v>
      </c>
    </row>
    <row r="146" spans="1:34" x14ac:dyDescent="0.35">
      <c r="A146" s="30" t="s">
        <v>284</v>
      </c>
      <c r="B146" s="258">
        <v>104201</v>
      </c>
      <c r="C146" s="258">
        <v>104201</v>
      </c>
      <c r="D146" s="258">
        <v>104201</v>
      </c>
      <c r="E146" s="258">
        <v>104201</v>
      </c>
      <c r="F146" s="258">
        <v>104201</v>
      </c>
      <c r="G146" s="258">
        <v>104201</v>
      </c>
      <c r="H146" s="258">
        <v>104201</v>
      </c>
      <c r="I146" s="258">
        <v>104201</v>
      </c>
      <c r="J146" s="258">
        <v>104201</v>
      </c>
      <c r="K146" s="258">
        <v>104201</v>
      </c>
      <c r="L146" s="258">
        <v>104201</v>
      </c>
      <c r="M146" s="258">
        <v>104201</v>
      </c>
      <c r="N146" s="258">
        <v>104201</v>
      </c>
      <c r="O146" s="258">
        <v>104201</v>
      </c>
      <c r="P146" s="258">
        <v>104201</v>
      </c>
      <c r="Q146" s="258">
        <v>104201</v>
      </c>
      <c r="R146" s="258">
        <v>104201</v>
      </c>
      <c r="S146" s="258">
        <v>104201</v>
      </c>
      <c r="T146" s="258">
        <v>104201</v>
      </c>
      <c r="U146" s="258">
        <v>104201</v>
      </c>
      <c r="V146" s="258">
        <v>104201</v>
      </c>
      <c r="W146" s="258">
        <v>104201</v>
      </c>
      <c r="X146" s="258">
        <v>104201</v>
      </c>
      <c r="Y146" s="258">
        <v>104201</v>
      </c>
      <c r="Z146" s="258">
        <v>104201</v>
      </c>
      <c r="AA146" s="258">
        <v>104201</v>
      </c>
      <c r="AB146" s="258">
        <v>104201</v>
      </c>
      <c r="AC146" s="258">
        <v>104201</v>
      </c>
      <c r="AD146" s="258">
        <v>104201</v>
      </c>
      <c r="AE146" s="258">
        <v>104201</v>
      </c>
      <c r="AF146" s="256">
        <v>104201</v>
      </c>
      <c r="AG146" s="257">
        <f t="shared" si="5"/>
        <v>104201</v>
      </c>
      <c r="AH146" s="44">
        <v>416804</v>
      </c>
    </row>
    <row r="147" spans="1:34" x14ac:dyDescent="0.35">
      <c r="A147" s="30" t="s">
        <v>286</v>
      </c>
      <c r="B147" s="258">
        <v>101772</v>
      </c>
      <c r="C147" s="258">
        <v>101772</v>
      </c>
      <c r="D147" s="258">
        <v>101772</v>
      </c>
      <c r="E147" s="258">
        <v>101772</v>
      </c>
      <c r="F147" s="258">
        <v>101772</v>
      </c>
      <c r="G147" s="258">
        <v>101772</v>
      </c>
      <c r="H147" s="258">
        <v>101772</v>
      </c>
      <c r="I147" s="258">
        <v>101772</v>
      </c>
      <c r="J147" s="258">
        <v>101772</v>
      </c>
      <c r="K147" s="258">
        <v>101772</v>
      </c>
      <c r="L147" s="258">
        <v>101772</v>
      </c>
      <c r="M147" s="258">
        <v>101772</v>
      </c>
      <c r="N147" s="258">
        <v>101772</v>
      </c>
      <c r="O147" s="258">
        <v>101772</v>
      </c>
      <c r="P147" s="258">
        <v>101772</v>
      </c>
      <c r="Q147" s="258">
        <v>101772</v>
      </c>
      <c r="R147" s="258">
        <v>101772</v>
      </c>
      <c r="S147" s="258">
        <v>101772</v>
      </c>
      <c r="T147" s="258">
        <v>101772</v>
      </c>
      <c r="U147" s="258">
        <v>101772</v>
      </c>
      <c r="V147" s="258">
        <v>101772</v>
      </c>
      <c r="W147" s="258">
        <v>101772</v>
      </c>
      <c r="X147" s="258">
        <v>101772</v>
      </c>
      <c r="Y147" s="258">
        <v>101772</v>
      </c>
      <c r="Z147" s="258">
        <v>101772</v>
      </c>
      <c r="AA147" s="258">
        <v>101772</v>
      </c>
      <c r="AB147" s="258">
        <v>101772</v>
      </c>
      <c r="AC147" s="258">
        <v>101772</v>
      </c>
      <c r="AD147" s="258">
        <v>101772</v>
      </c>
      <c r="AE147" s="258">
        <v>101772</v>
      </c>
      <c r="AF147" s="256">
        <v>101772</v>
      </c>
      <c r="AG147" s="257">
        <f t="shared" si="5"/>
        <v>101772</v>
      </c>
      <c r="AH147" s="44">
        <v>407088</v>
      </c>
    </row>
    <row r="148" spans="1:34" x14ac:dyDescent="0.35">
      <c r="A148" s="30" t="s">
        <v>287</v>
      </c>
      <c r="B148" s="258">
        <v>103788</v>
      </c>
      <c r="C148" s="258">
        <v>103788</v>
      </c>
      <c r="D148" s="258">
        <v>103788</v>
      </c>
      <c r="E148" s="258">
        <v>103788</v>
      </c>
      <c r="F148" s="258">
        <v>103788</v>
      </c>
      <c r="G148" s="258">
        <v>103788</v>
      </c>
      <c r="H148" s="258">
        <v>103788</v>
      </c>
      <c r="I148" s="258">
        <v>103788</v>
      </c>
      <c r="J148" s="258">
        <v>103788</v>
      </c>
      <c r="K148" s="258">
        <v>103788</v>
      </c>
      <c r="L148" s="258">
        <v>103788</v>
      </c>
      <c r="M148" s="258">
        <v>103788</v>
      </c>
      <c r="N148" s="258">
        <v>103788</v>
      </c>
      <c r="O148" s="258">
        <v>103788</v>
      </c>
      <c r="P148" s="258">
        <v>103788</v>
      </c>
      <c r="Q148" s="258">
        <v>103788</v>
      </c>
      <c r="R148" s="258">
        <v>103788</v>
      </c>
      <c r="S148" s="258">
        <v>103788</v>
      </c>
      <c r="T148" s="258">
        <v>103788</v>
      </c>
      <c r="U148" s="258">
        <v>103788</v>
      </c>
      <c r="V148" s="258">
        <v>103788</v>
      </c>
      <c r="W148" s="258">
        <v>103788</v>
      </c>
      <c r="X148" s="258">
        <v>103788</v>
      </c>
      <c r="Y148" s="258">
        <v>103788</v>
      </c>
      <c r="Z148" s="258">
        <v>103788</v>
      </c>
      <c r="AA148" s="258">
        <v>103788</v>
      </c>
      <c r="AB148" s="258">
        <v>103788</v>
      </c>
      <c r="AC148" s="258">
        <v>103788</v>
      </c>
      <c r="AD148" s="258">
        <v>103788</v>
      </c>
      <c r="AE148" s="258">
        <v>103788</v>
      </c>
      <c r="AF148" s="256">
        <v>103788</v>
      </c>
      <c r="AG148" s="257">
        <f t="shared" si="5"/>
        <v>103788</v>
      </c>
      <c r="AH148" s="44">
        <v>415152</v>
      </c>
    </row>
    <row r="149" spans="1:34" x14ac:dyDescent="0.35">
      <c r="A149" s="30" t="s">
        <v>288</v>
      </c>
      <c r="B149" s="258">
        <v>102657</v>
      </c>
      <c r="C149" s="258">
        <v>102657</v>
      </c>
      <c r="D149" s="258">
        <v>102657</v>
      </c>
      <c r="E149" s="258">
        <v>102657</v>
      </c>
      <c r="F149" s="258">
        <v>102657</v>
      </c>
      <c r="G149" s="258">
        <v>102657</v>
      </c>
      <c r="H149" s="258">
        <v>102657</v>
      </c>
      <c r="I149" s="258">
        <v>102657</v>
      </c>
      <c r="J149" s="258">
        <v>102657</v>
      </c>
      <c r="K149" s="258">
        <v>102657</v>
      </c>
      <c r="L149" s="258">
        <v>102657</v>
      </c>
      <c r="M149" s="258">
        <v>102657</v>
      </c>
      <c r="N149" s="258">
        <v>102657</v>
      </c>
      <c r="O149" s="258">
        <v>102657</v>
      </c>
      <c r="P149" s="258">
        <v>102657</v>
      </c>
      <c r="Q149" s="258">
        <v>102657</v>
      </c>
      <c r="R149" s="258">
        <v>102657</v>
      </c>
      <c r="S149" s="258">
        <v>102657</v>
      </c>
      <c r="T149" s="258">
        <v>102657</v>
      </c>
      <c r="U149" s="258">
        <v>102657</v>
      </c>
      <c r="V149" s="258">
        <v>102657</v>
      </c>
      <c r="W149" s="258">
        <v>102657</v>
      </c>
      <c r="X149" s="258">
        <v>102657</v>
      </c>
      <c r="Y149" s="258">
        <v>102657</v>
      </c>
      <c r="Z149" s="258">
        <v>102657</v>
      </c>
      <c r="AA149" s="258">
        <v>102657</v>
      </c>
      <c r="AB149" s="258">
        <v>102657</v>
      </c>
      <c r="AC149" s="258">
        <v>102657</v>
      </c>
      <c r="AD149" s="258">
        <v>102657</v>
      </c>
      <c r="AE149" s="258">
        <v>102657</v>
      </c>
      <c r="AF149" s="256">
        <v>102657</v>
      </c>
      <c r="AG149" s="257">
        <f t="shared" si="5"/>
        <v>102657</v>
      </c>
      <c r="AH149" s="44">
        <v>410628</v>
      </c>
    </row>
    <row r="150" spans="1:34" x14ac:dyDescent="0.35">
      <c r="A150" s="30" t="s">
        <v>289</v>
      </c>
      <c r="B150" s="258">
        <v>107544</v>
      </c>
      <c r="C150" s="258">
        <v>107544</v>
      </c>
      <c r="D150" s="258">
        <v>107544</v>
      </c>
      <c r="E150" s="258">
        <v>107544</v>
      </c>
      <c r="F150" s="258">
        <v>107544</v>
      </c>
      <c r="G150" s="258">
        <v>107544</v>
      </c>
      <c r="H150" s="258">
        <v>107544</v>
      </c>
      <c r="I150" s="258">
        <v>107544</v>
      </c>
      <c r="J150" s="258">
        <v>107544</v>
      </c>
      <c r="K150" s="258">
        <v>107544</v>
      </c>
      <c r="L150" s="258">
        <v>107544</v>
      </c>
      <c r="M150" s="258">
        <v>107544</v>
      </c>
      <c r="N150" s="258">
        <v>107544</v>
      </c>
      <c r="O150" s="258">
        <v>107544</v>
      </c>
      <c r="P150" s="258">
        <v>107544</v>
      </c>
      <c r="Q150" s="258">
        <v>107544</v>
      </c>
      <c r="R150" s="258">
        <v>107544</v>
      </c>
      <c r="S150" s="258">
        <v>107544</v>
      </c>
      <c r="T150" s="258">
        <v>107544</v>
      </c>
      <c r="U150" s="258">
        <v>107544</v>
      </c>
      <c r="V150" s="258">
        <v>107544</v>
      </c>
      <c r="W150" s="258">
        <v>107544</v>
      </c>
      <c r="X150" s="258">
        <v>107544</v>
      </c>
      <c r="Y150" s="258">
        <v>107544</v>
      </c>
      <c r="Z150" s="258">
        <v>107544</v>
      </c>
      <c r="AA150" s="258">
        <v>107544</v>
      </c>
      <c r="AB150" s="258">
        <v>107544</v>
      </c>
      <c r="AC150" s="258">
        <v>107544</v>
      </c>
      <c r="AD150" s="258">
        <v>107544</v>
      </c>
      <c r="AE150" s="258">
        <v>107544</v>
      </c>
      <c r="AF150" s="256">
        <v>107544</v>
      </c>
      <c r="AG150" s="257">
        <f t="shared" si="5"/>
        <v>107544</v>
      </c>
      <c r="AH150" s="44">
        <v>430174.36</v>
      </c>
    </row>
    <row r="151" spans="1:34" x14ac:dyDescent="0.35">
      <c r="A151" s="30" t="s">
        <v>290</v>
      </c>
      <c r="B151" s="258">
        <v>102629</v>
      </c>
      <c r="C151" s="258">
        <v>102629</v>
      </c>
      <c r="D151" s="258">
        <v>102629</v>
      </c>
      <c r="E151" s="258">
        <v>102629</v>
      </c>
      <c r="F151" s="258">
        <v>102629</v>
      </c>
      <c r="G151" s="258">
        <v>102629</v>
      </c>
      <c r="H151" s="258">
        <v>102629</v>
      </c>
      <c r="I151" s="258">
        <v>102629</v>
      </c>
      <c r="J151" s="258">
        <v>102629</v>
      </c>
      <c r="K151" s="258">
        <v>102629</v>
      </c>
      <c r="L151" s="258">
        <v>102629</v>
      </c>
      <c r="M151" s="258">
        <v>102629</v>
      </c>
      <c r="N151" s="258">
        <v>102629</v>
      </c>
      <c r="O151" s="258">
        <v>102629</v>
      </c>
      <c r="P151" s="258">
        <v>102629</v>
      </c>
      <c r="Q151" s="258">
        <v>102629</v>
      </c>
      <c r="R151" s="258">
        <v>102629</v>
      </c>
      <c r="S151" s="258">
        <v>102629</v>
      </c>
      <c r="T151" s="258">
        <v>102629</v>
      </c>
      <c r="U151" s="258">
        <v>102629</v>
      </c>
      <c r="V151" s="258">
        <v>102629</v>
      </c>
      <c r="W151" s="258">
        <v>102629</v>
      </c>
      <c r="X151" s="258">
        <v>102629</v>
      </c>
      <c r="Y151" s="258">
        <v>102629</v>
      </c>
      <c r="Z151" s="258">
        <v>102629</v>
      </c>
      <c r="AA151" s="258">
        <v>102629</v>
      </c>
      <c r="AB151" s="258">
        <v>102629</v>
      </c>
      <c r="AC151" s="258">
        <v>102629</v>
      </c>
      <c r="AD151" s="258">
        <v>102629</v>
      </c>
      <c r="AE151" s="258">
        <v>102629</v>
      </c>
      <c r="AF151" s="256">
        <v>102629</v>
      </c>
      <c r="AG151" s="257">
        <f t="shared" si="5"/>
        <v>102629</v>
      </c>
      <c r="AH151" s="44">
        <v>410516</v>
      </c>
    </row>
    <row r="152" spans="1:34" x14ac:dyDescent="0.35">
      <c r="A152" s="30" t="s">
        <v>291</v>
      </c>
      <c r="B152" s="258">
        <v>101224</v>
      </c>
      <c r="C152" s="258">
        <v>101224</v>
      </c>
      <c r="D152" s="258">
        <v>101224</v>
      </c>
      <c r="E152" s="258">
        <v>101224</v>
      </c>
      <c r="F152" s="258">
        <v>101224</v>
      </c>
      <c r="G152" s="258">
        <v>101224</v>
      </c>
      <c r="H152" s="258">
        <v>101224</v>
      </c>
      <c r="I152" s="258">
        <v>101224</v>
      </c>
      <c r="J152" s="258">
        <v>101224</v>
      </c>
      <c r="K152" s="258">
        <v>101224</v>
      </c>
      <c r="L152" s="258">
        <v>101224</v>
      </c>
      <c r="M152" s="258">
        <v>101224</v>
      </c>
      <c r="N152" s="258">
        <v>101224</v>
      </c>
      <c r="O152" s="258">
        <v>101224</v>
      </c>
      <c r="P152" s="258">
        <v>101224</v>
      </c>
      <c r="Q152" s="258">
        <v>101224</v>
      </c>
      <c r="R152" s="258">
        <v>101224</v>
      </c>
      <c r="S152" s="258">
        <v>101224</v>
      </c>
      <c r="T152" s="258">
        <v>101224</v>
      </c>
      <c r="U152" s="258">
        <v>101224</v>
      </c>
      <c r="V152" s="258">
        <v>101224</v>
      </c>
      <c r="W152" s="258">
        <v>101224</v>
      </c>
      <c r="X152" s="258">
        <v>101224</v>
      </c>
      <c r="Y152" s="258">
        <v>101224</v>
      </c>
      <c r="Z152" s="258">
        <v>101224</v>
      </c>
      <c r="AA152" s="258">
        <v>101224</v>
      </c>
      <c r="AB152" s="258">
        <v>101224</v>
      </c>
      <c r="AC152" s="258">
        <v>101224</v>
      </c>
      <c r="AD152" s="258">
        <v>101224</v>
      </c>
      <c r="AE152" s="258">
        <v>101224</v>
      </c>
      <c r="AF152" s="256">
        <v>101224</v>
      </c>
      <c r="AG152" s="257">
        <f t="shared" si="5"/>
        <v>101224</v>
      </c>
      <c r="AH152" s="44">
        <v>404897.6</v>
      </c>
    </row>
    <row r="153" spans="1:34" x14ac:dyDescent="0.35">
      <c r="A153" s="30" t="s">
        <v>292</v>
      </c>
      <c r="B153" s="258">
        <v>106917</v>
      </c>
      <c r="C153" s="258">
        <v>106917</v>
      </c>
      <c r="D153" s="258">
        <v>106917</v>
      </c>
      <c r="E153" s="258">
        <v>106917</v>
      </c>
      <c r="F153" s="258">
        <v>106917</v>
      </c>
      <c r="G153" s="258">
        <v>106917</v>
      </c>
      <c r="H153" s="258">
        <v>106917</v>
      </c>
      <c r="I153" s="258">
        <v>106917</v>
      </c>
      <c r="J153" s="258">
        <v>106917</v>
      </c>
      <c r="K153" s="258">
        <v>106917</v>
      </c>
      <c r="L153" s="258">
        <v>106917</v>
      </c>
      <c r="M153" s="258">
        <v>106917</v>
      </c>
      <c r="N153" s="258">
        <v>106917</v>
      </c>
      <c r="O153" s="258">
        <v>106917</v>
      </c>
      <c r="P153" s="258">
        <v>106917</v>
      </c>
      <c r="Q153" s="258">
        <v>106917</v>
      </c>
      <c r="R153" s="258">
        <v>106917</v>
      </c>
      <c r="S153" s="258">
        <v>106917</v>
      </c>
      <c r="T153" s="258">
        <v>106917</v>
      </c>
      <c r="U153" s="258">
        <v>106917</v>
      </c>
      <c r="V153" s="258">
        <v>106917</v>
      </c>
      <c r="W153" s="258">
        <v>106917</v>
      </c>
      <c r="X153" s="258">
        <v>106917</v>
      </c>
      <c r="Y153" s="258">
        <v>106917</v>
      </c>
      <c r="Z153" s="258">
        <v>106917</v>
      </c>
      <c r="AA153" s="258">
        <v>106917</v>
      </c>
      <c r="AB153" s="258">
        <v>106917</v>
      </c>
      <c r="AC153" s="258">
        <v>106917</v>
      </c>
      <c r="AD153" s="258">
        <v>106917</v>
      </c>
      <c r="AE153" s="258">
        <v>106917</v>
      </c>
      <c r="AF153" s="256">
        <v>106917</v>
      </c>
      <c r="AG153" s="257">
        <f t="shared" si="5"/>
        <v>106917</v>
      </c>
      <c r="AH153" s="44">
        <v>427666.8</v>
      </c>
    </row>
    <row r="154" spans="1:34" x14ac:dyDescent="0.35">
      <c r="A154" s="30" t="s">
        <v>293</v>
      </c>
      <c r="B154" s="258">
        <v>106456</v>
      </c>
      <c r="C154" s="258">
        <v>106456</v>
      </c>
      <c r="D154" s="258">
        <v>106456</v>
      </c>
      <c r="E154" s="258">
        <v>106456</v>
      </c>
      <c r="F154" s="258">
        <v>106456</v>
      </c>
      <c r="G154" s="258">
        <v>106456</v>
      </c>
      <c r="H154" s="258">
        <v>106456</v>
      </c>
      <c r="I154" s="258">
        <v>106456</v>
      </c>
      <c r="J154" s="258">
        <v>106456</v>
      </c>
      <c r="K154" s="258">
        <v>106456</v>
      </c>
      <c r="L154" s="258">
        <v>106456</v>
      </c>
      <c r="M154" s="258">
        <v>106456</v>
      </c>
      <c r="N154" s="258">
        <v>106456</v>
      </c>
      <c r="O154" s="258">
        <v>106456</v>
      </c>
      <c r="P154" s="258">
        <v>106456</v>
      </c>
      <c r="Q154" s="258">
        <v>106456</v>
      </c>
      <c r="R154" s="258">
        <v>106456</v>
      </c>
      <c r="S154" s="258">
        <v>106456</v>
      </c>
      <c r="T154" s="258">
        <v>106456</v>
      </c>
      <c r="U154" s="258">
        <v>106456</v>
      </c>
      <c r="V154" s="258">
        <v>106456</v>
      </c>
      <c r="W154" s="258">
        <v>106456</v>
      </c>
      <c r="X154" s="258">
        <v>106456</v>
      </c>
      <c r="Y154" s="258">
        <v>106456</v>
      </c>
      <c r="Z154" s="258">
        <v>106456</v>
      </c>
      <c r="AA154" s="258">
        <v>106456</v>
      </c>
      <c r="AB154" s="258">
        <v>106456</v>
      </c>
      <c r="AC154" s="258">
        <v>106456</v>
      </c>
      <c r="AD154" s="258">
        <v>106456</v>
      </c>
      <c r="AE154" s="258">
        <v>106456</v>
      </c>
      <c r="AF154" s="256">
        <v>106456</v>
      </c>
      <c r="AG154" s="257">
        <f t="shared" si="5"/>
        <v>106456</v>
      </c>
      <c r="AH154" s="44">
        <v>425478.96</v>
      </c>
    </row>
    <row r="155" spans="1:34" x14ac:dyDescent="0.35">
      <c r="A155" s="30" t="s">
        <v>294</v>
      </c>
      <c r="B155" s="258">
        <v>98527</v>
      </c>
      <c r="C155" s="258">
        <v>98527</v>
      </c>
      <c r="D155" s="258">
        <v>98527</v>
      </c>
      <c r="E155" s="258">
        <v>98527</v>
      </c>
      <c r="F155" s="258">
        <v>98527</v>
      </c>
      <c r="G155" s="258">
        <v>98527</v>
      </c>
      <c r="H155" s="258">
        <v>98527</v>
      </c>
      <c r="I155" s="258">
        <v>98527</v>
      </c>
      <c r="J155" s="258">
        <v>98527</v>
      </c>
      <c r="K155" s="258">
        <v>98527</v>
      </c>
      <c r="L155" s="258">
        <v>98527</v>
      </c>
      <c r="M155" s="258">
        <v>98527</v>
      </c>
      <c r="N155" s="258">
        <v>98527</v>
      </c>
      <c r="O155" s="258">
        <v>98527</v>
      </c>
      <c r="P155" s="258">
        <v>98527</v>
      </c>
      <c r="Q155" s="258">
        <v>98527</v>
      </c>
      <c r="R155" s="258">
        <v>98527</v>
      </c>
      <c r="S155" s="258">
        <v>98527</v>
      </c>
      <c r="T155" s="258">
        <v>98527</v>
      </c>
      <c r="U155" s="258">
        <v>98527</v>
      </c>
      <c r="V155" s="258">
        <v>98527</v>
      </c>
      <c r="W155" s="258">
        <v>98527</v>
      </c>
      <c r="X155" s="258">
        <v>98527</v>
      </c>
      <c r="Y155" s="258">
        <v>98527</v>
      </c>
      <c r="Z155" s="258">
        <v>98527</v>
      </c>
      <c r="AA155" s="258">
        <v>98527</v>
      </c>
      <c r="AB155" s="258">
        <v>98527</v>
      </c>
      <c r="AC155" s="258">
        <v>98527</v>
      </c>
      <c r="AD155" s="258">
        <v>98527</v>
      </c>
      <c r="AE155" s="258">
        <v>98527</v>
      </c>
      <c r="AF155" s="256">
        <v>98527</v>
      </c>
      <c r="AG155" s="257">
        <f>MAX(B155:AF155)</f>
        <v>98527</v>
      </c>
      <c r="AH155" s="44">
        <v>98527</v>
      </c>
    </row>
    <row r="156" spans="1:34" x14ac:dyDescent="0.35">
      <c r="A156" s="30" t="s">
        <v>295</v>
      </c>
      <c r="B156" s="258">
        <v>101532</v>
      </c>
      <c r="C156" s="258">
        <v>101532</v>
      </c>
      <c r="D156" s="258">
        <v>101532</v>
      </c>
      <c r="E156" s="258">
        <v>101532</v>
      </c>
      <c r="F156" s="258">
        <v>101532</v>
      </c>
      <c r="G156" s="258">
        <v>101532</v>
      </c>
      <c r="H156" s="258">
        <v>101532</v>
      </c>
      <c r="I156" s="258">
        <v>101532</v>
      </c>
      <c r="J156" s="258">
        <v>101532</v>
      </c>
      <c r="K156" s="258">
        <v>101532</v>
      </c>
      <c r="L156" s="258">
        <v>101532</v>
      </c>
      <c r="M156" s="258">
        <v>101532</v>
      </c>
      <c r="N156" s="258">
        <v>101532</v>
      </c>
      <c r="O156" s="258">
        <v>101532</v>
      </c>
      <c r="P156" s="258">
        <v>101532</v>
      </c>
      <c r="Q156" s="258">
        <v>101532</v>
      </c>
      <c r="R156" s="258">
        <v>101532</v>
      </c>
      <c r="S156" s="258">
        <v>101532</v>
      </c>
      <c r="T156" s="258">
        <v>101532</v>
      </c>
      <c r="U156" s="258">
        <v>101532</v>
      </c>
      <c r="V156" s="258">
        <v>101532</v>
      </c>
      <c r="W156" s="258">
        <v>101532</v>
      </c>
      <c r="X156" s="258">
        <v>101532</v>
      </c>
      <c r="Y156" s="258">
        <v>101532</v>
      </c>
      <c r="Z156" s="258">
        <v>101532</v>
      </c>
      <c r="AA156" s="258">
        <v>101532</v>
      </c>
      <c r="AB156" s="258">
        <v>101532</v>
      </c>
      <c r="AC156" s="258">
        <v>101532</v>
      </c>
      <c r="AD156" s="258">
        <v>101532</v>
      </c>
      <c r="AE156" s="258">
        <v>101532</v>
      </c>
      <c r="AF156" s="256">
        <v>101532</v>
      </c>
      <c r="AG156" s="257">
        <f t="shared" si="5"/>
        <v>101532</v>
      </c>
      <c r="AH156" s="44">
        <v>406138.17</v>
      </c>
    </row>
    <row r="157" spans="1:34" x14ac:dyDescent="0.35">
      <c r="A157" s="30" t="s">
        <v>296</v>
      </c>
      <c r="B157" s="258">
        <v>100761</v>
      </c>
      <c r="C157" s="258">
        <v>100761</v>
      </c>
      <c r="D157" s="258">
        <v>100761</v>
      </c>
      <c r="E157" s="258">
        <v>100761</v>
      </c>
      <c r="F157" s="258">
        <v>100761</v>
      </c>
      <c r="G157" s="258">
        <v>100761</v>
      </c>
      <c r="H157" s="258">
        <v>100761</v>
      </c>
      <c r="I157" s="258">
        <v>100761</v>
      </c>
      <c r="J157" s="258">
        <v>100761</v>
      </c>
      <c r="K157" s="258">
        <v>100761</v>
      </c>
      <c r="L157" s="258">
        <v>100761</v>
      </c>
      <c r="M157" s="258">
        <v>100761</v>
      </c>
      <c r="N157" s="258">
        <v>100761</v>
      </c>
      <c r="O157" s="258">
        <v>100761</v>
      </c>
      <c r="P157" s="258">
        <v>100761</v>
      </c>
      <c r="Q157" s="258">
        <v>100761</v>
      </c>
      <c r="R157" s="258">
        <v>100761</v>
      </c>
      <c r="S157" s="258">
        <v>100761</v>
      </c>
      <c r="T157" s="258">
        <v>100761</v>
      </c>
      <c r="U157" s="258">
        <v>100761</v>
      </c>
      <c r="V157" s="258">
        <v>100761</v>
      </c>
      <c r="W157" s="258">
        <v>100761</v>
      </c>
      <c r="X157" s="258">
        <v>100761</v>
      </c>
      <c r="Y157" s="258">
        <v>100761</v>
      </c>
      <c r="Z157" s="258">
        <v>100761</v>
      </c>
      <c r="AA157" s="258">
        <v>100761</v>
      </c>
      <c r="AB157" s="258">
        <v>100761</v>
      </c>
      <c r="AC157" s="258">
        <v>100761</v>
      </c>
      <c r="AD157" s="258">
        <v>100761</v>
      </c>
      <c r="AE157" s="258">
        <v>100761</v>
      </c>
      <c r="AF157" s="256">
        <v>100761</v>
      </c>
      <c r="AG157" s="257">
        <f t="shared" si="5"/>
        <v>100761</v>
      </c>
      <c r="AH157" s="44">
        <v>403044</v>
      </c>
    </row>
    <row r="158" spans="1:34" x14ac:dyDescent="0.35">
      <c r="A158" s="30" t="s">
        <v>298</v>
      </c>
      <c r="B158" s="258">
        <v>73007</v>
      </c>
      <c r="C158" s="258">
        <v>73007</v>
      </c>
      <c r="D158" s="258">
        <v>73007</v>
      </c>
      <c r="E158" s="258">
        <v>73007</v>
      </c>
      <c r="F158" s="258">
        <v>73007</v>
      </c>
      <c r="G158" s="258">
        <v>73007</v>
      </c>
      <c r="H158" s="258">
        <v>73007</v>
      </c>
      <c r="I158" s="258">
        <v>73007</v>
      </c>
      <c r="J158" s="258">
        <v>73007</v>
      </c>
      <c r="K158" s="258">
        <v>73007</v>
      </c>
      <c r="L158" s="258">
        <v>73007</v>
      </c>
      <c r="M158" s="258">
        <v>73007</v>
      </c>
      <c r="N158" s="258">
        <v>73007</v>
      </c>
      <c r="O158" s="258">
        <v>73007</v>
      </c>
      <c r="P158" s="258">
        <v>73007</v>
      </c>
      <c r="Q158" s="258">
        <v>73007</v>
      </c>
      <c r="R158" s="258">
        <v>73007</v>
      </c>
      <c r="S158" s="258">
        <v>73007</v>
      </c>
      <c r="T158" s="258">
        <v>73007</v>
      </c>
      <c r="U158" s="258">
        <v>73007</v>
      </c>
      <c r="V158" s="258">
        <v>73007</v>
      </c>
      <c r="W158" s="258">
        <v>73007</v>
      </c>
      <c r="X158" s="258">
        <v>73007</v>
      </c>
      <c r="Y158" s="258">
        <v>73007</v>
      </c>
      <c r="Z158" s="258">
        <v>73007</v>
      </c>
      <c r="AA158" s="258">
        <v>73007</v>
      </c>
      <c r="AB158" s="258">
        <v>73007</v>
      </c>
      <c r="AC158" s="258">
        <v>73007</v>
      </c>
      <c r="AD158" s="258">
        <v>73007</v>
      </c>
      <c r="AE158" s="258">
        <v>73007</v>
      </c>
      <c r="AF158" s="256">
        <v>73007</v>
      </c>
      <c r="AG158" s="257">
        <f t="shared" si="5"/>
        <v>73007</v>
      </c>
      <c r="AH158" s="44">
        <v>292029.59999999998</v>
      </c>
    </row>
    <row r="159" spans="1:34" x14ac:dyDescent="0.35">
      <c r="A159" s="30" t="s">
        <v>299</v>
      </c>
      <c r="B159" s="258">
        <v>97371</v>
      </c>
      <c r="C159" s="258">
        <v>97371</v>
      </c>
      <c r="D159" s="258">
        <v>97371</v>
      </c>
      <c r="E159" s="258">
        <v>97371</v>
      </c>
      <c r="F159" s="258">
        <v>97371</v>
      </c>
      <c r="G159" s="258">
        <v>97371</v>
      </c>
      <c r="H159" s="258">
        <v>97371</v>
      </c>
      <c r="I159" s="258">
        <v>97371</v>
      </c>
      <c r="J159" s="258">
        <v>97371</v>
      </c>
      <c r="K159" s="258">
        <v>97371</v>
      </c>
      <c r="L159" s="258">
        <v>97371</v>
      </c>
      <c r="M159" s="258">
        <v>97371</v>
      </c>
      <c r="N159" s="258">
        <v>97371</v>
      </c>
      <c r="O159" s="258">
        <v>97371</v>
      </c>
      <c r="P159" s="258">
        <v>97371</v>
      </c>
      <c r="Q159" s="258">
        <v>97371</v>
      </c>
      <c r="R159" s="258">
        <v>97371</v>
      </c>
      <c r="S159" s="258">
        <v>97371</v>
      </c>
      <c r="T159" s="258">
        <v>97371</v>
      </c>
      <c r="U159" s="258">
        <v>97371</v>
      </c>
      <c r="V159" s="258">
        <v>97371</v>
      </c>
      <c r="W159" s="258">
        <v>97371</v>
      </c>
      <c r="X159" s="258">
        <v>97371</v>
      </c>
      <c r="Y159" s="258">
        <v>97371</v>
      </c>
      <c r="Z159" s="258">
        <v>97371</v>
      </c>
      <c r="AA159" s="258">
        <v>97371</v>
      </c>
      <c r="AB159" s="258">
        <v>97371</v>
      </c>
      <c r="AC159" s="258">
        <v>97371</v>
      </c>
      <c r="AD159" s="258">
        <v>97371</v>
      </c>
      <c r="AE159" s="258">
        <v>97371</v>
      </c>
      <c r="AF159" s="256">
        <v>97371</v>
      </c>
      <c r="AG159" s="257">
        <f t="shared" si="5"/>
        <v>97371</v>
      </c>
      <c r="AH159" s="44">
        <v>389484</v>
      </c>
    </row>
    <row r="160" spans="1:34" x14ac:dyDescent="0.35">
      <c r="A160" s="30" t="s">
        <v>300</v>
      </c>
      <c r="B160" s="258">
        <v>84140</v>
      </c>
      <c r="C160" s="258">
        <v>84140</v>
      </c>
      <c r="D160" s="258">
        <v>84140</v>
      </c>
      <c r="E160" s="258">
        <v>84140</v>
      </c>
      <c r="F160" s="258">
        <v>84140</v>
      </c>
      <c r="G160" s="258">
        <v>84140</v>
      </c>
      <c r="H160" s="258">
        <v>84140</v>
      </c>
      <c r="I160" s="258">
        <v>84140</v>
      </c>
      <c r="J160" s="258">
        <v>84140</v>
      </c>
      <c r="K160" s="258">
        <v>84140</v>
      </c>
      <c r="L160" s="258">
        <v>84140</v>
      </c>
      <c r="M160" s="258">
        <v>84140</v>
      </c>
      <c r="N160" s="258">
        <v>84140</v>
      </c>
      <c r="O160" s="258">
        <v>84140</v>
      </c>
      <c r="P160" s="258">
        <v>84140</v>
      </c>
      <c r="Q160" s="258">
        <v>84140</v>
      </c>
      <c r="R160" s="258">
        <v>84140</v>
      </c>
      <c r="S160" s="258">
        <v>84140</v>
      </c>
      <c r="T160" s="258">
        <v>84140</v>
      </c>
      <c r="U160" s="258">
        <v>84140</v>
      </c>
      <c r="V160" s="258">
        <v>84140</v>
      </c>
      <c r="W160" s="258">
        <v>84140</v>
      </c>
      <c r="X160" s="258">
        <v>84140</v>
      </c>
      <c r="Y160" s="258">
        <v>84140</v>
      </c>
      <c r="Z160" s="258">
        <v>84140</v>
      </c>
      <c r="AA160" s="258">
        <v>84140</v>
      </c>
      <c r="AB160" s="258">
        <v>84140</v>
      </c>
      <c r="AC160" s="258">
        <v>84140</v>
      </c>
      <c r="AD160" s="258">
        <v>84140</v>
      </c>
      <c r="AE160" s="258">
        <v>84140</v>
      </c>
      <c r="AF160" s="256">
        <v>84140</v>
      </c>
      <c r="AG160" s="257">
        <f t="shared" si="5"/>
        <v>84140</v>
      </c>
      <c r="AH160" s="44">
        <v>336559.6</v>
      </c>
    </row>
    <row r="161" spans="1:34" x14ac:dyDescent="0.35">
      <c r="A161" s="30" t="s">
        <v>301</v>
      </c>
      <c r="B161" s="258">
        <v>93607</v>
      </c>
      <c r="C161" s="258">
        <v>93607</v>
      </c>
      <c r="D161" s="258">
        <v>93607</v>
      </c>
      <c r="E161" s="258">
        <v>93607</v>
      </c>
      <c r="F161" s="258">
        <v>93607</v>
      </c>
      <c r="G161" s="258">
        <v>93607</v>
      </c>
      <c r="H161" s="258">
        <v>93607</v>
      </c>
      <c r="I161" s="258">
        <v>93607</v>
      </c>
      <c r="J161" s="258">
        <v>93607</v>
      </c>
      <c r="K161" s="258">
        <v>93607</v>
      </c>
      <c r="L161" s="258">
        <v>93607</v>
      </c>
      <c r="M161" s="258">
        <v>93607</v>
      </c>
      <c r="N161" s="258">
        <v>93607</v>
      </c>
      <c r="O161" s="258">
        <v>93607</v>
      </c>
      <c r="P161" s="258">
        <v>93607</v>
      </c>
      <c r="Q161" s="258">
        <v>93607</v>
      </c>
      <c r="R161" s="258">
        <v>93607</v>
      </c>
      <c r="S161" s="258">
        <v>93607</v>
      </c>
      <c r="T161" s="258">
        <v>93607</v>
      </c>
      <c r="U161" s="258">
        <v>93607</v>
      </c>
      <c r="V161" s="258">
        <v>93607</v>
      </c>
      <c r="W161" s="258">
        <v>93607</v>
      </c>
      <c r="X161" s="258">
        <v>93607</v>
      </c>
      <c r="Y161" s="258">
        <v>93607</v>
      </c>
      <c r="Z161" s="258">
        <v>93607</v>
      </c>
      <c r="AA161" s="258">
        <v>93607</v>
      </c>
      <c r="AB161" s="258">
        <v>93607</v>
      </c>
      <c r="AC161" s="258">
        <v>93607</v>
      </c>
      <c r="AD161" s="258">
        <v>93607</v>
      </c>
      <c r="AE161" s="258">
        <v>93607</v>
      </c>
      <c r="AF161" s="256">
        <v>93607</v>
      </c>
      <c r="AG161" s="257">
        <f t="shared" si="5"/>
        <v>93607</v>
      </c>
      <c r="AH161" s="44">
        <v>374428</v>
      </c>
    </row>
    <row r="162" spans="1:34" x14ac:dyDescent="0.35">
      <c r="A162" s="30" t="s">
        <v>302</v>
      </c>
      <c r="B162" s="259">
        <v>0</v>
      </c>
      <c r="C162" s="255">
        <v>0</v>
      </c>
      <c r="D162" s="255">
        <v>0</v>
      </c>
      <c r="E162" s="255">
        <v>0</v>
      </c>
      <c r="F162" s="255">
        <v>0</v>
      </c>
      <c r="G162" s="255">
        <v>0</v>
      </c>
      <c r="H162" s="255">
        <v>0</v>
      </c>
      <c r="I162" s="255">
        <v>0</v>
      </c>
      <c r="J162" s="255">
        <v>0</v>
      </c>
      <c r="K162" s="255">
        <v>0</v>
      </c>
      <c r="L162" s="255">
        <v>0</v>
      </c>
      <c r="M162" s="255">
        <v>0</v>
      </c>
      <c r="N162" s="255">
        <v>0</v>
      </c>
      <c r="O162" s="255">
        <v>0</v>
      </c>
      <c r="P162" s="255">
        <v>0</v>
      </c>
      <c r="Q162" s="255">
        <v>0</v>
      </c>
      <c r="R162" s="255">
        <v>0</v>
      </c>
      <c r="S162" s="255">
        <v>0</v>
      </c>
      <c r="T162" s="255">
        <v>0</v>
      </c>
      <c r="U162" s="255">
        <v>0</v>
      </c>
      <c r="V162" s="255">
        <v>0</v>
      </c>
      <c r="W162" s="255">
        <v>0</v>
      </c>
      <c r="X162" s="255">
        <v>0</v>
      </c>
      <c r="Y162" s="255">
        <v>0</v>
      </c>
      <c r="Z162" s="255">
        <v>0</v>
      </c>
      <c r="AA162" s="255">
        <v>0</v>
      </c>
      <c r="AB162" s="255">
        <v>0</v>
      </c>
      <c r="AC162" s="255">
        <v>0</v>
      </c>
      <c r="AD162" s="255">
        <v>0</v>
      </c>
      <c r="AE162" s="255">
        <v>0</v>
      </c>
      <c r="AF162" s="256">
        <v>0</v>
      </c>
      <c r="AG162" s="257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60">
        <v>0</v>
      </c>
      <c r="C163" s="261">
        <v>0</v>
      </c>
      <c r="D163" s="261">
        <v>0</v>
      </c>
      <c r="E163" s="261">
        <v>0</v>
      </c>
      <c r="F163" s="261">
        <v>0</v>
      </c>
      <c r="G163" s="261">
        <v>0</v>
      </c>
      <c r="H163" s="261">
        <v>0</v>
      </c>
      <c r="I163" s="261">
        <v>0</v>
      </c>
      <c r="J163" s="261">
        <v>0</v>
      </c>
      <c r="K163" s="261">
        <v>0</v>
      </c>
      <c r="L163" s="261">
        <v>0</v>
      </c>
      <c r="M163" s="261">
        <v>0</v>
      </c>
      <c r="N163" s="261">
        <v>0</v>
      </c>
      <c r="O163" s="261">
        <v>0</v>
      </c>
      <c r="P163" s="261">
        <v>0</v>
      </c>
      <c r="Q163" s="261">
        <v>0</v>
      </c>
      <c r="R163" s="261">
        <v>0</v>
      </c>
      <c r="S163" s="261">
        <v>0</v>
      </c>
      <c r="T163" s="261">
        <v>0</v>
      </c>
      <c r="U163" s="261">
        <v>0</v>
      </c>
      <c r="V163" s="261">
        <v>0</v>
      </c>
      <c r="W163" s="261">
        <v>0</v>
      </c>
      <c r="X163" s="261">
        <v>0</v>
      </c>
      <c r="Y163" s="261">
        <v>0</v>
      </c>
      <c r="Z163" s="261">
        <v>0</v>
      </c>
      <c r="AA163" s="261">
        <v>0</v>
      </c>
      <c r="AB163" s="261">
        <v>0</v>
      </c>
      <c r="AC163" s="261">
        <v>0</v>
      </c>
      <c r="AD163" s="261">
        <v>0</v>
      </c>
      <c r="AE163" s="261">
        <v>0</v>
      </c>
      <c r="AF163" s="262">
        <v>0</v>
      </c>
      <c r="AG163" s="263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A1509-F745-4FE2-B6E1-4668D7463776}">
  <sheetPr codeName="Hoja5"/>
  <dimension ref="A1:AH163"/>
  <sheetViews>
    <sheetView showGridLines="0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V145" sqref="V145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>
        <v>45474</v>
      </c>
      <c r="B1" s="6" t="s">
        <v>0</v>
      </c>
      <c r="G1" s="39"/>
      <c r="L1" s="39"/>
      <c r="AF1" s="39"/>
      <c r="AG1" s="39"/>
    </row>
    <row r="2" spans="1:34" ht="15" thickBot="1" x14ac:dyDescent="0.4">
      <c r="AF2" s="39"/>
      <c r="AG2" s="39"/>
    </row>
    <row r="3" spans="1:34" ht="15" thickBot="1" x14ac:dyDescent="0.4">
      <c r="A3" s="17" t="s">
        <v>270</v>
      </c>
      <c r="B3" s="45">
        <v>45474</v>
      </c>
      <c r="C3" s="46">
        <v>45475</v>
      </c>
      <c r="D3" s="46">
        <v>45476</v>
      </c>
      <c r="E3" s="46">
        <v>45477</v>
      </c>
      <c r="F3" s="46">
        <v>45478</v>
      </c>
      <c r="G3" s="46">
        <v>45479</v>
      </c>
      <c r="H3" s="46">
        <v>45480</v>
      </c>
      <c r="I3" s="46">
        <v>45481</v>
      </c>
      <c r="J3" s="46">
        <v>45482</v>
      </c>
      <c r="K3" s="46">
        <v>45483</v>
      </c>
      <c r="L3" s="46">
        <v>45484</v>
      </c>
      <c r="M3" s="46">
        <v>45485</v>
      </c>
      <c r="N3" s="46">
        <v>45486</v>
      </c>
      <c r="O3" s="46">
        <v>45487</v>
      </c>
      <c r="P3" s="46">
        <v>45488</v>
      </c>
      <c r="Q3" s="46">
        <v>45489</v>
      </c>
      <c r="R3" s="46">
        <v>45490</v>
      </c>
      <c r="S3" s="46">
        <v>45491</v>
      </c>
      <c r="T3" s="46">
        <v>45492</v>
      </c>
      <c r="U3" s="46">
        <v>45493</v>
      </c>
      <c r="V3" s="46">
        <v>45494</v>
      </c>
      <c r="W3" s="46">
        <v>45495</v>
      </c>
      <c r="X3" s="46">
        <v>45496</v>
      </c>
      <c r="Y3" s="46">
        <v>45497</v>
      </c>
      <c r="Z3" s="46">
        <v>45498</v>
      </c>
      <c r="AA3" s="46">
        <v>45499</v>
      </c>
      <c r="AB3" s="46">
        <v>45500</v>
      </c>
      <c r="AC3" s="46">
        <v>45501</v>
      </c>
      <c r="AD3" s="46">
        <v>45502</v>
      </c>
      <c r="AE3" s="46">
        <v>45503</v>
      </c>
      <c r="AF3" s="48">
        <v>45504</v>
      </c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13">
        <v>81882.160000000134</v>
      </c>
      <c r="C4" s="14">
        <v>81899.950000000128</v>
      </c>
      <c r="D4" s="14">
        <v>81921.340000000127</v>
      </c>
      <c r="E4" s="14">
        <v>81942.830000000133</v>
      </c>
      <c r="F4" s="14">
        <v>81962.720000000132</v>
      </c>
      <c r="G4" s="14">
        <v>81983.490000000136</v>
      </c>
      <c r="H4" s="14">
        <v>82005.430000000139</v>
      </c>
      <c r="I4" s="14">
        <v>82026.930000000139</v>
      </c>
      <c r="J4" s="14">
        <v>82037.51000000014</v>
      </c>
      <c r="K4" s="14">
        <v>82050.070000000138</v>
      </c>
      <c r="L4" s="14">
        <v>82071.030000000144</v>
      </c>
      <c r="M4" s="14">
        <v>82092.27000000015</v>
      </c>
      <c r="N4" s="14">
        <v>82109.430000000153</v>
      </c>
      <c r="O4" s="14">
        <v>82128.730000000156</v>
      </c>
      <c r="P4" s="14">
        <v>82149.460000000152</v>
      </c>
      <c r="Q4" s="14">
        <v>82171.120000000155</v>
      </c>
      <c r="R4" s="14">
        <v>82192.100000000151</v>
      </c>
      <c r="S4" s="14">
        <v>82213.730000000156</v>
      </c>
      <c r="T4" s="14">
        <v>82235.550000000163</v>
      </c>
      <c r="U4" s="14">
        <v>82253.160000000164</v>
      </c>
      <c r="V4" s="14">
        <v>82274.550000000163</v>
      </c>
      <c r="W4" s="14">
        <v>82292.410000000164</v>
      </c>
      <c r="X4" s="14">
        <v>82296.980000000171</v>
      </c>
      <c r="Y4" s="14">
        <v>82300.62000000017</v>
      </c>
      <c r="Z4" s="14">
        <v>82321.330000000176</v>
      </c>
      <c r="AA4" s="14">
        <v>82338.750000000175</v>
      </c>
      <c r="AB4" s="14">
        <v>82354.110000000175</v>
      </c>
      <c r="AC4" s="14">
        <v>82375.85000000018</v>
      </c>
      <c r="AD4" s="14">
        <v>82397.110000000175</v>
      </c>
      <c r="AE4" s="14">
        <v>82418.360000000175</v>
      </c>
      <c r="AF4" s="15">
        <v>82430.760000000169</v>
      </c>
      <c r="AG4" s="51">
        <f t="shared" ref="AG4:AG35" si="0">MAX(B4:AF4)</f>
        <v>82430.760000000169</v>
      </c>
      <c r="AH4" s="44">
        <v>81861.5</v>
      </c>
    </row>
    <row r="5" spans="1:34" x14ac:dyDescent="0.35">
      <c r="A5" s="33" t="s">
        <v>11</v>
      </c>
      <c r="B5" s="10">
        <v>82181.980000000272</v>
      </c>
      <c r="C5" s="2">
        <v>82194.740000000267</v>
      </c>
      <c r="D5" s="2">
        <v>82216.250000000262</v>
      </c>
      <c r="E5" s="2">
        <v>82237.100000000268</v>
      </c>
      <c r="F5" s="2">
        <v>82258.360000000263</v>
      </c>
      <c r="G5" s="2">
        <v>82276.240000000267</v>
      </c>
      <c r="H5" s="2">
        <v>82296.370000000272</v>
      </c>
      <c r="I5" s="2">
        <v>82312.68000000027</v>
      </c>
      <c r="J5" s="2">
        <v>82323.140000000276</v>
      </c>
      <c r="K5" s="2">
        <v>82334.130000000281</v>
      </c>
      <c r="L5" s="2">
        <v>82353.16000000028</v>
      </c>
      <c r="M5" s="2">
        <v>82374.420000000275</v>
      </c>
      <c r="N5" s="2">
        <v>82394.220000000278</v>
      </c>
      <c r="O5" s="2">
        <v>82409.100000000282</v>
      </c>
      <c r="P5" s="2">
        <v>82414.010000000286</v>
      </c>
      <c r="Q5" s="2">
        <v>82414.010000000286</v>
      </c>
      <c r="R5" s="2">
        <v>82414.010000000286</v>
      </c>
      <c r="S5" s="2">
        <v>82414.010000000286</v>
      </c>
      <c r="T5" s="2">
        <v>82414.010000000286</v>
      </c>
      <c r="U5" s="2">
        <v>82417.290000000285</v>
      </c>
      <c r="V5" s="2">
        <v>82430.840000000288</v>
      </c>
      <c r="W5" s="2">
        <v>82438.230000000287</v>
      </c>
      <c r="X5" s="2">
        <v>82449.210000000283</v>
      </c>
      <c r="Y5" s="2">
        <v>82461.760000000286</v>
      </c>
      <c r="Z5" s="2">
        <v>82461.760000000286</v>
      </c>
      <c r="AA5" s="2">
        <v>82461.760000000286</v>
      </c>
      <c r="AB5" s="2">
        <v>82461.760000000286</v>
      </c>
      <c r="AC5" s="2">
        <v>82461.760000000286</v>
      </c>
      <c r="AD5" s="2">
        <v>82461.760000000286</v>
      </c>
      <c r="AE5" s="2">
        <v>82461.760000000286</v>
      </c>
      <c r="AF5" s="3">
        <v>82465.970000000292</v>
      </c>
      <c r="AG5" s="51">
        <f t="shared" si="0"/>
        <v>82465.970000000292</v>
      </c>
      <c r="AH5" s="44">
        <v>82163.009999999995</v>
      </c>
    </row>
    <row r="6" spans="1:34" x14ac:dyDescent="0.35">
      <c r="A6" s="33" t="s">
        <v>12</v>
      </c>
      <c r="B6" s="10">
        <v>82350.919999999896</v>
      </c>
      <c r="C6" s="2">
        <v>82372.219999999899</v>
      </c>
      <c r="D6" s="2">
        <v>82383.349999999904</v>
      </c>
      <c r="E6" s="2">
        <v>82383.349999999904</v>
      </c>
      <c r="F6" s="2">
        <v>82397.349999999904</v>
      </c>
      <c r="G6" s="2">
        <v>82414.619999999908</v>
      </c>
      <c r="H6" s="2">
        <v>82436.639999999912</v>
      </c>
      <c r="I6" s="2">
        <v>82443.869999999908</v>
      </c>
      <c r="J6" s="2">
        <v>82464.639999999912</v>
      </c>
      <c r="K6" s="2">
        <v>82484.819999999905</v>
      </c>
      <c r="L6" s="2">
        <v>82506.139999999912</v>
      </c>
      <c r="M6" s="2">
        <v>82521.999999999913</v>
      </c>
      <c r="N6" s="2">
        <v>82543.609999999913</v>
      </c>
      <c r="O6" s="2">
        <v>82565.099999999919</v>
      </c>
      <c r="P6" s="2">
        <v>82584.529999999912</v>
      </c>
      <c r="Q6" s="2">
        <v>82595.389999999912</v>
      </c>
      <c r="R6" s="2">
        <v>82609.849999999919</v>
      </c>
      <c r="S6" s="2">
        <v>82631.839999999924</v>
      </c>
      <c r="T6" s="2">
        <v>82652.379999999917</v>
      </c>
      <c r="U6" s="2">
        <v>82674.209999999919</v>
      </c>
      <c r="V6" s="2">
        <v>82695.559999999925</v>
      </c>
      <c r="W6" s="2">
        <v>82717.399999999921</v>
      </c>
      <c r="X6" s="2">
        <v>82737.049999999916</v>
      </c>
      <c r="Y6" s="2">
        <v>82753.129999999917</v>
      </c>
      <c r="Z6" s="2">
        <v>82770.939999999915</v>
      </c>
      <c r="AA6" s="2">
        <v>82792.649999999921</v>
      </c>
      <c r="AB6" s="2">
        <v>82813.849999999919</v>
      </c>
      <c r="AC6" s="2">
        <v>82832.529999999912</v>
      </c>
      <c r="AD6" s="2">
        <v>82846.599999999919</v>
      </c>
      <c r="AE6" s="2">
        <v>82862.219999999914</v>
      </c>
      <c r="AF6" s="3">
        <v>82882.509999999907</v>
      </c>
      <c r="AG6" s="51">
        <f t="shared" si="0"/>
        <v>82882.509999999907</v>
      </c>
      <c r="AH6" s="44">
        <v>82330.289999999994</v>
      </c>
    </row>
    <row r="7" spans="1:34" x14ac:dyDescent="0.35">
      <c r="A7" s="33" t="s">
        <v>13</v>
      </c>
      <c r="B7" s="10">
        <v>82854.619999999952</v>
      </c>
      <c r="C7" s="2">
        <v>82865.719999999958</v>
      </c>
      <c r="D7" s="2">
        <v>82878.749999999956</v>
      </c>
      <c r="E7" s="2">
        <v>82900.129999999961</v>
      </c>
      <c r="F7" s="2">
        <v>82921.799999999959</v>
      </c>
      <c r="G7" s="2">
        <v>82929.149999999965</v>
      </c>
      <c r="H7" s="2">
        <v>82944.549999999959</v>
      </c>
      <c r="I7" s="2">
        <v>82965.389999999956</v>
      </c>
      <c r="J7" s="2">
        <v>82986.959999999963</v>
      </c>
      <c r="K7" s="2">
        <v>83008.629999999961</v>
      </c>
      <c r="L7" s="2">
        <v>83030.149999999965</v>
      </c>
      <c r="M7" s="2">
        <v>83051.729999999967</v>
      </c>
      <c r="N7" s="2">
        <v>83073.449999999968</v>
      </c>
      <c r="O7" s="2">
        <v>83094.849999999962</v>
      </c>
      <c r="P7" s="2">
        <v>83115.879999999961</v>
      </c>
      <c r="Q7" s="2">
        <v>83137.599999999962</v>
      </c>
      <c r="R7" s="2">
        <v>83158.809999999969</v>
      </c>
      <c r="S7" s="2">
        <v>83175.939999999973</v>
      </c>
      <c r="T7" s="2">
        <v>83195.019999999975</v>
      </c>
      <c r="U7" s="2">
        <v>83216.599999999977</v>
      </c>
      <c r="V7" s="2">
        <v>83237.959999999977</v>
      </c>
      <c r="W7" s="2">
        <v>83255.229999999981</v>
      </c>
      <c r="X7" s="2">
        <v>83274.849999999977</v>
      </c>
      <c r="Y7" s="2">
        <v>83295.429999999978</v>
      </c>
      <c r="Z7" s="2">
        <v>83305.319999999978</v>
      </c>
      <c r="AA7" s="2">
        <v>83305.559999999983</v>
      </c>
      <c r="AB7" s="2">
        <v>83326.87999999999</v>
      </c>
      <c r="AC7" s="2">
        <v>83348.169999999984</v>
      </c>
      <c r="AD7" s="2">
        <v>83369.539999999979</v>
      </c>
      <c r="AE7" s="2">
        <v>83390.409999999974</v>
      </c>
      <c r="AF7" s="3">
        <v>83409.919999999969</v>
      </c>
      <c r="AG7" s="51">
        <f t="shared" si="0"/>
        <v>83409.919999999969</v>
      </c>
      <c r="AH7" s="44">
        <v>82834.77</v>
      </c>
    </row>
    <row r="8" spans="1:34" x14ac:dyDescent="0.35">
      <c r="A8" s="33" t="s">
        <v>14</v>
      </c>
      <c r="B8" s="10">
        <v>78237.550000000076</v>
      </c>
      <c r="C8" s="2">
        <v>78259.31000000007</v>
      </c>
      <c r="D8" s="2">
        <v>78278.500000000073</v>
      </c>
      <c r="E8" s="2">
        <v>78299.980000000069</v>
      </c>
      <c r="F8" s="2">
        <v>78319.600000000064</v>
      </c>
      <c r="G8" s="2">
        <v>78339.110000000059</v>
      </c>
      <c r="H8" s="2">
        <v>78360.670000000056</v>
      </c>
      <c r="I8" s="2">
        <v>78378.100000000049</v>
      </c>
      <c r="J8" s="2">
        <v>78399.580000000045</v>
      </c>
      <c r="K8" s="2">
        <v>78421.060000000041</v>
      </c>
      <c r="L8" s="2">
        <v>78433.850000000035</v>
      </c>
      <c r="M8" s="2">
        <v>78450.320000000036</v>
      </c>
      <c r="N8" s="2">
        <v>78469.810000000041</v>
      </c>
      <c r="O8" s="2">
        <v>78491.670000000042</v>
      </c>
      <c r="P8" s="2">
        <v>78501.600000000035</v>
      </c>
      <c r="Q8" s="2">
        <v>78511.930000000037</v>
      </c>
      <c r="R8" s="2">
        <v>78516.310000000041</v>
      </c>
      <c r="S8" s="2">
        <v>78516.310000000041</v>
      </c>
      <c r="T8" s="2">
        <v>78536.640000000043</v>
      </c>
      <c r="U8" s="2">
        <v>78556.310000000041</v>
      </c>
      <c r="V8" s="2">
        <v>78570.460000000036</v>
      </c>
      <c r="W8" s="2">
        <v>78570.460000000036</v>
      </c>
      <c r="X8" s="2">
        <v>78570.940000000031</v>
      </c>
      <c r="Y8" s="2">
        <v>78579.410000000033</v>
      </c>
      <c r="Z8" s="2">
        <v>78599.650000000038</v>
      </c>
      <c r="AA8" s="2">
        <v>78620.400000000038</v>
      </c>
      <c r="AB8" s="2">
        <v>78640.580000000031</v>
      </c>
      <c r="AC8" s="2">
        <v>78644.380000000034</v>
      </c>
      <c r="AD8" s="2">
        <v>78665.310000000027</v>
      </c>
      <c r="AE8" s="2">
        <v>78666.460000000021</v>
      </c>
      <c r="AF8" s="3">
        <v>78682.070000000022</v>
      </c>
      <c r="AG8" s="51">
        <f t="shared" si="0"/>
        <v>78682.070000000022</v>
      </c>
      <c r="AH8" s="44">
        <v>78218.100000000006</v>
      </c>
    </row>
    <row r="9" spans="1:34" x14ac:dyDescent="0.35">
      <c r="A9" s="33" t="s">
        <v>15</v>
      </c>
      <c r="B9" s="10">
        <v>80274.150000000023</v>
      </c>
      <c r="C9" s="2">
        <v>80282.72000000003</v>
      </c>
      <c r="D9" s="2">
        <v>80288.380000000034</v>
      </c>
      <c r="E9" s="2">
        <v>80288.380000000034</v>
      </c>
      <c r="F9" s="2">
        <v>80288.380000000034</v>
      </c>
      <c r="G9" s="2">
        <v>80288.380000000034</v>
      </c>
      <c r="H9" s="2">
        <v>80288.380000000034</v>
      </c>
      <c r="I9" s="2">
        <v>80288.380000000034</v>
      </c>
      <c r="J9" s="2">
        <v>80288.380000000034</v>
      </c>
      <c r="K9" s="2">
        <v>80288.380000000034</v>
      </c>
      <c r="L9" s="2">
        <v>80288.380000000034</v>
      </c>
      <c r="M9" s="2">
        <v>80288.380000000034</v>
      </c>
      <c r="N9" s="2">
        <v>80288.380000000034</v>
      </c>
      <c r="O9" s="2">
        <v>80288.380000000034</v>
      </c>
      <c r="P9" s="2">
        <v>80305.750000000029</v>
      </c>
      <c r="Q9" s="2">
        <v>80327.130000000034</v>
      </c>
      <c r="R9" s="2">
        <v>80348.84000000004</v>
      </c>
      <c r="S9" s="2">
        <v>80370.130000000034</v>
      </c>
      <c r="T9" s="2">
        <v>80391.390000000029</v>
      </c>
      <c r="U9" s="2">
        <v>80405.980000000025</v>
      </c>
      <c r="V9" s="2">
        <v>80424.140000000029</v>
      </c>
      <c r="W9" s="2">
        <v>80445.910000000033</v>
      </c>
      <c r="X9" s="2">
        <v>80467.000000000029</v>
      </c>
      <c r="Y9" s="2">
        <v>80488.000000000029</v>
      </c>
      <c r="Z9" s="2">
        <v>80502.97000000003</v>
      </c>
      <c r="AA9" s="2">
        <v>80514.730000000025</v>
      </c>
      <c r="AB9" s="2">
        <v>80536.010000000024</v>
      </c>
      <c r="AC9" s="2">
        <v>80547.030000000028</v>
      </c>
      <c r="AD9" s="2">
        <v>80568.810000000027</v>
      </c>
      <c r="AE9" s="2">
        <v>80581.920000000027</v>
      </c>
      <c r="AF9" s="3">
        <v>80602.620000000024</v>
      </c>
      <c r="AG9" s="51">
        <f t="shared" si="0"/>
        <v>80602.620000000024</v>
      </c>
      <c r="AH9" s="44">
        <v>80252.45</v>
      </c>
    </row>
    <row r="10" spans="1:34" x14ac:dyDescent="0.35">
      <c r="A10" s="33" t="s">
        <v>16</v>
      </c>
      <c r="B10" s="10">
        <v>79720.710000000094</v>
      </c>
      <c r="C10" s="2">
        <v>79742.390000000087</v>
      </c>
      <c r="D10" s="2">
        <v>79761.120000000083</v>
      </c>
      <c r="E10" s="2">
        <v>79780.860000000088</v>
      </c>
      <c r="F10" s="2">
        <v>79801.560000000085</v>
      </c>
      <c r="G10" s="2">
        <v>79822.980000000083</v>
      </c>
      <c r="H10" s="2">
        <v>79844.250000000087</v>
      </c>
      <c r="I10" s="2">
        <v>79865.250000000087</v>
      </c>
      <c r="J10" s="2">
        <v>79886.590000000084</v>
      </c>
      <c r="K10" s="2">
        <v>79908.040000000081</v>
      </c>
      <c r="L10" s="2">
        <v>79929.330000000075</v>
      </c>
      <c r="M10" s="2">
        <v>79950.710000000079</v>
      </c>
      <c r="N10" s="2">
        <v>79967.990000000078</v>
      </c>
      <c r="O10" s="2">
        <v>79975.980000000083</v>
      </c>
      <c r="P10" s="2">
        <v>79997.620000000083</v>
      </c>
      <c r="Q10" s="2">
        <v>80018.250000000087</v>
      </c>
      <c r="R10" s="2">
        <v>80031.380000000092</v>
      </c>
      <c r="S10" s="2">
        <v>80052.820000000094</v>
      </c>
      <c r="T10" s="2">
        <v>80073.330000000089</v>
      </c>
      <c r="U10" s="2">
        <v>80094.590000000084</v>
      </c>
      <c r="V10" s="2">
        <v>80115.970000000088</v>
      </c>
      <c r="W10" s="2">
        <v>80137.960000000094</v>
      </c>
      <c r="X10" s="2">
        <v>80159.44000000009</v>
      </c>
      <c r="Y10" s="2">
        <v>80177.30000000009</v>
      </c>
      <c r="Z10" s="2">
        <v>80192.740000000093</v>
      </c>
      <c r="AA10" s="2">
        <v>80212.850000000093</v>
      </c>
      <c r="AB10" s="2">
        <v>80233.9200000001</v>
      </c>
      <c r="AC10" s="2">
        <v>80255.430000000095</v>
      </c>
      <c r="AD10" s="2">
        <v>80277.400000000096</v>
      </c>
      <c r="AE10" s="2">
        <v>80297.1700000001</v>
      </c>
      <c r="AF10" s="3">
        <v>80309.850000000093</v>
      </c>
      <c r="AG10" s="51">
        <f t="shared" si="0"/>
        <v>80309.850000000093</v>
      </c>
      <c r="AH10" s="44">
        <v>79698.789999999994</v>
      </c>
    </row>
    <row r="11" spans="1:34" x14ac:dyDescent="0.35">
      <c r="A11" s="33" t="s">
        <v>17</v>
      </c>
      <c r="B11" s="10">
        <v>78085.190000000468</v>
      </c>
      <c r="C11" s="2">
        <v>78102.88000000047</v>
      </c>
      <c r="D11" s="2">
        <v>78122.790000000474</v>
      </c>
      <c r="E11" s="2">
        <v>78144.090000000477</v>
      </c>
      <c r="F11" s="2">
        <v>78156.940000000483</v>
      </c>
      <c r="G11" s="2">
        <v>78177.950000000477</v>
      </c>
      <c r="H11" s="2">
        <v>78199.350000000471</v>
      </c>
      <c r="I11" s="2">
        <v>78217.040000000474</v>
      </c>
      <c r="J11" s="2">
        <v>78238.25000000048</v>
      </c>
      <c r="K11" s="2">
        <v>78255.450000000477</v>
      </c>
      <c r="L11" s="2">
        <v>78256.660000000484</v>
      </c>
      <c r="M11" s="2">
        <v>78262.00000000048</v>
      </c>
      <c r="N11" s="2">
        <v>78282.650000000474</v>
      </c>
      <c r="O11" s="2">
        <v>78302.900000000474</v>
      </c>
      <c r="P11" s="2">
        <v>78315.600000000471</v>
      </c>
      <c r="Q11" s="2">
        <v>78334.430000000473</v>
      </c>
      <c r="R11" s="2">
        <v>78355.980000000476</v>
      </c>
      <c r="S11" s="2">
        <v>78377.220000000481</v>
      </c>
      <c r="T11" s="2">
        <v>78393.990000000485</v>
      </c>
      <c r="U11" s="2">
        <v>78415.210000000487</v>
      </c>
      <c r="V11" s="2">
        <v>78425.480000000491</v>
      </c>
      <c r="W11" s="2">
        <v>78437.750000000495</v>
      </c>
      <c r="X11" s="2">
        <v>78457.380000000499</v>
      </c>
      <c r="Y11" s="2">
        <v>78476.500000000495</v>
      </c>
      <c r="Z11" s="2">
        <v>78496.220000000496</v>
      </c>
      <c r="AA11" s="2">
        <v>78516.76000000049</v>
      </c>
      <c r="AB11" s="2">
        <v>78537.590000000491</v>
      </c>
      <c r="AC11" s="2">
        <v>78559.320000000487</v>
      </c>
      <c r="AD11" s="2">
        <v>78580.200000000492</v>
      </c>
      <c r="AE11" s="2">
        <v>78597.780000000494</v>
      </c>
      <c r="AF11" s="3">
        <v>78603.340000000491</v>
      </c>
      <c r="AG11" s="51">
        <f t="shared" si="0"/>
        <v>78603.340000000491</v>
      </c>
      <c r="AH11" s="44">
        <v>78063.259999999995</v>
      </c>
    </row>
    <row r="12" spans="1:34" x14ac:dyDescent="0.35">
      <c r="A12" s="33" t="s">
        <v>18</v>
      </c>
      <c r="B12" s="10">
        <v>78236.779999999795</v>
      </c>
      <c r="C12" s="2">
        <v>78253.849999999802</v>
      </c>
      <c r="D12" s="2">
        <v>78274.859999999797</v>
      </c>
      <c r="E12" s="2">
        <v>78286.709999999803</v>
      </c>
      <c r="F12" s="2">
        <v>78305.949999999808</v>
      </c>
      <c r="G12" s="2">
        <v>78325.459999999803</v>
      </c>
      <c r="H12" s="2">
        <v>78347.02999999981</v>
      </c>
      <c r="I12" s="2">
        <v>78367.939999999813</v>
      </c>
      <c r="J12" s="2">
        <v>78389.299999999814</v>
      </c>
      <c r="K12" s="2">
        <v>78410.14999999982</v>
      </c>
      <c r="L12" s="2">
        <v>78417.39999999982</v>
      </c>
      <c r="M12" s="2">
        <v>78424.00999999982</v>
      </c>
      <c r="N12" s="2">
        <v>78440.209999999817</v>
      </c>
      <c r="O12" s="2">
        <v>78461.379999999815</v>
      </c>
      <c r="P12" s="2">
        <v>78482.879999999815</v>
      </c>
      <c r="Q12" s="2">
        <v>78500.50999999982</v>
      </c>
      <c r="R12" s="2">
        <v>78510.129999999815</v>
      </c>
      <c r="S12" s="2">
        <v>78530.969999999812</v>
      </c>
      <c r="T12" s="2">
        <v>78550.729999999807</v>
      </c>
      <c r="U12" s="2">
        <v>78571.6599999998</v>
      </c>
      <c r="V12" s="2">
        <v>78588.739999999802</v>
      </c>
      <c r="W12" s="2">
        <v>78592.229999999807</v>
      </c>
      <c r="X12" s="2">
        <v>78603.569999999803</v>
      </c>
      <c r="Y12" s="2">
        <v>78617.02999999981</v>
      </c>
      <c r="Z12" s="2">
        <v>78638.549999999814</v>
      </c>
      <c r="AA12" s="2">
        <v>78659.879999999815</v>
      </c>
      <c r="AB12" s="2">
        <v>78681.119999999821</v>
      </c>
      <c r="AC12" s="2">
        <v>78702.449999999822</v>
      </c>
      <c r="AD12" s="2">
        <v>78723.829999999827</v>
      </c>
      <c r="AE12" s="2">
        <v>78745.00999999982</v>
      </c>
      <c r="AF12" s="3">
        <v>78766.629999999815</v>
      </c>
      <c r="AG12" s="51">
        <f t="shared" si="0"/>
        <v>78766.629999999815</v>
      </c>
      <c r="AH12" s="44">
        <v>78217.919999999998</v>
      </c>
    </row>
    <row r="13" spans="1:34" x14ac:dyDescent="0.35">
      <c r="A13" s="33" t="s">
        <v>19</v>
      </c>
      <c r="B13" s="10">
        <v>74954.38</v>
      </c>
      <c r="C13" s="2">
        <v>74972.070000000007</v>
      </c>
      <c r="D13" s="2">
        <v>74991.670000000013</v>
      </c>
      <c r="E13" s="2">
        <v>75010.270000000019</v>
      </c>
      <c r="F13" s="2">
        <v>75016.710000000021</v>
      </c>
      <c r="G13" s="2">
        <v>75038.370000000024</v>
      </c>
      <c r="H13" s="2">
        <v>75049.390000000029</v>
      </c>
      <c r="I13" s="2">
        <v>75069.930000000022</v>
      </c>
      <c r="J13" s="2">
        <v>75092.220000000016</v>
      </c>
      <c r="K13" s="2">
        <v>75113.380000000019</v>
      </c>
      <c r="L13" s="2">
        <v>75121.180000000022</v>
      </c>
      <c r="M13" s="2">
        <v>75128.800000000017</v>
      </c>
      <c r="N13" s="2">
        <v>75128.800000000017</v>
      </c>
      <c r="O13" s="2">
        <v>75137.250000000015</v>
      </c>
      <c r="P13" s="2">
        <v>75158.650000000009</v>
      </c>
      <c r="Q13" s="2">
        <v>75180.33</v>
      </c>
      <c r="R13" s="2">
        <v>75202.040000000008</v>
      </c>
      <c r="S13" s="2">
        <v>75222.73000000001</v>
      </c>
      <c r="T13" s="2">
        <v>75244.13</v>
      </c>
      <c r="U13" s="2">
        <v>75256.010000000009</v>
      </c>
      <c r="V13" s="2">
        <v>75275.55</v>
      </c>
      <c r="W13" s="2">
        <v>75287.3</v>
      </c>
      <c r="X13" s="2">
        <v>75306.83</v>
      </c>
      <c r="Y13" s="2">
        <v>75321.91</v>
      </c>
      <c r="Z13" s="2">
        <v>75330.77</v>
      </c>
      <c r="AA13" s="2">
        <v>75342.510000000009</v>
      </c>
      <c r="AB13" s="2">
        <v>75362.450000000012</v>
      </c>
      <c r="AC13" s="2">
        <v>75381.000000000015</v>
      </c>
      <c r="AD13" s="2">
        <v>75401.10000000002</v>
      </c>
      <c r="AE13" s="2">
        <v>75404.750000000015</v>
      </c>
      <c r="AF13" s="3">
        <v>75422.610000000015</v>
      </c>
      <c r="AG13" s="51">
        <f t="shared" si="0"/>
        <v>75422.610000000015</v>
      </c>
      <c r="AH13" s="44">
        <v>74934.48</v>
      </c>
    </row>
    <row r="14" spans="1:34" x14ac:dyDescent="0.35">
      <c r="A14" s="33" t="s">
        <v>20</v>
      </c>
      <c r="B14" s="10">
        <v>73670.770000000135</v>
      </c>
      <c r="C14" s="2">
        <v>73692.210000000137</v>
      </c>
      <c r="D14" s="2">
        <v>73706.39000000013</v>
      </c>
      <c r="E14" s="2">
        <v>73727.28000000013</v>
      </c>
      <c r="F14" s="2">
        <v>73741.100000000137</v>
      </c>
      <c r="G14" s="2">
        <v>73759.910000000134</v>
      </c>
      <c r="H14" s="2">
        <v>73781.230000000141</v>
      </c>
      <c r="I14" s="2">
        <v>73801.910000000134</v>
      </c>
      <c r="J14" s="2">
        <v>73818.110000000132</v>
      </c>
      <c r="K14" s="2">
        <v>73829.470000000132</v>
      </c>
      <c r="L14" s="2">
        <v>73835.470000000132</v>
      </c>
      <c r="M14" s="2">
        <v>73856.950000000128</v>
      </c>
      <c r="N14" s="2">
        <v>73878.590000000127</v>
      </c>
      <c r="O14" s="2">
        <v>73898.860000000132</v>
      </c>
      <c r="P14" s="2">
        <v>73908.810000000129</v>
      </c>
      <c r="Q14" s="2">
        <v>73917.590000000127</v>
      </c>
      <c r="R14" s="2">
        <v>73922.410000000134</v>
      </c>
      <c r="S14" s="2">
        <v>73938.820000000138</v>
      </c>
      <c r="T14" s="2">
        <v>73943.980000000141</v>
      </c>
      <c r="U14" s="2">
        <v>73947.26000000014</v>
      </c>
      <c r="V14" s="2">
        <v>73968.780000000144</v>
      </c>
      <c r="W14" s="2">
        <v>73986.01000000014</v>
      </c>
      <c r="X14" s="2">
        <v>73994.280000000144</v>
      </c>
      <c r="Y14" s="2">
        <v>74010.500000000146</v>
      </c>
      <c r="Z14" s="2">
        <v>74021.050000000148</v>
      </c>
      <c r="AA14" s="2">
        <v>74042.260000000155</v>
      </c>
      <c r="AB14" s="2">
        <v>74059.620000000155</v>
      </c>
      <c r="AC14" s="2">
        <v>74080.510000000155</v>
      </c>
      <c r="AD14" s="2">
        <v>74095.840000000157</v>
      </c>
      <c r="AE14" s="2">
        <v>74115.550000000163</v>
      </c>
      <c r="AF14" s="3">
        <v>74136.780000000159</v>
      </c>
      <c r="AG14" s="51">
        <f t="shared" si="0"/>
        <v>74136.780000000159</v>
      </c>
      <c r="AH14" s="44">
        <v>73653.33</v>
      </c>
    </row>
    <row r="15" spans="1:34" x14ac:dyDescent="0.35">
      <c r="A15" s="33" t="s">
        <v>21</v>
      </c>
      <c r="B15" s="10">
        <v>74178.930000000095</v>
      </c>
      <c r="C15" s="2">
        <v>74200.360000000088</v>
      </c>
      <c r="D15" s="2">
        <v>74216.600000000093</v>
      </c>
      <c r="E15" s="2">
        <v>74219.140000000087</v>
      </c>
      <c r="F15" s="2">
        <v>74232.860000000088</v>
      </c>
      <c r="G15" s="2">
        <v>74253.660000000091</v>
      </c>
      <c r="H15" s="2">
        <v>74274.840000000084</v>
      </c>
      <c r="I15" s="2">
        <v>74287.30000000009</v>
      </c>
      <c r="J15" s="2">
        <v>74287.430000000095</v>
      </c>
      <c r="K15" s="2">
        <v>74308.160000000091</v>
      </c>
      <c r="L15" s="2">
        <v>74329.400000000096</v>
      </c>
      <c r="M15" s="2">
        <v>74350.69000000009</v>
      </c>
      <c r="N15" s="2">
        <v>74371.830000000089</v>
      </c>
      <c r="O15" s="2">
        <v>74382.530000000086</v>
      </c>
      <c r="P15" s="2">
        <v>74397.910000000091</v>
      </c>
      <c r="Q15" s="2">
        <v>74414.040000000095</v>
      </c>
      <c r="R15" s="2">
        <v>74428.880000000092</v>
      </c>
      <c r="S15" s="2">
        <v>74450.740000000093</v>
      </c>
      <c r="T15" s="2">
        <v>74472.470000000088</v>
      </c>
      <c r="U15" s="2">
        <v>74493.580000000089</v>
      </c>
      <c r="V15" s="2">
        <v>74497.870000000083</v>
      </c>
      <c r="W15" s="2">
        <v>74518.910000000076</v>
      </c>
      <c r="X15" s="2">
        <v>74529.920000000071</v>
      </c>
      <c r="Y15" s="2">
        <v>74550.81000000007</v>
      </c>
      <c r="Z15" s="2">
        <v>74572.360000000073</v>
      </c>
      <c r="AA15" s="2">
        <v>74585.970000000074</v>
      </c>
      <c r="AB15" s="2">
        <v>74604.56000000007</v>
      </c>
      <c r="AC15" s="2">
        <v>74624.090000000069</v>
      </c>
      <c r="AD15" s="2">
        <v>74642.600000000064</v>
      </c>
      <c r="AE15" s="2">
        <v>74664.230000000069</v>
      </c>
      <c r="AF15" s="3">
        <v>74685.820000000065</v>
      </c>
      <c r="AG15" s="51">
        <f t="shared" si="0"/>
        <v>74685.820000000065</v>
      </c>
      <c r="AH15" s="44">
        <v>74157.53</v>
      </c>
    </row>
    <row r="16" spans="1:34" x14ac:dyDescent="0.35">
      <c r="A16" s="33" t="s">
        <v>22</v>
      </c>
      <c r="B16" s="10">
        <v>72286.839999999938</v>
      </c>
      <c r="C16" s="2">
        <v>72292.009999999937</v>
      </c>
      <c r="D16" s="2">
        <v>72312.29999999993</v>
      </c>
      <c r="E16" s="2">
        <v>72333.229999999923</v>
      </c>
      <c r="F16" s="2">
        <v>72352.379999999917</v>
      </c>
      <c r="G16" s="2">
        <v>72373.439999999915</v>
      </c>
      <c r="H16" s="2">
        <v>72394.229999999909</v>
      </c>
      <c r="I16" s="2">
        <v>72415.959999999905</v>
      </c>
      <c r="J16" s="2">
        <v>72433.779999999912</v>
      </c>
      <c r="K16" s="2">
        <v>72451.719999999914</v>
      </c>
      <c r="L16" s="2">
        <v>72467.379999999917</v>
      </c>
      <c r="M16" s="2">
        <v>72483.81999999992</v>
      </c>
      <c r="N16" s="2">
        <v>72498.769999999917</v>
      </c>
      <c r="O16" s="2">
        <v>72520.529999999912</v>
      </c>
      <c r="P16" s="2">
        <v>72534.729999999909</v>
      </c>
      <c r="Q16" s="2">
        <v>72539.609999999913</v>
      </c>
      <c r="R16" s="2">
        <v>72539.609999999913</v>
      </c>
      <c r="S16" s="2">
        <v>72539.609999999913</v>
      </c>
      <c r="T16" s="2">
        <v>72539.609999999913</v>
      </c>
      <c r="U16" s="2">
        <v>72539.609999999913</v>
      </c>
      <c r="V16" s="2">
        <v>72539.609999999913</v>
      </c>
      <c r="W16" s="2">
        <v>72539.609999999913</v>
      </c>
      <c r="X16" s="2">
        <v>72560.049999999916</v>
      </c>
      <c r="Y16" s="2">
        <v>72580.80999999991</v>
      </c>
      <c r="Z16" s="2">
        <v>72601.269999999917</v>
      </c>
      <c r="AA16" s="2">
        <v>72608.989999999918</v>
      </c>
      <c r="AB16" s="2">
        <v>72629.979999999923</v>
      </c>
      <c r="AC16" s="2">
        <v>72650.999999999927</v>
      </c>
      <c r="AD16" s="2">
        <v>72672.449999999924</v>
      </c>
      <c r="AE16" s="2">
        <v>72693.879999999917</v>
      </c>
      <c r="AF16" s="3">
        <v>72716.269999999917</v>
      </c>
      <c r="AG16" s="51">
        <f t="shared" si="0"/>
        <v>72716.269999999917</v>
      </c>
      <c r="AH16" s="44">
        <v>72283.48</v>
      </c>
    </row>
    <row r="17" spans="1:34" x14ac:dyDescent="0.35">
      <c r="A17" s="33" t="s">
        <v>23</v>
      </c>
      <c r="B17" s="10">
        <v>73852.450000000099</v>
      </c>
      <c r="C17" s="2">
        <v>73873.190000000104</v>
      </c>
      <c r="D17" s="2">
        <v>73894.150000000111</v>
      </c>
      <c r="E17" s="2">
        <v>73915.780000000115</v>
      </c>
      <c r="F17" s="2">
        <v>73934.390000000116</v>
      </c>
      <c r="G17" s="2">
        <v>73956.310000000114</v>
      </c>
      <c r="H17" s="2">
        <v>73967.480000000112</v>
      </c>
      <c r="I17" s="2">
        <v>73983.490000000107</v>
      </c>
      <c r="J17" s="2">
        <v>74004.750000000102</v>
      </c>
      <c r="K17" s="2">
        <v>74023.580000000104</v>
      </c>
      <c r="L17" s="2">
        <v>74034.0600000001</v>
      </c>
      <c r="M17" s="2">
        <v>74050.020000000106</v>
      </c>
      <c r="N17" s="2">
        <v>74071.450000000099</v>
      </c>
      <c r="O17" s="2">
        <v>74092.070000000094</v>
      </c>
      <c r="P17" s="2">
        <v>74112.570000000094</v>
      </c>
      <c r="Q17" s="2">
        <v>74134.1700000001</v>
      </c>
      <c r="R17" s="2">
        <v>74155.650000000096</v>
      </c>
      <c r="S17" s="2">
        <v>74177.110000000102</v>
      </c>
      <c r="T17" s="2">
        <v>74196.430000000109</v>
      </c>
      <c r="U17" s="2">
        <v>74200.230000000112</v>
      </c>
      <c r="V17" s="2">
        <v>74222.140000000116</v>
      </c>
      <c r="W17" s="2">
        <v>74242.810000000114</v>
      </c>
      <c r="X17" s="2">
        <v>74264.090000000113</v>
      </c>
      <c r="Y17" s="2">
        <v>74284.340000000113</v>
      </c>
      <c r="Z17" s="2">
        <v>74301.100000000108</v>
      </c>
      <c r="AA17" s="2">
        <v>74309.650000000111</v>
      </c>
      <c r="AB17" s="2">
        <v>74313.250000000116</v>
      </c>
      <c r="AC17" s="2">
        <v>74313.250000000116</v>
      </c>
      <c r="AD17" s="2">
        <v>74313.250000000116</v>
      </c>
      <c r="AE17" s="2">
        <v>74313.250000000116</v>
      </c>
      <c r="AF17" s="3">
        <v>74326.02000000012</v>
      </c>
      <c r="AG17" s="51">
        <f t="shared" si="0"/>
        <v>74326.02000000012</v>
      </c>
      <c r="AH17" s="44">
        <v>73832.44</v>
      </c>
    </row>
    <row r="18" spans="1:34" x14ac:dyDescent="0.35">
      <c r="A18" s="33" t="s">
        <v>24</v>
      </c>
      <c r="B18" s="10">
        <v>74199.950000000114</v>
      </c>
      <c r="C18" s="2">
        <v>74221.29000000011</v>
      </c>
      <c r="D18" s="2">
        <v>74241.650000000111</v>
      </c>
      <c r="E18" s="2">
        <v>74259.560000000114</v>
      </c>
      <c r="F18" s="2">
        <v>74272.630000000121</v>
      </c>
      <c r="G18" s="2">
        <v>74291.960000000123</v>
      </c>
      <c r="H18" s="2">
        <v>74311.52000000012</v>
      </c>
      <c r="I18" s="2">
        <v>74328.040000000125</v>
      </c>
      <c r="J18" s="2">
        <v>74329.380000000121</v>
      </c>
      <c r="K18" s="2">
        <v>74338.840000000127</v>
      </c>
      <c r="L18" s="2">
        <v>74359.580000000133</v>
      </c>
      <c r="M18" s="2">
        <v>74381.230000000127</v>
      </c>
      <c r="N18" s="2">
        <v>74401.130000000121</v>
      </c>
      <c r="O18" s="2">
        <v>74415.560000000114</v>
      </c>
      <c r="P18" s="2">
        <v>74429.79000000011</v>
      </c>
      <c r="Q18" s="2">
        <v>74451.220000000103</v>
      </c>
      <c r="R18" s="2">
        <v>74463.930000000109</v>
      </c>
      <c r="S18" s="2">
        <v>74485.070000000109</v>
      </c>
      <c r="T18" s="2">
        <v>74506.500000000102</v>
      </c>
      <c r="U18" s="2">
        <v>74527.520000000106</v>
      </c>
      <c r="V18" s="2">
        <v>74548.640000000101</v>
      </c>
      <c r="W18" s="2">
        <v>74570.080000000104</v>
      </c>
      <c r="X18" s="2">
        <v>74591.6700000001</v>
      </c>
      <c r="Y18" s="2">
        <v>74612.050000000105</v>
      </c>
      <c r="Z18" s="2">
        <v>74629.960000000108</v>
      </c>
      <c r="AA18" s="2">
        <v>74651.620000000112</v>
      </c>
      <c r="AB18" s="2">
        <v>74673.430000000109</v>
      </c>
      <c r="AC18" s="2">
        <v>74691.29000000011</v>
      </c>
      <c r="AD18" s="2">
        <v>74702.440000000104</v>
      </c>
      <c r="AE18" s="2">
        <v>74722.530000000101</v>
      </c>
      <c r="AF18" s="3">
        <v>74743.890000000101</v>
      </c>
      <c r="AG18" s="51">
        <f t="shared" si="0"/>
        <v>74743.890000000101</v>
      </c>
      <c r="AH18" s="44">
        <v>74179.72</v>
      </c>
    </row>
    <row r="19" spans="1:34" x14ac:dyDescent="0.35">
      <c r="A19" s="33" t="s">
        <v>25</v>
      </c>
      <c r="B19" s="10">
        <v>72378.830000000249</v>
      </c>
      <c r="C19" s="2">
        <v>72378.830000000249</v>
      </c>
      <c r="D19" s="2">
        <v>72387.390000000247</v>
      </c>
      <c r="E19" s="2">
        <v>72404.860000000248</v>
      </c>
      <c r="F19" s="2">
        <v>72421.480000000243</v>
      </c>
      <c r="G19" s="2">
        <v>72438.080000000249</v>
      </c>
      <c r="H19" s="2">
        <v>72451.470000000249</v>
      </c>
      <c r="I19" s="2">
        <v>72472.530000000246</v>
      </c>
      <c r="J19" s="2">
        <v>72492.250000000247</v>
      </c>
      <c r="K19" s="2">
        <v>72498.330000000249</v>
      </c>
      <c r="L19" s="2">
        <v>72506.430000000255</v>
      </c>
      <c r="M19" s="2">
        <v>72516.500000000262</v>
      </c>
      <c r="N19" s="2">
        <v>72517.250000000262</v>
      </c>
      <c r="O19" s="2">
        <v>72525.070000000269</v>
      </c>
      <c r="P19" s="2">
        <v>72546.810000000274</v>
      </c>
      <c r="Q19" s="2">
        <v>72561.830000000278</v>
      </c>
      <c r="R19" s="2">
        <v>72577.000000000276</v>
      </c>
      <c r="S19" s="2">
        <v>72598.320000000283</v>
      </c>
      <c r="T19" s="2">
        <v>72616.510000000286</v>
      </c>
      <c r="U19" s="2">
        <v>72622.330000000293</v>
      </c>
      <c r="V19" s="2">
        <v>72643.170000000289</v>
      </c>
      <c r="W19" s="2">
        <v>72665.120000000286</v>
      </c>
      <c r="X19" s="2">
        <v>72681.330000000293</v>
      </c>
      <c r="Y19" s="2">
        <v>72697.130000000296</v>
      </c>
      <c r="Z19" s="2">
        <v>72697.130000000296</v>
      </c>
      <c r="AA19" s="2">
        <v>72715.970000000292</v>
      </c>
      <c r="AB19" s="2">
        <v>72737.750000000291</v>
      </c>
      <c r="AC19" s="2">
        <v>72759.28000000029</v>
      </c>
      <c r="AD19" s="2">
        <v>72772.760000000286</v>
      </c>
      <c r="AE19" s="2">
        <v>72794.150000000285</v>
      </c>
      <c r="AF19" s="3">
        <v>72811.66000000028</v>
      </c>
      <c r="AG19" s="51">
        <f t="shared" si="0"/>
        <v>72811.66000000028</v>
      </c>
      <c r="AH19" s="44">
        <v>72378.83</v>
      </c>
    </row>
    <row r="20" spans="1:34" x14ac:dyDescent="0.35">
      <c r="A20" s="33" t="s">
        <v>26</v>
      </c>
      <c r="B20" s="10">
        <v>73394.159999999902</v>
      </c>
      <c r="C20" s="2">
        <v>73394.159999999902</v>
      </c>
      <c r="D20" s="2">
        <v>73394.159999999902</v>
      </c>
      <c r="E20" s="2">
        <v>73394.159999999902</v>
      </c>
      <c r="F20" s="2">
        <v>73394.159999999902</v>
      </c>
      <c r="G20" s="2">
        <v>73394.159999999902</v>
      </c>
      <c r="H20" s="2">
        <v>73399.319999999905</v>
      </c>
      <c r="I20" s="2">
        <v>73415.459999999905</v>
      </c>
      <c r="J20" s="2">
        <v>73436.8299999999</v>
      </c>
      <c r="K20" s="2">
        <v>73458.519999999902</v>
      </c>
      <c r="L20" s="2">
        <v>73479.999999999898</v>
      </c>
      <c r="M20" s="2">
        <v>73501.4399999999</v>
      </c>
      <c r="N20" s="2">
        <v>73522.529999999897</v>
      </c>
      <c r="O20" s="2">
        <v>73544.159999999902</v>
      </c>
      <c r="P20" s="2">
        <v>73558.309999999896</v>
      </c>
      <c r="Q20" s="2">
        <v>73579.799999999901</v>
      </c>
      <c r="R20" s="2">
        <v>73598.749999999898</v>
      </c>
      <c r="S20" s="2">
        <v>73620.379999999903</v>
      </c>
      <c r="T20" s="2">
        <v>73641.299999999901</v>
      </c>
      <c r="U20" s="2">
        <v>73663.1899999999</v>
      </c>
      <c r="V20" s="2">
        <v>73684.009999999907</v>
      </c>
      <c r="W20" s="2">
        <v>73704.369999999908</v>
      </c>
      <c r="X20" s="2">
        <v>73711.399999999907</v>
      </c>
      <c r="Y20" s="2">
        <v>73726.709999999905</v>
      </c>
      <c r="Z20" s="2">
        <v>73748.819999999905</v>
      </c>
      <c r="AA20" s="2">
        <v>73768.779999999912</v>
      </c>
      <c r="AB20" s="2">
        <v>73781.019999999917</v>
      </c>
      <c r="AC20" s="2">
        <v>73802.529999999912</v>
      </c>
      <c r="AD20" s="2">
        <v>73822.109999999913</v>
      </c>
      <c r="AE20" s="2">
        <v>73838.189999999915</v>
      </c>
      <c r="AF20" s="3">
        <v>73859.42999999992</v>
      </c>
      <c r="AG20" s="51">
        <f t="shared" si="0"/>
        <v>73859.42999999992</v>
      </c>
      <c r="AH20" s="44">
        <v>73394.16</v>
      </c>
    </row>
    <row r="21" spans="1:34" x14ac:dyDescent="0.35">
      <c r="A21" s="33" t="s">
        <v>27</v>
      </c>
      <c r="B21" s="10">
        <v>74650.550000000076</v>
      </c>
      <c r="C21" s="2">
        <v>74671.760000000082</v>
      </c>
      <c r="D21" s="2">
        <v>74693.210000000079</v>
      </c>
      <c r="E21" s="2">
        <v>74701.620000000083</v>
      </c>
      <c r="F21" s="2">
        <v>74723.170000000086</v>
      </c>
      <c r="G21" s="2">
        <v>74744.150000000081</v>
      </c>
      <c r="H21" s="2">
        <v>74765.840000000084</v>
      </c>
      <c r="I21" s="2">
        <v>74787.55000000009</v>
      </c>
      <c r="J21" s="2">
        <v>74807.160000000091</v>
      </c>
      <c r="K21" s="2">
        <v>74828.710000000094</v>
      </c>
      <c r="L21" s="2">
        <v>74838.490000000093</v>
      </c>
      <c r="M21" s="2">
        <v>74859.720000000088</v>
      </c>
      <c r="N21" s="2">
        <v>74881.280000000086</v>
      </c>
      <c r="O21" s="2">
        <v>74902.500000000087</v>
      </c>
      <c r="P21" s="2">
        <v>74917.460000000094</v>
      </c>
      <c r="Q21" s="2">
        <v>74934.1700000001</v>
      </c>
      <c r="R21" s="2">
        <v>74955.730000000098</v>
      </c>
      <c r="S21" s="2">
        <v>74964.650000000096</v>
      </c>
      <c r="T21" s="2">
        <v>74986.110000000102</v>
      </c>
      <c r="U21" s="2">
        <v>75005.780000000101</v>
      </c>
      <c r="V21" s="2">
        <v>75025.080000000104</v>
      </c>
      <c r="W21" s="2">
        <v>75032.770000000106</v>
      </c>
      <c r="X21" s="2">
        <v>75052.54000000011</v>
      </c>
      <c r="Y21" s="2">
        <v>75073.700000000114</v>
      </c>
      <c r="Z21" s="2">
        <v>75095.050000000119</v>
      </c>
      <c r="AA21" s="2">
        <v>75116.400000000125</v>
      </c>
      <c r="AB21" s="2">
        <v>75137.730000000127</v>
      </c>
      <c r="AC21" s="2">
        <v>75158.950000000128</v>
      </c>
      <c r="AD21" s="2">
        <v>75180.560000000129</v>
      </c>
      <c r="AE21" s="2">
        <v>75193.930000000124</v>
      </c>
      <c r="AF21" s="3">
        <v>75205.720000000118</v>
      </c>
      <c r="AG21" s="51">
        <f t="shared" si="0"/>
        <v>75205.720000000118</v>
      </c>
      <c r="AH21" s="44">
        <v>74630.48</v>
      </c>
    </row>
    <row r="22" spans="1:34" x14ac:dyDescent="0.35">
      <c r="A22" s="33" t="s">
        <v>28</v>
      </c>
      <c r="B22" s="10">
        <v>70962.109999999957</v>
      </c>
      <c r="C22" s="2">
        <v>70979.829999999958</v>
      </c>
      <c r="D22" s="2">
        <v>71001.699999999953</v>
      </c>
      <c r="E22" s="2">
        <v>71023.279999999955</v>
      </c>
      <c r="F22" s="2">
        <v>71041.629999999961</v>
      </c>
      <c r="G22" s="2">
        <v>71049.01999999996</v>
      </c>
      <c r="H22" s="2">
        <v>71066.029999999955</v>
      </c>
      <c r="I22" s="2">
        <v>71087.429999999949</v>
      </c>
      <c r="J22" s="2">
        <v>71096.889999999956</v>
      </c>
      <c r="K22" s="2">
        <v>71099.069999999949</v>
      </c>
      <c r="L22" s="2">
        <v>71099.069999999949</v>
      </c>
      <c r="M22" s="2">
        <v>71099.069999999949</v>
      </c>
      <c r="N22" s="2">
        <v>71115.969999999943</v>
      </c>
      <c r="O22" s="2">
        <v>71132.78999999995</v>
      </c>
      <c r="P22" s="2">
        <v>71153.359999999957</v>
      </c>
      <c r="Q22" s="2">
        <v>71166.499999999956</v>
      </c>
      <c r="R22" s="2">
        <v>71177.749999999956</v>
      </c>
      <c r="S22" s="2">
        <v>71195.53999999995</v>
      </c>
      <c r="T22" s="2">
        <v>71217.239999999947</v>
      </c>
      <c r="U22" s="2">
        <v>71238.649999999951</v>
      </c>
      <c r="V22" s="2">
        <v>71257.429999999949</v>
      </c>
      <c r="W22" s="2">
        <v>71278.529999999955</v>
      </c>
      <c r="X22" s="2">
        <v>71298.51999999996</v>
      </c>
      <c r="Y22" s="2">
        <v>71320.489999999962</v>
      </c>
      <c r="Z22" s="2">
        <v>71341.839999999967</v>
      </c>
      <c r="AA22" s="2">
        <v>71363.559999999969</v>
      </c>
      <c r="AB22" s="2">
        <v>71377.059999999969</v>
      </c>
      <c r="AC22" s="2">
        <v>71398.909999999974</v>
      </c>
      <c r="AD22" s="2">
        <v>71420.239999999976</v>
      </c>
      <c r="AE22" s="2">
        <v>71441.499999999971</v>
      </c>
      <c r="AF22" s="3">
        <v>71462.869999999966</v>
      </c>
      <c r="AG22" s="51">
        <f t="shared" si="0"/>
        <v>71462.869999999966</v>
      </c>
      <c r="AH22" s="44">
        <v>70941.59</v>
      </c>
    </row>
    <row r="23" spans="1:34" x14ac:dyDescent="0.35">
      <c r="A23" s="33" t="s">
        <v>29</v>
      </c>
      <c r="B23" s="10">
        <v>68130.909999999931</v>
      </c>
      <c r="C23" s="2">
        <v>68137.459999999934</v>
      </c>
      <c r="D23" s="2">
        <v>68157.759999999937</v>
      </c>
      <c r="E23" s="2">
        <v>68179.719999999943</v>
      </c>
      <c r="F23" s="2">
        <v>68201.339999999938</v>
      </c>
      <c r="G23" s="2">
        <v>68217.539999999935</v>
      </c>
      <c r="H23" s="2">
        <v>68225.909999999931</v>
      </c>
      <c r="I23" s="2">
        <v>68241.039999999935</v>
      </c>
      <c r="J23" s="2">
        <v>68262.849999999933</v>
      </c>
      <c r="K23" s="2">
        <v>68283.79999999993</v>
      </c>
      <c r="L23" s="2">
        <v>68303.719999999928</v>
      </c>
      <c r="M23" s="2">
        <v>68322.169999999925</v>
      </c>
      <c r="N23" s="2">
        <v>68330.019999999931</v>
      </c>
      <c r="O23" s="2">
        <v>68340.839999999938</v>
      </c>
      <c r="P23" s="2">
        <v>68355.129999999932</v>
      </c>
      <c r="Q23" s="2">
        <v>68376.079999999929</v>
      </c>
      <c r="R23" s="2">
        <v>68397.649999999936</v>
      </c>
      <c r="S23" s="2">
        <v>68418.739999999932</v>
      </c>
      <c r="T23" s="2">
        <v>68437.319999999934</v>
      </c>
      <c r="U23" s="2">
        <v>68456.79999999993</v>
      </c>
      <c r="V23" s="2">
        <v>68463.329999999929</v>
      </c>
      <c r="W23" s="2">
        <v>68463.409999999931</v>
      </c>
      <c r="X23" s="2">
        <v>68479.499999999927</v>
      </c>
      <c r="Y23" s="2">
        <v>68500.869999999923</v>
      </c>
      <c r="Z23" s="2">
        <v>68519.43999999993</v>
      </c>
      <c r="AA23" s="2">
        <v>68531.019999999931</v>
      </c>
      <c r="AB23" s="2">
        <v>68548.849999999933</v>
      </c>
      <c r="AC23" s="2">
        <v>68557.809999999939</v>
      </c>
      <c r="AD23" s="2">
        <v>68578.759999999937</v>
      </c>
      <c r="AE23" s="2">
        <v>68599.849999999933</v>
      </c>
      <c r="AF23" s="3">
        <v>68618.509999999937</v>
      </c>
      <c r="AG23" s="51">
        <f t="shared" si="0"/>
        <v>68618.509999999937</v>
      </c>
      <c r="AH23" s="44">
        <v>68123.22</v>
      </c>
    </row>
    <row r="24" spans="1:34" x14ac:dyDescent="0.35">
      <c r="A24" s="33" t="s">
        <v>30</v>
      </c>
      <c r="B24" s="10">
        <v>66782.45000000007</v>
      </c>
      <c r="C24" s="2">
        <v>66797.790000000066</v>
      </c>
      <c r="D24" s="2">
        <v>66818.040000000066</v>
      </c>
      <c r="E24" s="2">
        <v>66834.880000000063</v>
      </c>
      <c r="F24" s="2">
        <v>66842.410000000062</v>
      </c>
      <c r="G24" s="2">
        <v>66842.410000000062</v>
      </c>
      <c r="H24" s="2">
        <v>66851.240000000063</v>
      </c>
      <c r="I24" s="2">
        <v>66862.180000000066</v>
      </c>
      <c r="J24" s="2">
        <v>66883.360000000059</v>
      </c>
      <c r="K24" s="2">
        <v>66904.560000000056</v>
      </c>
      <c r="L24" s="2">
        <v>66926.450000000055</v>
      </c>
      <c r="M24" s="2">
        <v>66946.600000000049</v>
      </c>
      <c r="N24" s="2">
        <v>66967.770000000048</v>
      </c>
      <c r="O24" s="2">
        <v>66976.680000000051</v>
      </c>
      <c r="P24" s="2">
        <v>66997.040000000052</v>
      </c>
      <c r="Q24" s="2">
        <v>67017.100000000049</v>
      </c>
      <c r="R24" s="2">
        <v>67031.410000000047</v>
      </c>
      <c r="S24" s="2">
        <v>67048.520000000048</v>
      </c>
      <c r="T24" s="2">
        <v>67069.090000000055</v>
      </c>
      <c r="U24" s="2">
        <v>67090.430000000051</v>
      </c>
      <c r="V24" s="2">
        <v>67104.360000000044</v>
      </c>
      <c r="W24" s="2">
        <v>67119.110000000044</v>
      </c>
      <c r="X24" s="2">
        <v>67132.900000000038</v>
      </c>
      <c r="Y24" s="2">
        <v>67153.750000000044</v>
      </c>
      <c r="Z24" s="2">
        <v>67173.830000000045</v>
      </c>
      <c r="AA24" s="2">
        <v>67193.860000000044</v>
      </c>
      <c r="AB24" s="2">
        <v>67214.430000000051</v>
      </c>
      <c r="AC24" s="2">
        <v>67235.630000000048</v>
      </c>
      <c r="AD24" s="2">
        <v>67257.050000000047</v>
      </c>
      <c r="AE24" s="2">
        <v>67278.59000000004</v>
      </c>
      <c r="AF24" s="3">
        <v>67299.98000000004</v>
      </c>
      <c r="AG24" s="51">
        <f t="shared" si="0"/>
        <v>67299.98000000004</v>
      </c>
      <c r="AH24" s="44">
        <v>66778.929999999993</v>
      </c>
    </row>
    <row r="25" spans="1:34" x14ac:dyDescent="0.35">
      <c r="A25" s="33" t="s">
        <v>31</v>
      </c>
      <c r="B25" s="10">
        <v>66779.009999999951</v>
      </c>
      <c r="C25" s="2">
        <v>66799.589999999953</v>
      </c>
      <c r="D25" s="2">
        <v>66820.999999999956</v>
      </c>
      <c r="E25" s="2">
        <v>66842.439999999959</v>
      </c>
      <c r="F25" s="2">
        <v>66863.309999999954</v>
      </c>
      <c r="G25" s="2">
        <v>66884.219999999958</v>
      </c>
      <c r="H25" s="2">
        <v>66895.699999999953</v>
      </c>
      <c r="I25" s="2">
        <v>66916.569999999949</v>
      </c>
      <c r="J25" s="2">
        <v>66937.759999999951</v>
      </c>
      <c r="K25" s="2">
        <v>66959.149999999951</v>
      </c>
      <c r="L25" s="2">
        <v>66980.719999999958</v>
      </c>
      <c r="M25" s="2">
        <v>67002.369999999952</v>
      </c>
      <c r="N25" s="2">
        <v>67023.999999999956</v>
      </c>
      <c r="O25" s="2">
        <v>67044.889999999956</v>
      </c>
      <c r="P25" s="2">
        <v>67057.319999999949</v>
      </c>
      <c r="Q25" s="2">
        <v>67077.299999999945</v>
      </c>
      <c r="R25" s="2">
        <v>67094.16999999994</v>
      </c>
      <c r="S25" s="2">
        <v>67115.759999999937</v>
      </c>
      <c r="T25" s="2">
        <v>67137.249999999942</v>
      </c>
      <c r="U25" s="2">
        <v>67158.449999999939</v>
      </c>
      <c r="V25" s="2">
        <v>67179.559999999939</v>
      </c>
      <c r="W25" s="2">
        <v>67195.799999999945</v>
      </c>
      <c r="X25" s="2">
        <v>67199.78999999995</v>
      </c>
      <c r="Y25" s="2">
        <v>67201.729999999952</v>
      </c>
      <c r="Z25" s="2">
        <v>67217.959999999948</v>
      </c>
      <c r="AA25" s="2">
        <v>67234.119999999952</v>
      </c>
      <c r="AB25" s="2">
        <v>67252.129999999946</v>
      </c>
      <c r="AC25" s="2">
        <v>67272.869999999952</v>
      </c>
      <c r="AD25" s="2">
        <v>67294.529999999955</v>
      </c>
      <c r="AE25" s="2">
        <v>67316.189999999959</v>
      </c>
      <c r="AF25" s="3">
        <v>67336.559999999954</v>
      </c>
      <c r="AG25" s="51">
        <f t="shared" si="0"/>
        <v>67336.559999999954</v>
      </c>
      <c r="AH25" s="44">
        <v>66760.27</v>
      </c>
    </row>
    <row r="26" spans="1:34" x14ac:dyDescent="0.35">
      <c r="A26" s="33" t="s">
        <v>32</v>
      </c>
      <c r="B26" s="10">
        <v>67468.699999999939</v>
      </c>
      <c r="C26" s="2">
        <v>67484.209999999934</v>
      </c>
      <c r="D26" s="2">
        <v>67505.889999999927</v>
      </c>
      <c r="E26" s="2">
        <v>67527.199999999924</v>
      </c>
      <c r="F26" s="2">
        <v>67546.649999999921</v>
      </c>
      <c r="G26" s="2">
        <v>67567.839999999924</v>
      </c>
      <c r="H26" s="2">
        <v>67589.399999999921</v>
      </c>
      <c r="I26" s="2">
        <v>67611.519999999917</v>
      </c>
      <c r="J26" s="2">
        <v>67633.159999999916</v>
      </c>
      <c r="K26" s="2">
        <v>67654.729999999923</v>
      </c>
      <c r="L26" s="2">
        <v>67673.81999999992</v>
      </c>
      <c r="M26" s="2">
        <v>67695.349999999919</v>
      </c>
      <c r="N26" s="2">
        <v>67716.92999999992</v>
      </c>
      <c r="O26" s="2">
        <v>67725.939999999915</v>
      </c>
      <c r="P26" s="2">
        <v>67747.239999999918</v>
      </c>
      <c r="Q26" s="2">
        <v>67761.869999999923</v>
      </c>
      <c r="R26" s="2">
        <v>67773.949999999924</v>
      </c>
      <c r="S26" s="2">
        <v>67792.979999999923</v>
      </c>
      <c r="T26" s="2">
        <v>67814.539999999921</v>
      </c>
      <c r="U26" s="2">
        <v>67835.969999999914</v>
      </c>
      <c r="V26" s="2">
        <v>67857.379999999917</v>
      </c>
      <c r="W26" s="2">
        <v>67878.899999999921</v>
      </c>
      <c r="X26" s="2">
        <v>67898.109999999928</v>
      </c>
      <c r="Y26" s="2">
        <v>67919.849999999933</v>
      </c>
      <c r="Z26" s="2">
        <v>67941.41999999994</v>
      </c>
      <c r="AA26" s="2">
        <v>67963.009999999937</v>
      </c>
      <c r="AB26" s="2">
        <v>67981.709999999934</v>
      </c>
      <c r="AC26" s="2">
        <v>68003.359999999928</v>
      </c>
      <c r="AD26" s="2">
        <v>68016.68999999993</v>
      </c>
      <c r="AE26" s="2">
        <v>68018.139999999927</v>
      </c>
      <c r="AF26" s="3">
        <v>68029.869999999923</v>
      </c>
      <c r="AG26" s="51">
        <f t="shared" si="0"/>
        <v>68029.869999999923</v>
      </c>
      <c r="AH26" s="44">
        <v>67462.34</v>
      </c>
    </row>
    <row r="27" spans="1:34" x14ac:dyDescent="0.35">
      <c r="A27" s="33" t="s">
        <v>33</v>
      </c>
      <c r="B27" s="10">
        <v>68219.000000000044</v>
      </c>
      <c r="C27" s="2">
        <v>68239.410000000047</v>
      </c>
      <c r="D27" s="2">
        <v>68257.030000000042</v>
      </c>
      <c r="E27" s="2">
        <v>68276.720000000045</v>
      </c>
      <c r="F27" s="2">
        <v>68296.96000000005</v>
      </c>
      <c r="G27" s="2">
        <v>68317.980000000054</v>
      </c>
      <c r="H27" s="2">
        <v>68339.360000000059</v>
      </c>
      <c r="I27" s="2">
        <v>68358.390000000058</v>
      </c>
      <c r="J27" s="2">
        <v>68379.890000000058</v>
      </c>
      <c r="K27" s="2">
        <v>68401.780000000057</v>
      </c>
      <c r="L27" s="2">
        <v>68421.250000000058</v>
      </c>
      <c r="M27" s="2">
        <v>68421.250000000058</v>
      </c>
      <c r="N27" s="2">
        <v>68433.850000000064</v>
      </c>
      <c r="O27" s="2">
        <v>68455.360000000059</v>
      </c>
      <c r="P27" s="2">
        <v>68474.230000000054</v>
      </c>
      <c r="Q27" s="2">
        <v>68487.650000000052</v>
      </c>
      <c r="R27" s="2">
        <v>68508.96000000005</v>
      </c>
      <c r="S27" s="2">
        <v>68530.630000000048</v>
      </c>
      <c r="T27" s="2">
        <v>68552.240000000049</v>
      </c>
      <c r="U27" s="2">
        <v>68574.290000000052</v>
      </c>
      <c r="V27" s="2">
        <v>68595.270000000048</v>
      </c>
      <c r="W27" s="2">
        <v>68617.140000000043</v>
      </c>
      <c r="X27" s="2">
        <v>68632.650000000038</v>
      </c>
      <c r="Y27" s="2">
        <v>68654.030000000042</v>
      </c>
      <c r="Z27" s="2">
        <v>68674.320000000036</v>
      </c>
      <c r="AA27" s="2">
        <v>68693.250000000029</v>
      </c>
      <c r="AB27" s="2">
        <v>68708.22000000003</v>
      </c>
      <c r="AC27" s="2">
        <v>68712.090000000026</v>
      </c>
      <c r="AD27" s="2">
        <v>68715.370000000024</v>
      </c>
      <c r="AE27" s="2">
        <v>68715.370000000024</v>
      </c>
      <c r="AF27" s="3">
        <v>68715.370000000024</v>
      </c>
      <c r="AG27" s="51">
        <f t="shared" si="0"/>
        <v>68715.370000000024</v>
      </c>
      <c r="AH27" s="44">
        <v>68202.13</v>
      </c>
    </row>
    <row r="28" spans="1:34" x14ac:dyDescent="0.35">
      <c r="A28" s="33" t="s">
        <v>34</v>
      </c>
      <c r="B28" s="10">
        <v>65779.860000000073</v>
      </c>
      <c r="C28" s="2">
        <v>65801.190000000075</v>
      </c>
      <c r="D28" s="2">
        <v>65821.760000000082</v>
      </c>
      <c r="E28" s="2">
        <v>65842.350000000079</v>
      </c>
      <c r="F28" s="2">
        <v>65861.590000000084</v>
      </c>
      <c r="G28" s="2">
        <v>65876.780000000086</v>
      </c>
      <c r="H28" s="2">
        <v>65898.310000000085</v>
      </c>
      <c r="I28" s="2">
        <v>65919.350000000079</v>
      </c>
      <c r="J28" s="2">
        <v>65938.390000000072</v>
      </c>
      <c r="K28" s="2">
        <v>65959.430000000066</v>
      </c>
      <c r="L28" s="2">
        <v>65980.870000000068</v>
      </c>
      <c r="M28" s="2">
        <v>65995.990000000063</v>
      </c>
      <c r="N28" s="2">
        <v>66017.550000000061</v>
      </c>
      <c r="O28" s="2">
        <v>66036.040000000066</v>
      </c>
      <c r="P28" s="2">
        <v>66057.360000000073</v>
      </c>
      <c r="Q28" s="2">
        <v>66077.57000000008</v>
      </c>
      <c r="R28" s="2">
        <v>66088.900000000081</v>
      </c>
      <c r="S28" s="2">
        <v>66110.560000000085</v>
      </c>
      <c r="T28" s="2">
        <v>66131.970000000088</v>
      </c>
      <c r="U28" s="2">
        <v>66153.570000000094</v>
      </c>
      <c r="V28" s="2">
        <v>66175.5600000001</v>
      </c>
      <c r="W28" s="2">
        <v>66197.510000000097</v>
      </c>
      <c r="X28" s="2">
        <v>66214.05000000009</v>
      </c>
      <c r="Y28" s="2">
        <v>66235.110000000088</v>
      </c>
      <c r="Z28" s="2">
        <v>66253.260000000082</v>
      </c>
      <c r="AA28" s="2">
        <v>66265.840000000084</v>
      </c>
      <c r="AB28" s="2">
        <v>66283.780000000086</v>
      </c>
      <c r="AC28" s="2">
        <v>66290.360000000088</v>
      </c>
      <c r="AD28" s="2">
        <v>66309.570000000094</v>
      </c>
      <c r="AE28" s="2">
        <v>66328.070000000094</v>
      </c>
      <c r="AF28" s="3">
        <v>66346.450000000099</v>
      </c>
      <c r="AG28" s="51">
        <f t="shared" si="0"/>
        <v>66346.450000000099</v>
      </c>
      <c r="AH28" s="44">
        <v>65761.259999999995</v>
      </c>
    </row>
    <row r="29" spans="1:34" x14ac:dyDescent="0.35">
      <c r="A29" s="33" t="s">
        <v>35</v>
      </c>
      <c r="B29" s="10">
        <v>67057.620000000068</v>
      </c>
      <c r="C29" s="2">
        <v>67077.770000000062</v>
      </c>
      <c r="D29" s="2">
        <v>67099.320000000065</v>
      </c>
      <c r="E29" s="2">
        <v>67120.980000000069</v>
      </c>
      <c r="F29" s="2">
        <v>67136.830000000075</v>
      </c>
      <c r="G29" s="2">
        <v>67158.470000000074</v>
      </c>
      <c r="H29" s="2">
        <v>67180.140000000072</v>
      </c>
      <c r="I29" s="2">
        <v>67200.520000000077</v>
      </c>
      <c r="J29" s="2">
        <v>67222.06000000007</v>
      </c>
      <c r="K29" s="2">
        <v>67237.100000000064</v>
      </c>
      <c r="L29" s="2">
        <v>67258.230000000069</v>
      </c>
      <c r="M29" s="2">
        <v>67269.930000000066</v>
      </c>
      <c r="N29" s="2">
        <v>67280.040000000066</v>
      </c>
      <c r="O29" s="2">
        <v>67301.120000000068</v>
      </c>
      <c r="P29" s="2">
        <v>67320.670000000071</v>
      </c>
      <c r="Q29" s="2">
        <v>67341.750000000073</v>
      </c>
      <c r="R29" s="2">
        <v>67347.520000000077</v>
      </c>
      <c r="S29" s="2">
        <v>67363.970000000074</v>
      </c>
      <c r="T29" s="2">
        <v>67385.290000000081</v>
      </c>
      <c r="U29" s="2">
        <v>67406.93000000008</v>
      </c>
      <c r="V29" s="2">
        <v>67428.780000000086</v>
      </c>
      <c r="W29" s="2">
        <v>67451.080000000089</v>
      </c>
      <c r="X29" s="2">
        <v>67469.580000000089</v>
      </c>
      <c r="Y29" s="2">
        <v>67488.810000000085</v>
      </c>
      <c r="Z29" s="2">
        <v>67509.790000000081</v>
      </c>
      <c r="AA29" s="2">
        <v>67530.900000000081</v>
      </c>
      <c r="AB29" s="2">
        <v>67551.980000000083</v>
      </c>
      <c r="AC29" s="2">
        <v>67573.510000000082</v>
      </c>
      <c r="AD29" s="2">
        <v>67578.420000000086</v>
      </c>
      <c r="AE29" s="2">
        <v>67599.710000000079</v>
      </c>
      <c r="AF29" s="3">
        <v>67613.140000000072</v>
      </c>
      <c r="AG29" s="51">
        <f t="shared" si="0"/>
        <v>67613.140000000072</v>
      </c>
      <c r="AH29" s="44">
        <v>67039.009999999995</v>
      </c>
    </row>
    <row r="30" spans="1:34" x14ac:dyDescent="0.35">
      <c r="A30" s="33" t="s">
        <v>36</v>
      </c>
      <c r="B30" s="10">
        <v>66561.850000000195</v>
      </c>
      <c r="C30" s="2">
        <v>66575.290000000197</v>
      </c>
      <c r="D30" s="2">
        <v>66596.500000000204</v>
      </c>
      <c r="E30" s="2">
        <v>66616.35000000021</v>
      </c>
      <c r="F30" s="2">
        <v>66637.650000000212</v>
      </c>
      <c r="G30" s="2">
        <v>66659.160000000207</v>
      </c>
      <c r="H30" s="2">
        <v>66680.650000000212</v>
      </c>
      <c r="I30" s="2">
        <v>66701.770000000208</v>
      </c>
      <c r="J30" s="2">
        <v>66722.96000000021</v>
      </c>
      <c r="K30" s="2">
        <v>66743.110000000204</v>
      </c>
      <c r="L30" s="2">
        <v>66754.160000000207</v>
      </c>
      <c r="M30" s="2">
        <v>66773.970000000205</v>
      </c>
      <c r="N30" s="2">
        <v>66786.020000000208</v>
      </c>
      <c r="O30" s="2">
        <v>66807.200000000201</v>
      </c>
      <c r="P30" s="2">
        <v>66828.140000000203</v>
      </c>
      <c r="Q30" s="2">
        <v>66847.2300000002</v>
      </c>
      <c r="R30" s="2">
        <v>66862.400000000198</v>
      </c>
      <c r="S30" s="2">
        <v>66879.220000000205</v>
      </c>
      <c r="T30" s="2">
        <v>66900.96000000021</v>
      </c>
      <c r="U30" s="2">
        <v>66922.630000000208</v>
      </c>
      <c r="V30" s="2">
        <v>66944.580000000205</v>
      </c>
      <c r="W30" s="2">
        <v>66966.220000000205</v>
      </c>
      <c r="X30" s="2">
        <v>66986.810000000201</v>
      </c>
      <c r="Y30" s="2">
        <v>67008.040000000197</v>
      </c>
      <c r="Z30" s="2">
        <v>67029.040000000197</v>
      </c>
      <c r="AA30" s="2">
        <v>67043.900000000198</v>
      </c>
      <c r="AB30" s="2">
        <v>67045.100000000195</v>
      </c>
      <c r="AC30" s="2">
        <v>67066.210000000196</v>
      </c>
      <c r="AD30" s="2">
        <v>67085.420000000202</v>
      </c>
      <c r="AE30" s="2">
        <v>67107.170000000202</v>
      </c>
      <c r="AF30" s="3">
        <v>67128.990000000209</v>
      </c>
      <c r="AG30" s="51">
        <f t="shared" si="0"/>
        <v>67128.990000000209</v>
      </c>
      <c r="AH30" s="44">
        <v>66543.839999999997</v>
      </c>
    </row>
    <row r="31" spans="1:34" x14ac:dyDescent="0.35">
      <c r="A31" s="33" t="s">
        <v>37</v>
      </c>
      <c r="B31" s="10">
        <v>66675.66</v>
      </c>
      <c r="C31" s="2">
        <v>66692.790000000008</v>
      </c>
      <c r="D31" s="2">
        <v>66693.530000000013</v>
      </c>
      <c r="E31" s="2">
        <v>66709.780000000013</v>
      </c>
      <c r="F31" s="2">
        <v>66731.300000000017</v>
      </c>
      <c r="G31" s="2">
        <v>66749.710000000021</v>
      </c>
      <c r="H31" s="2">
        <v>66767.460000000021</v>
      </c>
      <c r="I31" s="2">
        <v>66784.820000000022</v>
      </c>
      <c r="J31" s="2">
        <v>66803.620000000024</v>
      </c>
      <c r="K31" s="2">
        <v>66825.050000000017</v>
      </c>
      <c r="L31" s="2">
        <v>66839.000000000015</v>
      </c>
      <c r="M31" s="2">
        <v>66860.130000000019</v>
      </c>
      <c r="N31" s="2">
        <v>66881.310000000012</v>
      </c>
      <c r="O31" s="2">
        <v>66898.260000000009</v>
      </c>
      <c r="P31" s="2">
        <v>66919.170000000013</v>
      </c>
      <c r="Q31" s="2">
        <v>66940.500000000015</v>
      </c>
      <c r="R31" s="2">
        <v>66962.210000000021</v>
      </c>
      <c r="S31" s="2">
        <v>66972.920000000027</v>
      </c>
      <c r="T31" s="2">
        <v>66994.830000000031</v>
      </c>
      <c r="U31" s="2">
        <v>67016.440000000031</v>
      </c>
      <c r="V31" s="2">
        <v>67038.260000000038</v>
      </c>
      <c r="W31" s="2">
        <v>67055.720000000045</v>
      </c>
      <c r="X31" s="2">
        <v>67071.790000000052</v>
      </c>
      <c r="Y31" s="2">
        <v>67093.290000000052</v>
      </c>
      <c r="Z31" s="2">
        <v>67114.120000000054</v>
      </c>
      <c r="AA31" s="2">
        <v>67135.280000000057</v>
      </c>
      <c r="AB31" s="2">
        <v>67156.760000000053</v>
      </c>
      <c r="AC31" s="2">
        <v>67178.230000000054</v>
      </c>
      <c r="AD31" s="2">
        <v>67191.270000000048</v>
      </c>
      <c r="AE31" s="2">
        <v>67209.970000000045</v>
      </c>
      <c r="AF31" s="3">
        <v>67230.96000000005</v>
      </c>
      <c r="AG31" s="51">
        <f t="shared" si="0"/>
        <v>67230.96000000005</v>
      </c>
      <c r="AH31" s="44">
        <v>66656.22</v>
      </c>
    </row>
    <row r="32" spans="1:34" x14ac:dyDescent="0.35">
      <c r="A32" s="33" t="s">
        <v>38</v>
      </c>
      <c r="B32" s="10">
        <v>66955.730000000141</v>
      </c>
      <c r="C32" s="2">
        <v>66976.630000000136</v>
      </c>
      <c r="D32" s="2">
        <v>66997.330000000133</v>
      </c>
      <c r="E32" s="2">
        <v>67018.580000000133</v>
      </c>
      <c r="F32" s="2">
        <v>67039.670000000129</v>
      </c>
      <c r="G32" s="2">
        <v>67059.090000000127</v>
      </c>
      <c r="H32" s="2">
        <v>67074.53000000013</v>
      </c>
      <c r="I32" s="2">
        <v>67083.180000000124</v>
      </c>
      <c r="J32" s="2">
        <v>67093.040000000125</v>
      </c>
      <c r="K32" s="2">
        <v>67098.41000000012</v>
      </c>
      <c r="L32" s="2">
        <v>67119.090000000113</v>
      </c>
      <c r="M32" s="2">
        <v>67139.560000000114</v>
      </c>
      <c r="N32" s="2">
        <v>67160.840000000113</v>
      </c>
      <c r="O32" s="2">
        <v>67181.090000000113</v>
      </c>
      <c r="P32" s="2">
        <v>67202.450000000114</v>
      </c>
      <c r="Q32" s="2">
        <v>67217.300000000119</v>
      </c>
      <c r="R32" s="2">
        <v>67238.590000000113</v>
      </c>
      <c r="S32" s="2">
        <v>67254.720000000118</v>
      </c>
      <c r="T32" s="2">
        <v>67274.260000000111</v>
      </c>
      <c r="U32" s="2">
        <v>67294.920000000115</v>
      </c>
      <c r="V32" s="2">
        <v>67310.430000000109</v>
      </c>
      <c r="W32" s="2">
        <v>67331.630000000107</v>
      </c>
      <c r="X32" s="2">
        <v>67344.8100000001</v>
      </c>
      <c r="Y32" s="2">
        <v>67365.200000000099</v>
      </c>
      <c r="Z32" s="2">
        <v>67381.720000000103</v>
      </c>
      <c r="AA32" s="2">
        <v>67403.0600000001</v>
      </c>
      <c r="AB32" s="2">
        <v>67404.510000000097</v>
      </c>
      <c r="AC32" s="2">
        <v>67404.510000000097</v>
      </c>
      <c r="AD32" s="2">
        <v>67419.4200000001</v>
      </c>
      <c r="AE32" s="2">
        <v>67440.6700000001</v>
      </c>
      <c r="AF32" s="3">
        <v>67462.730000000098</v>
      </c>
      <c r="AG32" s="51">
        <f t="shared" si="0"/>
        <v>67462.730000000098</v>
      </c>
      <c r="AH32" s="44">
        <v>66936.240000000005</v>
      </c>
    </row>
    <row r="33" spans="1:34" x14ac:dyDescent="0.35">
      <c r="A33" s="33" t="s">
        <v>39</v>
      </c>
      <c r="B33" s="10">
        <v>66186.889999999898</v>
      </c>
      <c r="C33" s="2">
        <v>66208.549999999901</v>
      </c>
      <c r="D33" s="2">
        <v>66229.889999999898</v>
      </c>
      <c r="E33" s="2">
        <v>66248.449999999895</v>
      </c>
      <c r="F33" s="2">
        <v>66268.0799999999</v>
      </c>
      <c r="G33" s="2">
        <v>66288.999999999898</v>
      </c>
      <c r="H33" s="2">
        <v>66310.679999999891</v>
      </c>
      <c r="I33" s="2">
        <v>66332.339999999895</v>
      </c>
      <c r="J33" s="2">
        <v>66346.929999999891</v>
      </c>
      <c r="K33" s="2">
        <v>66351.619999999893</v>
      </c>
      <c r="L33" s="2">
        <v>66372.9399999999</v>
      </c>
      <c r="M33" s="2">
        <v>66394.449999999895</v>
      </c>
      <c r="N33" s="2">
        <v>66415.909999999902</v>
      </c>
      <c r="O33" s="2">
        <v>66437.449999999895</v>
      </c>
      <c r="P33" s="2">
        <v>66459.299999999901</v>
      </c>
      <c r="Q33" s="2">
        <v>66481.149999999907</v>
      </c>
      <c r="R33" s="2">
        <v>66503.109999999913</v>
      </c>
      <c r="S33" s="2">
        <v>66524.909999999916</v>
      </c>
      <c r="T33" s="2">
        <v>66546.749999999913</v>
      </c>
      <c r="U33" s="2">
        <v>66568.359999999913</v>
      </c>
      <c r="V33" s="2">
        <v>66590.079999999914</v>
      </c>
      <c r="W33" s="2">
        <v>66602.579999999914</v>
      </c>
      <c r="X33" s="2">
        <v>66624.249999999913</v>
      </c>
      <c r="Y33" s="2">
        <v>66645.479999999909</v>
      </c>
      <c r="Z33" s="2">
        <v>66666.959999999905</v>
      </c>
      <c r="AA33" s="2">
        <v>66688.029999999912</v>
      </c>
      <c r="AB33" s="2">
        <v>66708.999999999913</v>
      </c>
      <c r="AC33" s="2">
        <v>66728.599999999919</v>
      </c>
      <c r="AD33" s="2">
        <v>66747.06999999992</v>
      </c>
      <c r="AE33" s="2">
        <v>66755.409999999916</v>
      </c>
      <c r="AF33" s="3">
        <v>66776.909999999916</v>
      </c>
      <c r="AG33" s="51">
        <f t="shared" si="0"/>
        <v>66776.909999999916</v>
      </c>
      <c r="AH33" s="44">
        <v>66166.399999999994</v>
      </c>
    </row>
    <row r="34" spans="1:34" x14ac:dyDescent="0.35">
      <c r="A34" s="33" t="s">
        <v>40</v>
      </c>
      <c r="B34" s="10">
        <v>48971.209999999912</v>
      </c>
      <c r="C34" s="2">
        <v>48971.209999999912</v>
      </c>
      <c r="D34" s="2">
        <v>48971.209999999912</v>
      </c>
      <c r="E34" s="2">
        <v>48971.209999999912</v>
      </c>
      <c r="F34" s="2">
        <v>48971.209999999912</v>
      </c>
      <c r="G34" s="2">
        <v>48971.209999999912</v>
      </c>
      <c r="H34" s="2">
        <v>48980.009999999915</v>
      </c>
      <c r="I34" s="2">
        <v>48994.619999999915</v>
      </c>
      <c r="J34" s="2">
        <v>49013.759999999915</v>
      </c>
      <c r="K34" s="2">
        <v>49029.009999999915</v>
      </c>
      <c r="L34" s="2">
        <v>49037.759999999915</v>
      </c>
      <c r="M34" s="2">
        <v>49059.399999999914</v>
      </c>
      <c r="N34" s="2">
        <v>49079.879999999917</v>
      </c>
      <c r="O34" s="2">
        <v>49100.449999999917</v>
      </c>
      <c r="P34" s="2">
        <v>49116.989999999918</v>
      </c>
      <c r="Q34" s="2">
        <v>49133.519999999917</v>
      </c>
      <c r="R34" s="2">
        <v>49133.539999999914</v>
      </c>
      <c r="S34" s="2">
        <v>49145.199999999917</v>
      </c>
      <c r="T34" s="2">
        <v>49164.899999999914</v>
      </c>
      <c r="U34" s="2">
        <v>49179.569999999912</v>
      </c>
      <c r="V34" s="2">
        <v>49191.529999999912</v>
      </c>
      <c r="W34" s="2">
        <v>49195.909999999909</v>
      </c>
      <c r="X34" s="2">
        <v>49213.779999999912</v>
      </c>
      <c r="Y34" s="2">
        <v>49232.269999999909</v>
      </c>
      <c r="Z34" s="2">
        <v>49252.609999999906</v>
      </c>
      <c r="AA34" s="2">
        <v>49275.129999999903</v>
      </c>
      <c r="AB34" s="2">
        <v>49295.029999999904</v>
      </c>
      <c r="AC34" s="2">
        <v>49313.849999999904</v>
      </c>
      <c r="AD34" s="2">
        <v>49333.099999999904</v>
      </c>
      <c r="AE34" s="2">
        <v>49353.089999999902</v>
      </c>
      <c r="AF34" s="3">
        <v>49374.519999999902</v>
      </c>
      <c r="AG34" s="51">
        <f t="shared" si="0"/>
        <v>49374.519999999902</v>
      </c>
      <c r="AH34" s="44">
        <v>48971.21</v>
      </c>
    </row>
    <row r="35" spans="1:34" x14ac:dyDescent="0.35">
      <c r="A35" s="33" t="s">
        <v>41</v>
      </c>
      <c r="B35" s="10">
        <v>51285.069999999985</v>
      </c>
      <c r="C35" s="2">
        <v>51304.909999999982</v>
      </c>
      <c r="D35" s="2">
        <v>51325.889999999985</v>
      </c>
      <c r="E35" s="2">
        <v>51347.719999999987</v>
      </c>
      <c r="F35" s="2">
        <v>51369.169999999984</v>
      </c>
      <c r="G35" s="2">
        <v>51384.909999999982</v>
      </c>
      <c r="H35" s="2">
        <v>51404.669999999984</v>
      </c>
      <c r="I35" s="2">
        <v>51425.299999999981</v>
      </c>
      <c r="J35" s="2">
        <v>51445.589999999982</v>
      </c>
      <c r="K35" s="2">
        <v>51466.839999999982</v>
      </c>
      <c r="L35" s="2">
        <v>51488.659999999982</v>
      </c>
      <c r="M35" s="2">
        <v>51510.119999999981</v>
      </c>
      <c r="N35" s="2">
        <v>51532.099999999984</v>
      </c>
      <c r="O35" s="2">
        <v>51552.009999999987</v>
      </c>
      <c r="P35" s="2">
        <v>51573.319999999985</v>
      </c>
      <c r="Q35" s="2">
        <v>51594.849999999984</v>
      </c>
      <c r="R35" s="2">
        <v>51614.589999999982</v>
      </c>
      <c r="S35" s="2">
        <v>51636.39999999998</v>
      </c>
      <c r="T35" s="2">
        <v>51658.069999999978</v>
      </c>
      <c r="U35" s="2">
        <v>51677.049999999981</v>
      </c>
      <c r="V35" s="2">
        <v>51697.819999999978</v>
      </c>
      <c r="W35" s="2">
        <v>51717.929999999978</v>
      </c>
      <c r="X35" s="2">
        <v>51739.559999999976</v>
      </c>
      <c r="Y35" s="2">
        <v>51761.199999999975</v>
      </c>
      <c r="Z35" s="2">
        <v>51780.969999999972</v>
      </c>
      <c r="AA35" s="2">
        <v>51802.019999999975</v>
      </c>
      <c r="AB35" s="2">
        <v>51823.349999999977</v>
      </c>
      <c r="AC35" s="2">
        <v>51844.419999999976</v>
      </c>
      <c r="AD35" s="2">
        <v>51865.949999999975</v>
      </c>
      <c r="AE35" s="2">
        <v>51886.229999999974</v>
      </c>
      <c r="AF35" s="3">
        <v>51908.009999999973</v>
      </c>
      <c r="AG35" s="51">
        <f t="shared" si="0"/>
        <v>51908.009999999973</v>
      </c>
      <c r="AH35" s="44">
        <v>51282.12</v>
      </c>
    </row>
    <row r="36" spans="1:34" x14ac:dyDescent="0.35">
      <c r="A36" s="33" t="s">
        <v>42</v>
      </c>
      <c r="B36" s="10">
        <v>46237.74000000002</v>
      </c>
      <c r="C36" s="2">
        <v>46237.74000000002</v>
      </c>
      <c r="D36" s="2">
        <v>46237.74000000002</v>
      </c>
      <c r="E36" s="2">
        <v>46237.74000000002</v>
      </c>
      <c r="F36" s="2">
        <v>46237.74000000002</v>
      </c>
      <c r="G36" s="2">
        <v>46237.74000000002</v>
      </c>
      <c r="H36" s="2">
        <v>46237.74000000002</v>
      </c>
      <c r="I36" s="2">
        <v>46237.74000000002</v>
      </c>
      <c r="J36" s="2">
        <v>46237.74000000002</v>
      </c>
      <c r="K36" s="2">
        <v>46237.74000000002</v>
      </c>
      <c r="L36" s="2">
        <v>46237.74000000002</v>
      </c>
      <c r="M36" s="2">
        <v>46237.74000000002</v>
      </c>
      <c r="N36" s="2">
        <v>46237.74000000002</v>
      </c>
      <c r="O36" s="2">
        <v>46237.74000000002</v>
      </c>
      <c r="P36" s="2">
        <v>46237.74000000002</v>
      </c>
      <c r="Q36" s="2">
        <v>46237.74000000002</v>
      </c>
      <c r="R36" s="2">
        <v>46246.540000000023</v>
      </c>
      <c r="S36" s="2">
        <v>46259.030000000021</v>
      </c>
      <c r="T36" s="2">
        <v>46280.830000000024</v>
      </c>
      <c r="U36" s="2">
        <v>46302.570000000022</v>
      </c>
      <c r="V36" s="2">
        <v>46324.300000000025</v>
      </c>
      <c r="W36" s="2">
        <v>46344.880000000026</v>
      </c>
      <c r="X36" s="2">
        <v>46362.700000000026</v>
      </c>
      <c r="Y36" s="2">
        <v>46378.850000000028</v>
      </c>
      <c r="Z36" s="2">
        <v>46398.450000000026</v>
      </c>
      <c r="AA36" s="2">
        <v>46419.090000000026</v>
      </c>
      <c r="AB36" s="2">
        <v>46440.650000000023</v>
      </c>
      <c r="AC36" s="2">
        <v>46461.450000000026</v>
      </c>
      <c r="AD36" s="2">
        <v>46481.870000000024</v>
      </c>
      <c r="AE36" s="2">
        <v>46502.040000000023</v>
      </c>
      <c r="AF36" s="3">
        <v>46520.17000000002</v>
      </c>
      <c r="AG36" s="51">
        <f t="shared" ref="AG36:AG67" si="1">MAX(B36:AF36)</f>
        <v>46520.17000000002</v>
      </c>
      <c r="AH36" s="44">
        <v>46237.74</v>
      </c>
    </row>
    <row r="37" spans="1:34" x14ac:dyDescent="0.35">
      <c r="A37" s="33" t="s">
        <v>43</v>
      </c>
      <c r="B37" s="10">
        <v>51159.810000000056</v>
      </c>
      <c r="C37" s="2">
        <v>51176.820000000058</v>
      </c>
      <c r="D37" s="2">
        <v>51192.090000000055</v>
      </c>
      <c r="E37" s="2">
        <v>51213.480000000054</v>
      </c>
      <c r="F37" s="2">
        <v>51234.080000000053</v>
      </c>
      <c r="G37" s="2">
        <v>51251.950000000055</v>
      </c>
      <c r="H37" s="2">
        <v>51262.980000000054</v>
      </c>
      <c r="I37" s="2">
        <v>51269.630000000056</v>
      </c>
      <c r="J37" s="2">
        <v>51291.090000000055</v>
      </c>
      <c r="K37" s="2">
        <v>51309.770000000055</v>
      </c>
      <c r="L37" s="2">
        <v>51309.770000000055</v>
      </c>
      <c r="M37" s="2">
        <v>51309.770000000055</v>
      </c>
      <c r="N37" s="2">
        <v>51309.800000000054</v>
      </c>
      <c r="O37" s="2">
        <v>51320.720000000052</v>
      </c>
      <c r="P37" s="2">
        <v>51341.270000000055</v>
      </c>
      <c r="Q37" s="2">
        <v>51361.340000000055</v>
      </c>
      <c r="R37" s="2">
        <v>51381.680000000051</v>
      </c>
      <c r="S37" s="2">
        <v>51400.250000000051</v>
      </c>
      <c r="T37" s="2">
        <v>51419.820000000051</v>
      </c>
      <c r="U37" s="2">
        <v>51435.760000000053</v>
      </c>
      <c r="V37" s="2">
        <v>51457.28000000005</v>
      </c>
      <c r="W37" s="2">
        <v>51479.090000000047</v>
      </c>
      <c r="X37" s="2">
        <v>51500.370000000046</v>
      </c>
      <c r="Y37" s="2">
        <v>51521.980000000047</v>
      </c>
      <c r="Z37" s="2">
        <v>51535.400000000045</v>
      </c>
      <c r="AA37" s="2">
        <v>51556.920000000042</v>
      </c>
      <c r="AB37" s="2">
        <v>51578.710000000043</v>
      </c>
      <c r="AC37" s="2">
        <v>51600.320000000043</v>
      </c>
      <c r="AD37" s="2">
        <v>51621.460000000043</v>
      </c>
      <c r="AE37" s="2">
        <v>51639.84000000004</v>
      </c>
      <c r="AF37" s="3">
        <v>51662.360000000037</v>
      </c>
      <c r="AG37" s="51">
        <f t="shared" si="1"/>
        <v>51662.360000000037</v>
      </c>
      <c r="AH37" s="44">
        <v>51144.17</v>
      </c>
    </row>
    <row r="38" spans="1:34" x14ac:dyDescent="0.35">
      <c r="A38" s="33" t="s">
        <v>44</v>
      </c>
      <c r="B38" s="10">
        <v>52235.940000000061</v>
      </c>
      <c r="C38" s="2">
        <v>52256.880000000063</v>
      </c>
      <c r="D38" s="2">
        <v>52277.720000000059</v>
      </c>
      <c r="E38" s="2">
        <v>52293.370000000061</v>
      </c>
      <c r="F38" s="2">
        <v>52304.730000000061</v>
      </c>
      <c r="G38" s="2">
        <v>52319.780000000064</v>
      </c>
      <c r="H38" s="2">
        <v>52342.120000000061</v>
      </c>
      <c r="I38" s="2">
        <v>52363.720000000059</v>
      </c>
      <c r="J38" s="2">
        <v>52380.700000000063</v>
      </c>
      <c r="K38" s="2">
        <v>52392.220000000059</v>
      </c>
      <c r="L38" s="2">
        <v>52401.40000000006</v>
      </c>
      <c r="M38" s="2">
        <v>52407.780000000057</v>
      </c>
      <c r="N38" s="2">
        <v>52417.950000000055</v>
      </c>
      <c r="O38" s="2">
        <v>52438.870000000054</v>
      </c>
      <c r="P38" s="2">
        <v>52445.000000000051</v>
      </c>
      <c r="Q38" s="2">
        <v>52446.680000000051</v>
      </c>
      <c r="R38" s="2">
        <v>52449.820000000051</v>
      </c>
      <c r="S38" s="2">
        <v>52463.820000000051</v>
      </c>
      <c r="T38" s="2">
        <v>52484.880000000048</v>
      </c>
      <c r="U38" s="2">
        <v>52487.830000000045</v>
      </c>
      <c r="V38" s="2">
        <v>52487.830000000045</v>
      </c>
      <c r="W38" s="2">
        <v>52487.830000000045</v>
      </c>
      <c r="X38" s="2">
        <v>52487.830000000045</v>
      </c>
      <c r="Y38" s="2">
        <v>52487.830000000045</v>
      </c>
      <c r="Z38" s="2">
        <v>52500.550000000047</v>
      </c>
      <c r="AA38" s="2">
        <v>52515.510000000046</v>
      </c>
      <c r="AB38" s="2">
        <v>52533.330000000045</v>
      </c>
      <c r="AC38" s="2">
        <v>52553.230000000047</v>
      </c>
      <c r="AD38" s="2">
        <v>52573.700000000048</v>
      </c>
      <c r="AE38" s="2">
        <v>52592.490000000049</v>
      </c>
      <c r="AF38" s="3">
        <v>52608.700000000048</v>
      </c>
      <c r="AG38" s="51">
        <f t="shared" si="1"/>
        <v>52608.700000000048</v>
      </c>
      <c r="AH38" s="44">
        <v>52217.7</v>
      </c>
    </row>
    <row r="39" spans="1:34" x14ac:dyDescent="0.35">
      <c r="A39" s="33" t="s">
        <v>45</v>
      </c>
      <c r="B39" s="10">
        <v>50414.84999999994</v>
      </c>
      <c r="C39" s="2">
        <v>50435.23999999994</v>
      </c>
      <c r="D39" s="2">
        <v>50456.979999999938</v>
      </c>
      <c r="E39" s="2">
        <v>50477.48999999994</v>
      </c>
      <c r="F39" s="2">
        <v>50499.449999999939</v>
      </c>
      <c r="G39" s="2">
        <v>50518.429999999942</v>
      </c>
      <c r="H39" s="2">
        <v>50540.079999999944</v>
      </c>
      <c r="I39" s="2">
        <v>50561.59999999994</v>
      </c>
      <c r="J39" s="2">
        <v>50582.319999999942</v>
      </c>
      <c r="K39" s="2">
        <v>50589.649999999943</v>
      </c>
      <c r="L39" s="2">
        <v>50589.649999999943</v>
      </c>
      <c r="M39" s="2">
        <v>50598.819999999942</v>
      </c>
      <c r="N39" s="2">
        <v>50618.91999999994</v>
      </c>
      <c r="O39" s="2">
        <v>50640.48999999994</v>
      </c>
      <c r="P39" s="2">
        <v>50653.73999999994</v>
      </c>
      <c r="Q39" s="2">
        <v>50675.41999999994</v>
      </c>
      <c r="R39" s="2">
        <v>50682.379999999939</v>
      </c>
      <c r="S39" s="2">
        <v>50692.089999999938</v>
      </c>
      <c r="T39" s="2">
        <v>50705.399999999936</v>
      </c>
      <c r="U39" s="2">
        <v>50712.829999999936</v>
      </c>
      <c r="V39" s="2">
        <v>50717.049999999937</v>
      </c>
      <c r="W39" s="2">
        <v>50732.66999999994</v>
      </c>
      <c r="X39" s="2">
        <v>50754.159999999938</v>
      </c>
      <c r="Y39" s="2">
        <v>50766.619999999937</v>
      </c>
      <c r="Z39" s="2">
        <v>50787.459999999934</v>
      </c>
      <c r="AA39" s="2">
        <v>50808.309999999932</v>
      </c>
      <c r="AB39" s="2">
        <v>50829.97999999993</v>
      </c>
      <c r="AC39" s="2">
        <v>50850.969999999928</v>
      </c>
      <c r="AD39" s="2">
        <v>50869.169999999925</v>
      </c>
      <c r="AE39" s="2">
        <v>50883.539999999928</v>
      </c>
      <c r="AF39" s="3">
        <v>50904.409999999931</v>
      </c>
      <c r="AG39" s="51">
        <f t="shared" si="1"/>
        <v>50904.409999999931</v>
      </c>
      <c r="AH39" s="44">
        <v>50414.85</v>
      </c>
    </row>
    <row r="40" spans="1:34" x14ac:dyDescent="0.35">
      <c r="A40" s="33" t="s">
        <v>46</v>
      </c>
      <c r="B40" s="10">
        <v>51496.199999999983</v>
      </c>
      <c r="C40" s="2">
        <v>51496.64999999998</v>
      </c>
      <c r="D40" s="2">
        <v>51496.64999999998</v>
      </c>
      <c r="E40" s="2">
        <v>51496.64999999998</v>
      </c>
      <c r="F40" s="2">
        <v>51496.64999999998</v>
      </c>
      <c r="G40" s="2">
        <v>51506.209999999977</v>
      </c>
      <c r="H40" s="2">
        <v>51520.619999999981</v>
      </c>
      <c r="I40" s="2">
        <v>51542.129999999983</v>
      </c>
      <c r="J40" s="2">
        <v>51560.519999999982</v>
      </c>
      <c r="K40" s="2">
        <v>51577.099999999984</v>
      </c>
      <c r="L40" s="2">
        <v>51598.199999999983</v>
      </c>
      <c r="M40" s="2">
        <v>51619.289999999979</v>
      </c>
      <c r="N40" s="2">
        <v>51639.559999999976</v>
      </c>
      <c r="O40" s="2">
        <v>51661.099999999977</v>
      </c>
      <c r="P40" s="2">
        <v>51682.769999999975</v>
      </c>
      <c r="Q40" s="2">
        <v>51704.479999999974</v>
      </c>
      <c r="R40" s="2">
        <v>51717.009999999973</v>
      </c>
      <c r="S40" s="2">
        <v>51731.969999999972</v>
      </c>
      <c r="T40" s="2">
        <v>51753.269999999975</v>
      </c>
      <c r="U40" s="2">
        <v>51774.739999999976</v>
      </c>
      <c r="V40" s="2">
        <v>51796.309999999976</v>
      </c>
      <c r="W40" s="2">
        <v>51816.669999999976</v>
      </c>
      <c r="X40" s="2">
        <v>51837.809999999976</v>
      </c>
      <c r="Y40" s="2">
        <v>51853.299999999974</v>
      </c>
      <c r="Z40" s="2">
        <v>51873.829999999973</v>
      </c>
      <c r="AA40" s="2">
        <v>51894.579999999973</v>
      </c>
      <c r="AB40" s="2">
        <v>51916.099999999969</v>
      </c>
      <c r="AC40" s="2">
        <v>51937.879999999968</v>
      </c>
      <c r="AD40" s="2">
        <v>51957.88999999997</v>
      </c>
      <c r="AE40" s="2">
        <v>51970.20999999997</v>
      </c>
      <c r="AF40" s="3">
        <v>51991.589999999967</v>
      </c>
      <c r="AG40" s="51">
        <f t="shared" si="1"/>
        <v>51991.589999999967</v>
      </c>
      <c r="AH40" s="44">
        <v>51483.22</v>
      </c>
    </row>
    <row r="41" spans="1:34" x14ac:dyDescent="0.35">
      <c r="A41" s="33" t="s">
        <v>47</v>
      </c>
      <c r="B41" s="10">
        <v>48977.130000000012</v>
      </c>
      <c r="C41" s="2">
        <v>48990.600000000013</v>
      </c>
      <c r="D41" s="2">
        <v>49011.860000000015</v>
      </c>
      <c r="E41" s="2">
        <v>49031.960000000014</v>
      </c>
      <c r="F41" s="2">
        <v>49053.560000000012</v>
      </c>
      <c r="G41" s="2">
        <v>49072.410000000011</v>
      </c>
      <c r="H41" s="2">
        <v>49093.850000000013</v>
      </c>
      <c r="I41" s="2">
        <v>49114.990000000013</v>
      </c>
      <c r="J41" s="2">
        <v>49128.220000000016</v>
      </c>
      <c r="K41" s="2">
        <v>49128.220000000016</v>
      </c>
      <c r="L41" s="2">
        <v>49143.160000000018</v>
      </c>
      <c r="M41" s="2">
        <v>49165.190000000017</v>
      </c>
      <c r="N41" s="2">
        <v>49187.630000000019</v>
      </c>
      <c r="O41" s="2">
        <v>49208.74000000002</v>
      </c>
      <c r="P41" s="2">
        <v>49230.710000000021</v>
      </c>
      <c r="Q41" s="2">
        <v>49251.360000000022</v>
      </c>
      <c r="R41" s="2">
        <v>49272.820000000022</v>
      </c>
      <c r="S41" s="2">
        <v>49288.710000000021</v>
      </c>
      <c r="T41" s="2">
        <v>49304.940000000024</v>
      </c>
      <c r="U41" s="2">
        <v>49325.970000000023</v>
      </c>
      <c r="V41" s="2">
        <v>49347.49000000002</v>
      </c>
      <c r="W41" s="2">
        <v>49369.310000000019</v>
      </c>
      <c r="X41" s="2">
        <v>49391.140000000021</v>
      </c>
      <c r="Y41" s="2">
        <v>49412.150000000023</v>
      </c>
      <c r="Z41" s="2">
        <v>49429.250000000022</v>
      </c>
      <c r="AA41" s="2">
        <v>49446.560000000019</v>
      </c>
      <c r="AB41" s="2">
        <v>49467.980000000018</v>
      </c>
      <c r="AC41" s="2">
        <v>49485.150000000016</v>
      </c>
      <c r="AD41" s="2">
        <v>49503.130000000019</v>
      </c>
      <c r="AE41" s="2">
        <v>49524.400000000016</v>
      </c>
      <c r="AF41" s="3">
        <v>49545.790000000015</v>
      </c>
      <c r="AG41" s="51">
        <f t="shared" si="1"/>
        <v>49545.790000000015</v>
      </c>
      <c r="AH41" s="44">
        <v>48966.55</v>
      </c>
    </row>
    <row r="42" spans="1:34" x14ac:dyDescent="0.35">
      <c r="A42" s="33" t="s">
        <v>48</v>
      </c>
      <c r="B42" s="10">
        <v>42059.539999999972</v>
      </c>
      <c r="C42" s="2">
        <v>42080.489999999969</v>
      </c>
      <c r="D42" s="2">
        <v>42094.149999999972</v>
      </c>
      <c r="E42" s="2">
        <v>42107.419999999969</v>
      </c>
      <c r="F42" s="2">
        <v>42107.419999999969</v>
      </c>
      <c r="G42" s="2">
        <v>42123.969999999972</v>
      </c>
      <c r="H42" s="2">
        <v>42135.099999999969</v>
      </c>
      <c r="I42" s="2">
        <v>42150.259999999973</v>
      </c>
      <c r="J42" s="2">
        <v>42163.569999999971</v>
      </c>
      <c r="K42" s="2">
        <v>42178.159999999967</v>
      </c>
      <c r="L42" s="2">
        <v>42198.319999999971</v>
      </c>
      <c r="M42" s="2">
        <v>42219.629999999968</v>
      </c>
      <c r="N42" s="2">
        <v>42240.469999999965</v>
      </c>
      <c r="O42" s="2">
        <v>42261.369999999966</v>
      </c>
      <c r="P42" s="2">
        <v>42271.199999999968</v>
      </c>
      <c r="Q42" s="2">
        <v>42286.689999999966</v>
      </c>
      <c r="R42" s="2">
        <v>42308.219999999965</v>
      </c>
      <c r="S42" s="2">
        <v>42328.239999999962</v>
      </c>
      <c r="T42" s="2">
        <v>42348.799999999959</v>
      </c>
      <c r="U42" s="2">
        <v>42369.33999999996</v>
      </c>
      <c r="V42" s="2">
        <v>42386.97999999996</v>
      </c>
      <c r="W42" s="2">
        <v>42402.51999999996</v>
      </c>
      <c r="X42" s="2">
        <v>42422.949999999961</v>
      </c>
      <c r="Y42" s="2">
        <v>42436.439999999959</v>
      </c>
      <c r="Z42" s="2">
        <v>42452.109999999957</v>
      </c>
      <c r="AA42" s="2">
        <v>42472.939999999959</v>
      </c>
      <c r="AB42" s="2">
        <v>42494.149999999958</v>
      </c>
      <c r="AC42" s="2">
        <v>42515.399999999958</v>
      </c>
      <c r="AD42" s="2">
        <v>42534.689999999959</v>
      </c>
      <c r="AE42" s="2">
        <v>42548.199999999961</v>
      </c>
      <c r="AF42" s="3">
        <v>42558.079999999958</v>
      </c>
      <c r="AG42" s="51">
        <f t="shared" si="1"/>
        <v>42558.079999999958</v>
      </c>
      <c r="AH42" s="44">
        <v>42040.69</v>
      </c>
    </row>
    <row r="43" spans="1:34" x14ac:dyDescent="0.35">
      <c r="A43" s="33" t="s">
        <v>49</v>
      </c>
      <c r="B43" s="10">
        <v>51628.309999999903</v>
      </c>
      <c r="C43" s="2">
        <v>51647.599999999904</v>
      </c>
      <c r="D43" s="2">
        <v>51668.389999999905</v>
      </c>
      <c r="E43" s="2">
        <v>51689.529999999904</v>
      </c>
      <c r="F43" s="2">
        <v>51709.589999999902</v>
      </c>
      <c r="G43" s="2">
        <v>51731.099999999904</v>
      </c>
      <c r="H43" s="2">
        <v>51752.779999999904</v>
      </c>
      <c r="I43" s="2">
        <v>51773.279999999904</v>
      </c>
      <c r="J43" s="2">
        <v>51794.569999999905</v>
      </c>
      <c r="K43" s="2">
        <v>51815.769999999902</v>
      </c>
      <c r="L43" s="2">
        <v>51830.2599999999</v>
      </c>
      <c r="M43" s="2">
        <v>51845.029999999897</v>
      </c>
      <c r="N43" s="2">
        <v>51864.049999999894</v>
      </c>
      <c r="O43" s="2">
        <v>51885.469999999892</v>
      </c>
      <c r="P43" s="2">
        <v>51900.999999999891</v>
      </c>
      <c r="Q43" s="2">
        <v>51902.319999999891</v>
      </c>
      <c r="R43" s="2">
        <v>51902.319999999891</v>
      </c>
      <c r="S43" s="2">
        <v>51909.589999999887</v>
      </c>
      <c r="T43" s="2">
        <v>51915.559999999889</v>
      </c>
      <c r="U43" s="2">
        <v>51927.479999999887</v>
      </c>
      <c r="V43" s="2">
        <v>51948.549999999886</v>
      </c>
      <c r="W43" s="2">
        <v>51970.089999999887</v>
      </c>
      <c r="X43" s="2">
        <v>51989.77999999989</v>
      </c>
      <c r="Y43" s="2">
        <v>52010.539999999892</v>
      </c>
      <c r="Z43" s="2">
        <v>52025.869999999893</v>
      </c>
      <c r="AA43" s="2">
        <v>52045.569999999891</v>
      </c>
      <c r="AB43" s="2">
        <v>52066.679999999891</v>
      </c>
      <c r="AC43" s="2">
        <v>52086.979999999894</v>
      </c>
      <c r="AD43" s="2">
        <v>52105.399999999892</v>
      </c>
      <c r="AE43" s="2">
        <v>52123.179999999891</v>
      </c>
      <c r="AF43" s="3">
        <v>52123.179999999891</v>
      </c>
      <c r="AG43" s="51">
        <f t="shared" si="1"/>
        <v>52123.179999999891</v>
      </c>
      <c r="AH43" s="44">
        <v>51612.67</v>
      </c>
    </row>
    <row r="44" spans="1:34" x14ac:dyDescent="0.35">
      <c r="A44" s="33" t="s">
        <v>50</v>
      </c>
      <c r="B44" s="10">
        <v>51437.229999999974</v>
      </c>
      <c r="C44" s="2">
        <v>51455.279999999977</v>
      </c>
      <c r="D44" s="2">
        <v>51476.179999999978</v>
      </c>
      <c r="E44" s="2">
        <v>51496.109999999979</v>
      </c>
      <c r="F44" s="2">
        <v>51512.299999999981</v>
      </c>
      <c r="G44" s="2">
        <v>51532.429999999978</v>
      </c>
      <c r="H44" s="2">
        <v>51549.089999999982</v>
      </c>
      <c r="I44" s="2">
        <v>51561.499999999985</v>
      </c>
      <c r="J44" s="2">
        <v>51575.999999999985</v>
      </c>
      <c r="K44" s="2">
        <v>51597.489999999983</v>
      </c>
      <c r="L44" s="2">
        <v>51618.939999999981</v>
      </c>
      <c r="M44" s="2">
        <v>51640.469999999979</v>
      </c>
      <c r="N44" s="2">
        <v>51658.379999999983</v>
      </c>
      <c r="O44" s="2">
        <v>51658.379999999983</v>
      </c>
      <c r="P44" s="2">
        <v>51674.639999999985</v>
      </c>
      <c r="Q44" s="2">
        <v>51682.149999999987</v>
      </c>
      <c r="R44" s="2">
        <v>51703.609999999986</v>
      </c>
      <c r="S44" s="2">
        <v>51721.76999999999</v>
      </c>
      <c r="T44" s="2">
        <v>51742.549999999988</v>
      </c>
      <c r="U44" s="2">
        <v>51764.299999999988</v>
      </c>
      <c r="V44" s="2">
        <v>51782.219999999987</v>
      </c>
      <c r="W44" s="2">
        <v>51799.94999999999</v>
      </c>
      <c r="X44" s="2">
        <v>51820.229999999989</v>
      </c>
      <c r="Y44" s="2">
        <v>51841.479999999989</v>
      </c>
      <c r="Z44" s="2">
        <v>51863.529999999992</v>
      </c>
      <c r="AA44" s="2">
        <v>51885.599999999991</v>
      </c>
      <c r="AB44" s="2">
        <v>51907.639999999992</v>
      </c>
      <c r="AC44" s="2">
        <v>51929.499999999993</v>
      </c>
      <c r="AD44" s="2">
        <v>51950.819999999992</v>
      </c>
      <c r="AE44" s="2">
        <v>51964.05999999999</v>
      </c>
      <c r="AF44" s="3">
        <v>51982.19999999999</v>
      </c>
      <c r="AG44" s="51">
        <f t="shared" si="1"/>
        <v>51982.19999999999</v>
      </c>
      <c r="AH44" s="44">
        <v>51416.32</v>
      </c>
    </row>
    <row r="45" spans="1:34" x14ac:dyDescent="0.35">
      <c r="A45" s="33" t="s">
        <v>51</v>
      </c>
      <c r="B45" s="10">
        <v>51288.929999999942</v>
      </c>
      <c r="C45" s="2">
        <v>51304.23999999994</v>
      </c>
      <c r="D45" s="2">
        <v>51309.389999999941</v>
      </c>
      <c r="E45" s="2">
        <v>51310.929999999942</v>
      </c>
      <c r="F45" s="2">
        <v>51310.929999999942</v>
      </c>
      <c r="G45" s="2">
        <v>51310.929999999942</v>
      </c>
      <c r="H45" s="2">
        <v>51316.279999999941</v>
      </c>
      <c r="I45" s="2">
        <v>51334.23999999994</v>
      </c>
      <c r="J45" s="2">
        <v>51355.769999999939</v>
      </c>
      <c r="K45" s="2">
        <v>51373.829999999936</v>
      </c>
      <c r="L45" s="2">
        <v>51394.659999999938</v>
      </c>
      <c r="M45" s="2">
        <v>51416.189999999937</v>
      </c>
      <c r="N45" s="2">
        <v>51437.129999999939</v>
      </c>
      <c r="O45" s="2">
        <v>51458.219999999936</v>
      </c>
      <c r="P45" s="2">
        <v>51478.819999999934</v>
      </c>
      <c r="Q45" s="2">
        <v>51500.469999999936</v>
      </c>
      <c r="R45" s="2">
        <v>51522.279999999933</v>
      </c>
      <c r="S45" s="2">
        <v>51542.089999999931</v>
      </c>
      <c r="T45" s="2">
        <v>51547.219999999928</v>
      </c>
      <c r="U45" s="2">
        <v>51568.269999999931</v>
      </c>
      <c r="V45" s="2">
        <v>51574.399999999929</v>
      </c>
      <c r="W45" s="2">
        <v>51596.019999999931</v>
      </c>
      <c r="X45" s="2">
        <v>51616.779999999933</v>
      </c>
      <c r="Y45" s="2">
        <v>51632.699999999932</v>
      </c>
      <c r="Z45" s="2">
        <v>51632.699999999932</v>
      </c>
      <c r="AA45" s="2">
        <v>51632.699999999932</v>
      </c>
      <c r="AB45" s="2">
        <v>51632.699999999932</v>
      </c>
      <c r="AC45" s="2">
        <v>51644.149999999929</v>
      </c>
      <c r="AD45" s="2">
        <v>51663.399999999929</v>
      </c>
      <c r="AE45" s="2">
        <v>51685.029999999926</v>
      </c>
      <c r="AF45" s="3">
        <v>51702.93999999993</v>
      </c>
      <c r="AG45" s="51">
        <f t="shared" si="1"/>
        <v>51702.93999999993</v>
      </c>
      <c r="AH45" s="44">
        <v>51279.22</v>
      </c>
    </row>
    <row r="46" spans="1:34" x14ac:dyDescent="0.35">
      <c r="A46" s="33" t="s">
        <v>52</v>
      </c>
      <c r="B46" s="10">
        <v>43349.330000000053</v>
      </c>
      <c r="C46" s="2">
        <v>43363.420000000049</v>
      </c>
      <c r="D46" s="2">
        <v>43384.020000000048</v>
      </c>
      <c r="E46" s="2">
        <v>43405.430000000051</v>
      </c>
      <c r="F46" s="2">
        <v>43421.040000000052</v>
      </c>
      <c r="G46" s="2">
        <v>43442.600000000049</v>
      </c>
      <c r="H46" s="2">
        <v>43458.700000000048</v>
      </c>
      <c r="I46" s="2">
        <v>43465.080000000045</v>
      </c>
      <c r="J46" s="2">
        <v>43471.160000000047</v>
      </c>
      <c r="K46" s="2">
        <v>43491.300000000047</v>
      </c>
      <c r="L46" s="2">
        <v>43512.900000000045</v>
      </c>
      <c r="M46" s="2">
        <v>43527.470000000045</v>
      </c>
      <c r="N46" s="2">
        <v>43545.800000000047</v>
      </c>
      <c r="O46" s="2">
        <v>43565.840000000047</v>
      </c>
      <c r="P46" s="2">
        <v>43580.810000000049</v>
      </c>
      <c r="Q46" s="2">
        <v>43602.520000000048</v>
      </c>
      <c r="R46" s="2">
        <v>43624.360000000044</v>
      </c>
      <c r="S46" s="2">
        <v>43645.540000000045</v>
      </c>
      <c r="T46" s="2">
        <v>43663.310000000041</v>
      </c>
      <c r="U46" s="2">
        <v>43684.460000000043</v>
      </c>
      <c r="V46" s="2">
        <v>43703.190000000046</v>
      </c>
      <c r="W46" s="2">
        <v>43703.190000000046</v>
      </c>
      <c r="X46" s="2">
        <v>43714.960000000043</v>
      </c>
      <c r="Y46" s="2">
        <v>43734.91000000004</v>
      </c>
      <c r="Z46" s="2">
        <v>43756.260000000038</v>
      </c>
      <c r="AA46" s="2">
        <v>43771.610000000037</v>
      </c>
      <c r="AB46" s="2">
        <v>43788.600000000035</v>
      </c>
      <c r="AC46" s="2">
        <v>43804.070000000036</v>
      </c>
      <c r="AD46" s="2">
        <v>43814.000000000036</v>
      </c>
      <c r="AE46" s="2">
        <v>43835.16000000004</v>
      </c>
      <c r="AF46" s="3">
        <v>43844.300000000039</v>
      </c>
      <c r="AG46" s="51">
        <f t="shared" si="1"/>
        <v>43844.300000000039</v>
      </c>
      <c r="AH46" s="44">
        <v>43328.09</v>
      </c>
    </row>
    <row r="47" spans="1:34" x14ac:dyDescent="0.35">
      <c r="A47" s="33" t="s">
        <v>53</v>
      </c>
      <c r="B47" s="10">
        <v>45426.7</v>
      </c>
      <c r="C47" s="2">
        <v>45430.869999999995</v>
      </c>
      <c r="D47" s="2">
        <v>45450.639999999992</v>
      </c>
      <c r="E47" s="2">
        <v>45469.329999999994</v>
      </c>
      <c r="F47" s="2">
        <v>45485.899999999994</v>
      </c>
      <c r="G47" s="2">
        <v>45501.06</v>
      </c>
      <c r="H47" s="2">
        <v>45522.64</v>
      </c>
      <c r="I47" s="2">
        <v>45544.63</v>
      </c>
      <c r="J47" s="2">
        <v>45565.84</v>
      </c>
      <c r="K47" s="2">
        <v>45586.939999999995</v>
      </c>
      <c r="L47" s="2">
        <v>45608.149999999994</v>
      </c>
      <c r="M47" s="2">
        <v>45629.579999999994</v>
      </c>
      <c r="N47" s="2">
        <v>45650.899999999994</v>
      </c>
      <c r="O47" s="2">
        <v>45671.739999999991</v>
      </c>
      <c r="P47" s="2">
        <v>45692.369999999988</v>
      </c>
      <c r="Q47" s="2">
        <v>45704.719999999987</v>
      </c>
      <c r="R47" s="2">
        <v>45717.259999999987</v>
      </c>
      <c r="S47" s="2">
        <v>45735.739999999991</v>
      </c>
      <c r="T47" s="2">
        <v>45756.669999999991</v>
      </c>
      <c r="U47" s="2">
        <v>45773.51999999999</v>
      </c>
      <c r="V47" s="2">
        <v>45793.729999999989</v>
      </c>
      <c r="W47" s="2">
        <v>45809.619999999988</v>
      </c>
      <c r="X47" s="2">
        <v>45830.439999999988</v>
      </c>
      <c r="Y47" s="2">
        <v>45851.839999999989</v>
      </c>
      <c r="Z47" s="2">
        <v>45873.099999999991</v>
      </c>
      <c r="AA47" s="2">
        <v>45894.51999999999</v>
      </c>
      <c r="AB47" s="2">
        <v>45915.659999999989</v>
      </c>
      <c r="AC47" s="2">
        <v>45936.929999999986</v>
      </c>
      <c r="AD47" s="2">
        <v>45948.099999999984</v>
      </c>
      <c r="AE47" s="2">
        <v>45956.609999999986</v>
      </c>
      <c r="AF47" s="3">
        <v>45958.389999999985</v>
      </c>
      <c r="AG47" s="51">
        <f t="shared" si="1"/>
        <v>45958.389999999985</v>
      </c>
      <c r="AH47" s="44">
        <v>45405.89</v>
      </c>
    </row>
    <row r="48" spans="1:34" x14ac:dyDescent="0.35">
      <c r="A48" s="33" t="s">
        <v>54</v>
      </c>
      <c r="B48" s="10">
        <v>44044.879999999925</v>
      </c>
      <c r="C48" s="2">
        <v>44065.039999999928</v>
      </c>
      <c r="D48" s="2">
        <v>44084.529999999926</v>
      </c>
      <c r="E48" s="2">
        <v>44105.589999999924</v>
      </c>
      <c r="F48" s="2">
        <v>44127.629999999925</v>
      </c>
      <c r="G48" s="2">
        <v>44148.019999999924</v>
      </c>
      <c r="H48" s="2">
        <v>44168.119999999923</v>
      </c>
      <c r="I48" s="2">
        <v>44187.719999999921</v>
      </c>
      <c r="J48" s="2">
        <v>44207.829999999922</v>
      </c>
      <c r="K48" s="2">
        <v>44226.109999999921</v>
      </c>
      <c r="L48" s="2">
        <v>44245.519999999924</v>
      </c>
      <c r="M48" s="2">
        <v>44245.519999999924</v>
      </c>
      <c r="N48" s="2">
        <v>44253.659999999923</v>
      </c>
      <c r="O48" s="2">
        <v>44273.399999999921</v>
      </c>
      <c r="P48" s="2">
        <v>44295.289999999921</v>
      </c>
      <c r="Q48" s="2">
        <v>44316.639999999919</v>
      </c>
      <c r="R48" s="2">
        <v>44337.009999999922</v>
      </c>
      <c r="S48" s="2">
        <v>44345.039999999921</v>
      </c>
      <c r="T48" s="2">
        <v>44366.689999999922</v>
      </c>
      <c r="U48" s="2">
        <v>44385.579999999922</v>
      </c>
      <c r="V48" s="2">
        <v>44404.509999999922</v>
      </c>
      <c r="W48" s="2">
        <v>44424.919999999925</v>
      </c>
      <c r="X48" s="2">
        <v>44446.959999999926</v>
      </c>
      <c r="Y48" s="2">
        <v>44469.43999999993</v>
      </c>
      <c r="Z48" s="2">
        <v>44490.099999999933</v>
      </c>
      <c r="AA48" s="2">
        <v>44510.089999999931</v>
      </c>
      <c r="AB48" s="2">
        <v>44529.509999999929</v>
      </c>
      <c r="AC48" s="2">
        <v>44542.319999999927</v>
      </c>
      <c r="AD48" s="2">
        <v>44556.359999999928</v>
      </c>
      <c r="AE48" s="2">
        <v>44577.069999999927</v>
      </c>
      <c r="AF48" s="3">
        <v>44598.569999999927</v>
      </c>
      <c r="AG48" s="51">
        <f t="shared" si="1"/>
        <v>44598.569999999927</v>
      </c>
      <c r="AH48" s="44">
        <v>44037.54</v>
      </c>
    </row>
    <row r="49" spans="1:34" x14ac:dyDescent="0.35">
      <c r="A49" s="33" t="s">
        <v>55</v>
      </c>
      <c r="B49" s="10">
        <v>44074.710000000065</v>
      </c>
      <c r="C49" s="2">
        <v>44086.220000000067</v>
      </c>
      <c r="D49" s="2">
        <v>44095.320000000065</v>
      </c>
      <c r="E49" s="2">
        <v>44115.610000000066</v>
      </c>
      <c r="F49" s="2">
        <v>44136.750000000065</v>
      </c>
      <c r="G49" s="2">
        <v>44153.130000000063</v>
      </c>
      <c r="H49" s="2">
        <v>44169.480000000061</v>
      </c>
      <c r="I49" s="2">
        <v>44189.860000000059</v>
      </c>
      <c r="J49" s="2">
        <v>44206.360000000059</v>
      </c>
      <c r="K49" s="2">
        <v>44227.640000000058</v>
      </c>
      <c r="L49" s="2">
        <v>44241.680000000058</v>
      </c>
      <c r="M49" s="2">
        <v>44263.210000000057</v>
      </c>
      <c r="N49" s="2">
        <v>44283.800000000054</v>
      </c>
      <c r="O49" s="2">
        <v>44305.130000000056</v>
      </c>
      <c r="P49" s="2">
        <v>44325.580000000053</v>
      </c>
      <c r="Q49" s="2">
        <v>44333.300000000054</v>
      </c>
      <c r="R49" s="2">
        <v>44333.300000000054</v>
      </c>
      <c r="S49" s="2">
        <v>44350.89000000005</v>
      </c>
      <c r="T49" s="2">
        <v>44367.46000000005</v>
      </c>
      <c r="U49" s="2">
        <v>44387.750000000051</v>
      </c>
      <c r="V49" s="2">
        <v>44395.610000000052</v>
      </c>
      <c r="W49" s="2">
        <v>44412.340000000055</v>
      </c>
      <c r="X49" s="2">
        <v>44421.670000000056</v>
      </c>
      <c r="Y49" s="2">
        <v>44440.710000000057</v>
      </c>
      <c r="Z49" s="2">
        <v>44459.060000000056</v>
      </c>
      <c r="AA49" s="2">
        <v>44472.010000000053</v>
      </c>
      <c r="AB49" s="2">
        <v>44482.170000000056</v>
      </c>
      <c r="AC49" s="2">
        <v>44500.660000000054</v>
      </c>
      <c r="AD49" s="2">
        <v>44519.100000000057</v>
      </c>
      <c r="AE49" s="2">
        <v>44535.490000000056</v>
      </c>
      <c r="AF49" s="3">
        <v>44553.250000000058</v>
      </c>
      <c r="AG49" s="51">
        <f t="shared" si="1"/>
        <v>44553.250000000058</v>
      </c>
      <c r="AH49" s="44">
        <v>44056.9</v>
      </c>
    </row>
    <row r="50" spans="1:34" x14ac:dyDescent="0.35">
      <c r="A50" s="33" t="s">
        <v>56</v>
      </c>
      <c r="B50" s="10">
        <v>43297.830000000111</v>
      </c>
      <c r="C50" s="2">
        <v>43306.890000000109</v>
      </c>
      <c r="D50" s="2">
        <v>43327.810000000107</v>
      </c>
      <c r="E50" s="2">
        <v>43349.030000000108</v>
      </c>
      <c r="F50" s="2">
        <v>43364.080000000111</v>
      </c>
      <c r="G50" s="2">
        <v>43383.97000000011</v>
      </c>
      <c r="H50" s="2">
        <v>43405.000000000109</v>
      </c>
      <c r="I50" s="2">
        <v>43426.690000000111</v>
      </c>
      <c r="J50" s="2">
        <v>43431.350000000115</v>
      </c>
      <c r="K50" s="2">
        <v>43437.060000000114</v>
      </c>
      <c r="L50" s="2">
        <v>43456.100000000115</v>
      </c>
      <c r="M50" s="2">
        <v>43456.100000000115</v>
      </c>
      <c r="N50" s="2">
        <v>43463.940000000111</v>
      </c>
      <c r="O50" s="2">
        <v>43485.050000000112</v>
      </c>
      <c r="P50" s="2">
        <v>43506.630000000114</v>
      </c>
      <c r="Q50" s="2">
        <v>43526.820000000116</v>
      </c>
      <c r="R50" s="2">
        <v>43548.220000000118</v>
      </c>
      <c r="S50" s="2">
        <v>43569.540000000117</v>
      </c>
      <c r="T50" s="2">
        <v>43590.920000000115</v>
      </c>
      <c r="U50" s="2">
        <v>43612.470000000118</v>
      </c>
      <c r="V50" s="2">
        <v>43634.23000000012</v>
      </c>
      <c r="W50" s="2">
        <v>43655.680000000117</v>
      </c>
      <c r="X50" s="2">
        <v>43676.890000000116</v>
      </c>
      <c r="Y50" s="2">
        <v>43692.260000000118</v>
      </c>
      <c r="Z50" s="2">
        <v>43707.610000000117</v>
      </c>
      <c r="AA50" s="2">
        <v>43728.860000000117</v>
      </c>
      <c r="AB50" s="2">
        <v>43750.510000000118</v>
      </c>
      <c r="AC50" s="2">
        <v>43772.220000000118</v>
      </c>
      <c r="AD50" s="2">
        <v>43793.820000000116</v>
      </c>
      <c r="AE50" s="2">
        <v>43813.590000000113</v>
      </c>
      <c r="AF50" s="3">
        <v>43834.350000000115</v>
      </c>
      <c r="AG50" s="51">
        <f t="shared" si="1"/>
        <v>43834.350000000115</v>
      </c>
      <c r="AH50" s="44">
        <v>43278.49</v>
      </c>
    </row>
    <row r="51" spans="1:34" x14ac:dyDescent="0.35">
      <c r="A51" s="33" t="s">
        <v>57</v>
      </c>
      <c r="B51" s="10">
        <v>41957.899999999936</v>
      </c>
      <c r="C51" s="2">
        <v>41978.939999999937</v>
      </c>
      <c r="D51" s="2">
        <v>42000.649999999936</v>
      </c>
      <c r="E51" s="2">
        <v>42015.679999999935</v>
      </c>
      <c r="F51" s="2">
        <v>42037.109999999935</v>
      </c>
      <c r="G51" s="2">
        <v>42055.699999999932</v>
      </c>
      <c r="H51" s="2">
        <v>42075.329999999929</v>
      </c>
      <c r="I51" s="2">
        <v>42095.79999999993</v>
      </c>
      <c r="J51" s="2">
        <v>42102.499999999927</v>
      </c>
      <c r="K51" s="2">
        <v>42123.339999999924</v>
      </c>
      <c r="L51" s="2">
        <v>42144.729999999923</v>
      </c>
      <c r="M51" s="2">
        <v>42160.529999999926</v>
      </c>
      <c r="N51" s="2">
        <v>42181.899999999929</v>
      </c>
      <c r="O51" s="2">
        <v>42203.04999999993</v>
      </c>
      <c r="P51" s="2">
        <v>42222.739999999932</v>
      </c>
      <c r="Q51" s="2">
        <v>42241.659999999931</v>
      </c>
      <c r="R51" s="2">
        <v>42258.889999999934</v>
      </c>
      <c r="S51" s="2">
        <v>42262.759999999937</v>
      </c>
      <c r="T51" s="2">
        <v>42264.699999999939</v>
      </c>
      <c r="U51" s="2">
        <v>42282.149999999936</v>
      </c>
      <c r="V51" s="2">
        <v>42294.219999999936</v>
      </c>
      <c r="W51" s="2">
        <v>42316.149999999936</v>
      </c>
      <c r="X51" s="2">
        <v>42326.629999999939</v>
      </c>
      <c r="Y51" s="2">
        <v>42348.09999999994</v>
      </c>
      <c r="Z51" s="2">
        <v>42364.319999999942</v>
      </c>
      <c r="AA51" s="2">
        <v>42385.359999999942</v>
      </c>
      <c r="AB51" s="2">
        <v>42406.279999999941</v>
      </c>
      <c r="AC51" s="2">
        <v>42418.399999999943</v>
      </c>
      <c r="AD51" s="2">
        <v>42438.609999999942</v>
      </c>
      <c r="AE51" s="2">
        <v>42460.139999999941</v>
      </c>
      <c r="AF51" s="3">
        <v>42479.619999999944</v>
      </c>
      <c r="AG51" s="51">
        <f t="shared" si="1"/>
        <v>42479.619999999944</v>
      </c>
      <c r="AH51" s="44">
        <v>41937.300000000003</v>
      </c>
    </row>
    <row r="52" spans="1:34" x14ac:dyDescent="0.35">
      <c r="A52" s="33" t="s">
        <v>58</v>
      </c>
      <c r="B52" s="10">
        <v>41535.049999999901</v>
      </c>
      <c r="C52" s="2">
        <v>41555.479999999901</v>
      </c>
      <c r="D52" s="2">
        <v>41576.359999999899</v>
      </c>
      <c r="E52" s="2">
        <v>41584.8299999999</v>
      </c>
      <c r="F52" s="2">
        <v>41605.869999999901</v>
      </c>
      <c r="G52" s="2">
        <v>41626.539999999899</v>
      </c>
      <c r="H52" s="2">
        <v>41644.019999999902</v>
      </c>
      <c r="I52" s="2">
        <v>41664.059999999903</v>
      </c>
      <c r="J52" s="2">
        <v>41678.169999999904</v>
      </c>
      <c r="K52" s="2">
        <v>41699.629999999903</v>
      </c>
      <c r="L52" s="2">
        <v>41720.819999999905</v>
      </c>
      <c r="M52" s="2">
        <v>41742.699999999903</v>
      </c>
      <c r="N52" s="2">
        <v>41752.319999999905</v>
      </c>
      <c r="O52" s="2">
        <v>41752.319999999905</v>
      </c>
      <c r="P52" s="2">
        <v>41770.709999999905</v>
      </c>
      <c r="Q52" s="2">
        <v>41789.279999999904</v>
      </c>
      <c r="R52" s="2">
        <v>41809.299999999901</v>
      </c>
      <c r="S52" s="2">
        <v>41829.359999999899</v>
      </c>
      <c r="T52" s="2">
        <v>41848.019999999902</v>
      </c>
      <c r="U52" s="2">
        <v>41864.619999999901</v>
      </c>
      <c r="V52" s="2">
        <v>41885.729999999901</v>
      </c>
      <c r="W52" s="2">
        <v>41907.219999999899</v>
      </c>
      <c r="X52" s="2">
        <v>41924.6899999999</v>
      </c>
      <c r="Y52" s="2">
        <v>41946.129999999903</v>
      </c>
      <c r="Z52" s="2">
        <v>41967.099999999904</v>
      </c>
      <c r="AA52" s="2">
        <v>41988.529999999904</v>
      </c>
      <c r="AB52" s="2">
        <v>42009.599999999904</v>
      </c>
      <c r="AC52" s="2">
        <v>42030.899999999907</v>
      </c>
      <c r="AD52" s="2">
        <v>42037.319999999905</v>
      </c>
      <c r="AE52" s="2">
        <v>42037.319999999905</v>
      </c>
      <c r="AF52" s="3">
        <v>42037.319999999905</v>
      </c>
      <c r="AG52" s="51">
        <f t="shared" si="1"/>
        <v>42037.319999999905</v>
      </c>
      <c r="AH52" s="44">
        <v>41521.07</v>
      </c>
    </row>
    <row r="53" spans="1:34" x14ac:dyDescent="0.35">
      <c r="A53" s="33" t="s">
        <v>59</v>
      </c>
      <c r="B53" s="10">
        <v>44339.27000000004</v>
      </c>
      <c r="C53" s="2">
        <v>44351.570000000043</v>
      </c>
      <c r="D53" s="2">
        <v>44372.430000000044</v>
      </c>
      <c r="E53" s="2">
        <v>44393.940000000046</v>
      </c>
      <c r="F53" s="2">
        <v>44397.610000000044</v>
      </c>
      <c r="G53" s="2">
        <v>44397.610000000044</v>
      </c>
      <c r="H53" s="2">
        <v>44418.210000000043</v>
      </c>
      <c r="I53" s="2">
        <v>44438.140000000043</v>
      </c>
      <c r="J53" s="2">
        <v>44456.610000000044</v>
      </c>
      <c r="K53" s="2">
        <v>44472.170000000042</v>
      </c>
      <c r="L53" s="2">
        <v>44494.120000000039</v>
      </c>
      <c r="M53" s="2">
        <v>44514.260000000038</v>
      </c>
      <c r="N53" s="2">
        <v>44535.830000000038</v>
      </c>
      <c r="O53" s="2">
        <v>44551.98000000004</v>
      </c>
      <c r="P53" s="2">
        <v>44551.98000000004</v>
      </c>
      <c r="Q53" s="2">
        <v>44572.02000000004</v>
      </c>
      <c r="R53" s="2">
        <v>44592.140000000043</v>
      </c>
      <c r="S53" s="2">
        <v>44613.02000000004</v>
      </c>
      <c r="T53" s="2">
        <v>44634.540000000037</v>
      </c>
      <c r="U53" s="2">
        <v>44656.59000000004</v>
      </c>
      <c r="V53" s="2">
        <v>44677.920000000042</v>
      </c>
      <c r="W53" s="2">
        <v>44699.550000000039</v>
      </c>
      <c r="X53" s="2">
        <v>44719.850000000042</v>
      </c>
      <c r="Y53" s="2">
        <v>44740.650000000045</v>
      </c>
      <c r="Z53" s="2">
        <v>44761.090000000047</v>
      </c>
      <c r="AA53" s="2">
        <v>44782.700000000048</v>
      </c>
      <c r="AB53" s="2">
        <v>44797.790000000045</v>
      </c>
      <c r="AC53" s="2">
        <v>44818.650000000045</v>
      </c>
      <c r="AD53" s="2">
        <v>44840.480000000047</v>
      </c>
      <c r="AE53" s="2">
        <v>44860.680000000044</v>
      </c>
      <c r="AF53" s="3">
        <v>44878.52000000004</v>
      </c>
      <c r="AG53" s="51">
        <f t="shared" si="1"/>
        <v>44878.52000000004</v>
      </c>
      <c r="AH53" s="44">
        <v>44321.15</v>
      </c>
    </row>
    <row r="54" spans="1:34" x14ac:dyDescent="0.35">
      <c r="A54" s="33" t="s">
        <v>60</v>
      </c>
      <c r="B54" s="10">
        <v>43908.230000000163</v>
      </c>
      <c r="C54" s="2">
        <v>43910.560000000165</v>
      </c>
      <c r="D54" s="2">
        <v>43910.560000000165</v>
      </c>
      <c r="E54" s="2">
        <v>43922.440000000162</v>
      </c>
      <c r="F54" s="2">
        <v>43939.810000000165</v>
      </c>
      <c r="G54" s="2">
        <v>43959.170000000166</v>
      </c>
      <c r="H54" s="2">
        <v>43976.740000000165</v>
      </c>
      <c r="I54" s="2">
        <v>43998.600000000166</v>
      </c>
      <c r="J54" s="2">
        <v>44020.350000000166</v>
      </c>
      <c r="K54" s="2">
        <v>44042.100000000166</v>
      </c>
      <c r="L54" s="2">
        <v>44063.570000000167</v>
      </c>
      <c r="M54" s="2">
        <v>44084.380000000165</v>
      </c>
      <c r="N54" s="2">
        <v>44105.700000000164</v>
      </c>
      <c r="O54" s="2">
        <v>44126.940000000162</v>
      </c>
      <c r="P54" s="2">
        <v>44148.620000000163</v>
      </c>
      <c r="Q54" s="2">
        <v>44160.100000000166</v>
      </c>
      <c r="R54" s="2">
        <v>44180.100000000166</v>
      </c>
      <c r="S54" s="2">
        <v>44201.920000000166</v>
      </c>
      <c r="T54" s="2">
        <v>44223.530000000166</v>
      </c>
      <c r="U54" s="2">
        <v>44245.290000000168</v>
      </c>
      <c r="V54" s="2">
        <v>44266.820000000167</v>
      </c>
      <c r="W54" s="2">
        <v>44283.820000000167</v>
      </c>
      <c r="X54" s="2">
        <v>44300.55000000017</v>
      </c>
      <c r="Y54" s="2">
        <v>44321.350000000173</v>
      </c>
      <c r="Z54" s="2">
        <v>44343.000000000175</v>
      </c>
      <c r="AA54" s="2">
        <v>44363.340000000171</v>
      </c>
      <c r="AB54" s="2">
        <v>44384.750000000175</v>
      </c>
      <c r="AC54" s="2">
        <v>44405.910000000178</v>
      </c>
      <c r="AD54" s="2">
        <v>44425.940000000177</v>
      </c>
      <c r="AE54" s="2">
        <v>44447.160000000178</v>
      </c>
      <c r="AF54" s="3">
        <v>44469.080000000176</v>
      </c>
      <c r="AG54" s="51">
        <f t="shared" si="1"/>
        <v>44469.080000000176</v>
      </c>
      <c r="AH54" s="44">
        <v>43891.33</v>
      </c>
    </row>
    <row r="55" spans="1:34" x14ac:dyDescent="0.35">
      <c r="A55" s="33" t="s">
        <v>61</v>
      </c>
      <c r="B55" s="10">
        <v>43708.570000000022</v>
      </c>
      <c r="C55" s="2">
        <v>43729.560000000019</v>
      </c>
      <c r="D55" s="2">
        <v>43751.140000000021</v>
      </c>
      <c r="E55" s="2">
        <v>43772.760000000024</v>
      </c>
      <c r="F55" s="2">
        <v>43794.520000000026</v>
      </c>
      <c r="G55" s="2">
        <v>43814.660000000025</v>
      </c>
      <c r="H55" s="2">
        <v>43836.150000000023</v>
      </c>
      <c r="I55" s="2">
        <v>43857.890000000021</v>
      </c>
      <c r="J55" s="2">
        <v>43875.560000000019</v>
      </c>
      <c r="K55" s="2">
        <v>43897.190000000017</v>
      </c>
      <c r="L55" s="2">
        <v>43918.120000000017</v>
      </c>
      <c r="M55" s="2">
        <v>43940.000000000015</v>
      </c>
      <c r="N55" s="2">
        <v>43961.890000000014</v>
      </c>
      <c r="O55" s="2">
        <v>43983.830000000016</v>
      </c>
      <c r="P55" s="2">
        <v>44002.270000000019</v>
      </c>
      <c r="Q55" s="2">
        <v>44023.590000000018</v>
      </c>
      <c r="R55" s="2">
        <v>44039.92000000002</v>
      </c>
      <c r="S55" s="2">
        <v>44060.970000000023</v>
      </c>
      <c r="T55" s="2">
        <v>44082.720000000023</v>
      </c>
      <c r="U55" s="2">
        <v>44102.380000000026</v>
      </c>
      <c r="V55" s="2">
        <v>44122.640000000029</v>
      </c>
      <c r="W55" s="2">
        <v>44143.800000000032</v>
      </c>
      <c r="X55" s="2">
        <v>44165.090000000033</v>
      </c>
      <c r="Y55" s="2">
        <v>44186.300000000032</v>
      </c>
      <c r="Z55" s="2">
        <v>44201.940000000031</v>
      </c>
      <c r="AA55" s="2">
        <v>44211.770000000033</v>
      </c>
      <c r="AB55" s="2">
        <v>44231.410000000033</v>
      </c>
      <c r="AC55" s="2">
        <v>44246.990000000034</v>
      </c>
      <c r="AD55" s="2">
        <v>44265.580000000031</v>
      </c>
      <c r="AE55" s="2">
        <v>44287.130000000034</v>
      </c>
      <c r="AF55" s="3">
        <v>44308.870000000032</v>
      </c>
      <c r="AG55" s="51">
        <f t="shared" si="1"/>
        <v>44308.870000000032</v>
      </c>
      <c r="AH55" s="44">
        <v>43688.38</v>
      </c>
    </row>
    <row r="56" spans="1:34" x14ac:dyDescent="0.35">
      <c r="A56" s="33" t="s">
        <v>62</v>
      </c>
      <c r="B56" s="10">
        <v>53555.320000000014</v>
      </c>
      <c r="C56" s="2">
        <v>53576.980000000018</v>
      </c>
      <c r="D56" s="2">
        <v>53598.42000000002</v>
      </c>
      <c r="E56" s="2">
        <v>53618.830000000024</v>
      </c>
      <c r="F56" s="2">
        <v>53640.790000000023</v>
      </c>
      <c r="G56" s="2">
        <v>53657.560000000019</v>
      </c>
      <c r="H56" s="2">
        <v>53659.220000000023</v>
      </c>
      <c r="I56" s="2">
        <v>53677.410000000025</v>
      </c>
      <c r="J56" s="2">
        <v>53696.510000000024</v>
      </c>
      <c r="K56" s="2">
        <v>53698.900000000023</v>
      </c>
      <c r="L56" s="2">
        <v>53703.200000000026</v>
      </c>
      <c r="M56" s="2">
        <v>53703.200000000026</v>
      </c>
      <c r="N56" s="2">
        <v>53706.000000000029</v>
      </c>
      <c r="O56" s="2">
        <v>53727.79000000003</v>
      </c>
      <c r="P56" s="2">
        <v>53747.900000000031</v>
      </c>
      <c r="Q56" s="2">
        <v>53765.440000000031</v>
      </c>
      <c r="R56" s="2">
        <v>53787.11000000003</v>
      </c>
      <c r="S56" s="2">
        <v>53809.260000000031</v>
      </c>
      <c r="T56" s="2">
        <v>53830.450000000033</v>
      </c>
      <c r="U56" s="2">
        <v>53852.320000000036</v>
      </c>
      <c r="V56" s="2">
        <v>53869.98000000004</v>
      </c>
      <c r="W56" s="2">
        <v>53887.440000000039</v>
      </c>
      <c r="X56" s="2">
        <v>53903.320000000036</v>
      </c>
      <c r="Y56" s="2">
        <v>53924.690000000039</v>
      </c>
      <c r="Z56" s="2">
        <v>53945.970000000038</v>
      </c>
      <c r="AA56" s="2">
        <v>53961.310000000034</v>
      </c>
      <c r="AB56" s="2">
        <v>53975.160000000033</v>
      </c>
      <c r="AC56" s="2">
        <v>53996.830000000031</v>
      </c>
      <c r="AD56" s="2">
        <v>54018.350000000028</v>
      </c>
      <c r="AE56" s="2">
        <v>54039.640000000029</v>
      </c>
      <c r="AF56" s="3">
        <v>54061.330000000031</v>
      </c>
      <c r="AG56" s="51">
        <f t="shared" si="1"/>
        <v>54061.330000000031</v>
      </c>
      <c r="AH56" s="44">
        <v>53535.040000000001</v>
      </c>
    </row>
    <row r="57" spans="1:34" x14ac:dyDescent="0.35">
      <c r="A57" s="33" t="s">
        <v>63</v>
      </c>
      <c r="B57" s="10">
        <v>20287.600000000013</v>
      </c>
      <c r="C57" s="2">
        <v>20307.310000000012</v>
      </c>
      <c r="D57" s="2">
        <v>20312.080000000013</v>
      </c>
      <c r="E57" s="2">
        <v>20312.080000000013</v>
      </c>
      <c r="F57" s="2">
        <v>20312.080000000013</v>
      </c>
      <c r="G57" s="2">
        <v>20313.070000000014</v>
      </c>
      <c r="H57" s="2">
        <v>20329.360000000015</v>
      </c>
      <c r="I57" s="2">
        <v>20348.970000000016</v>
      </c>
      <c r="J57" s="2">
        <v>20368.470000000016</v>
      </c>
      <c r="K57" s="2">
        <v>20386.290000000015</v>
      </c>
      <c r="L57" s="2">
        <v>20407.120000000017</v>
      </c>
      <c r="M57" s="2">
        <v>20426.130000000016</v>
      </c>
      <c r="N57" s="2">
        <v>20447.750000000015</v>
      </c>
      <c r="O57" s="2">
        <v>20468.360000000015</v>
      </c>
      <c r="P57" s="2">
        <v>20489.630000000016</v>
      </c>
      <c r="Q57" s="2">
        <v>20497.280000000017</v>
      </c>
      <c r="R57" s="2">
        <v>20502.390000000018</v>
      </c>
      <c r="S57" s="2">
        <v>20511.450000000019</v>
      </c>
      <c r="T57" s="2">
        <v>20532.750000000018</v>
      </c>
      <c r="U57" s="2">
        <v>20549.480000000018</v>
      </c>
      <c r="V57" s="2">
        <v>20557.990000000016</v>
      </c>
      <c r="W57" s="2">
        <v>20581.510000000017</v>
      </c>
      <c r="X57" s="2">
        <v>20603.550000000017</v>
      </c>
      <c r="Y57" s="2">
        <v>20626.030000000017</v>
      </c>
      <c r="Z57" s="2">
        <v>20644.510000000017</v>
      </c>
      <c r="AA57" s="2">
        <v>20655.600000000017</v>
      </c>
      <c r="AB57" s="2">
        <v>20672.910000000018</v>
      </c>
      <c r="AC57" s="2">
        <v>20696.160000000018</v>
      </c>
      <c r="AD57" s="2">
        <v>20717.110000000019</v>
      </c>
      <c r="AE57" s="2">
        <v>20737.820000000018</v>
      </c>
      <c r="AF57" s="3">
        <v>20749.080000000016</v>
      </c>
      <c r="AG57" s="51">
        <f t="shared" si="1"/>
        <v>20749.080000000016</v>
      </c>
      <c r="AH57" s="44">
        <v>20272.060000000001</v>
      </c>
    </row>
    <row r="58" spans="1:34" x14ac:dyDescent="0.35">
      <c r="A58" s="33" t="s">
        <v>64</v>
      </c>
      <c r="B58" s="10">
        <v>20880.960277600025</v>
      </c>
      <c r="C58" s="2">
        <v>20900.720277600023</v>
      </c>
      <c r="D58" s="2">
        <v>20919.790277600023</v>
      </c>
      <c r="E58" s="2">
        <v>20940.500277600022</v>
      </c>
      <c r="F58" s="2">
        <v>20962.550277600021</v>
      </c>
      <c r="G58" s="2">
        <v>20975.340277600022</v>
      </c>
      <c r="H58" s="2">
        <v>20995.330277600024</v>
      </c>
      <c r="I58" s="2">
        <v>21014.000277600022</v>
      </c>
      <c r="J58" s="2">
        <v>21033.610277600023</v>
      </c>
      <c r="K58" s="2">
        <v>21053.070277600022</v>
      </c>
      <c r="L58" s="2">
        <v>21073.690277600021</v>
      </c>
      <c r="M58" s="2">
        <v>21095.15027760002</v>
      </c>
      <c r="N58" s="2">
        <v>21113.840277600018</v>
      </c>
      <c r="O58" s="2">
        <v>21135.050277600018</v>
      </c>
      <c r="P58" s="2">
        <v>21155.990277600016</v>
      </c>
      <c r="Q58" s="2">
        <v>21176.760277600017</v>
      </c>
      <c r="R58" s="2">
        <v>21191.170277600017</v>
      </c>
      <c r="S58" s="2">
        <v>21206.350277600017</v>
      </c>
      <c r="T58" s="2">
        <v>21227.690277600017</v>
      </c>
      <c r="U58" s="2">
        <v>21247.750277600018</v>
      </c>
      <c r="V58" s="2">
        <v>21269.680277600019</v>
      </c>
      <c r="W58" s="2">
        <v>21290.090277600018</v>
      </c>
      <c r="X58" s="2">
        <v>21312.320277600018</v>
      </c>
      <c r="Y58" s="2">
        <v>21334.800277600018</v>
      </c>
      <c r="Z58" s="2">
        <v>21355.460277600017</v>
      </c>
      <c r="AA58" s="2">
        <v>21372.370277600017</v>
      </c>
      <c r="AB58" s="2">
        <v>21385.150277600016</v>
      </c>
      <c r="AC58" s="2">
        <v>21408.410277600015</v>
      </c>
      <c r="AD58" s="2">
        <v>21428.670277600013</v>
      </c>
      <c r="AE58" s="2">
        <v>21449.370277600014</v>
      </c>
      <c r="AF58" s="3">
        <v>21470.760277600013</v>
      </c>
      <c r="AG58" s="51">
        <f t="shared" si="1"/>
        <v>21470.760277600013</v>
      </c>
      <c r="AH58" s="44">
        <v>20862</v>
      </c>
    </row>
    <row r="59" spans="1:34" x14ac:dyDescent="0.35">
      <c r="A59" s="33" t="s">
        <v>65</v>
      </c>
      <c r="B59" s="10">
        <v>27515.824444099995</v>
      </c>
      <c r="C59" s="2">
        <v>27536.244444099993</v>
      </c>
      <c r="D59" s="2">
        <v>27555.954444099993</v>
      </c>
      <c r="E59" s="2">
        <v>27572.834444099994</v>
      </c>
      <c r="F59" s="2">
        <v>27587.874444099994</v>
      </c>
      <c r="G59" s="2">
        <v>27607.684444099996</v>
      </c>
      <c r="H59" s="2">
        <v>27627.614444099996</v>
      </c>
      <c r="I59" s="2">
        <v>27647.164444099995</v>
      </c>
      <c r="J59" s="2">
        <v>27666.794444099996</v>
      </c>
      <c r="K59" s="2">
        <v>27686.304444099995</v>
      </c>
      <c r="L59" s="2">
        <v>27700.624444099994</v>
      </c>
      <c r="M59" s="2">
        <v>27711.964444099995</v>
      </c>
      <c r="N59" s="2">
        <v>27732.864444099996</v>
      </c>
      <c r="O59" s="2">
        <v>27751.094444099996</v>
      </c>
      <c r="P59" s="2">
        <v>27754.144444099995</v>
      </c>
      <c r="Q59" s="2">
        <v>27767.894444099995</v>
      </c>
      <c r="R59" s="2">
        <v>27787.324444099995</v>
      </c>
      <c r="S59" s="2">
        <v>27802.744444099993</v>
      </c>
      <c r="T59" s="2">
        <v>27824.074444099995</v>
      </c>
      <c r="U59" s="2">
        <v>27838.374444099994</v>
      </c>
      <c r="V59" s="2">
        <v>27860.294444099993</v>
      </c>
      <c r="W59" s="2">
        <v>27880.704444099993</v>
      </c>
      <c r="X59" s="2">
        <v>27885.714444099991</v>
      </c>
      <c r="Y59" s="2">
        <v>27908.194444099991</v>
      </c>
      <c r="Z59" s="2">
        <v>27926.67444409999</v>
      </c>
      <c r="AA59" s="2">
        <v>27946.114444099989</v>
      </c>
      <c r="AB59" s="2">
        <v>27967.804444099987</v>
      </c>
      <c r="AC59" s="2">
        <v>27991.044444099989</v>
      </c>
      <c r="AD59" s="2">
        <v>28011.964444099987</v>
      </c>
      <c r="AE59" s="2">
        <v>28032.664444099988</v>
      </c>
      <c r="AF59" s="3">
        <v>28054.214444099987</v>
      </c>
      <c r="AG59" s="51">
        <f t="shared" si="1"/>
        <v>28054.214444099987</v>
      </c>
      <c r="AH59" s="44">
        <v>27497.05</v>
      </c>
    </row>
    <row r="60" spans="1:34" x14ac:dyDescent="0.35">
      <c r="A60" s="33" t="s">
        <v>66</v>
      </c>
      <c r="B60" s="10">
        <v>28067.080000000045</v>
      </c>
      <c r="C60" s="2">
        <v>28086.440000000046</v>
      </c>
      <c r="D60" s="2">
        <v>28106.020000000048</v>
      </c>
      <c r="E60" s="2">
        <v>28125.960000000046</v>
      </c>
      <c r="F60" s="2">
        <v>28147.980000000047</v>
      </c>
      <c r="G60" s="2">
        <v>28166.290000000048</v>
      </c>
      <c r="H60" s="2">
        <v>28166.290000000048</v>
      </c>
      <c r="I60" s="2">
        <v>28180.580000000049</v>
      </c>
      <c r="J60" s="2">
        <v>28200.660000000051</v>
      </c>
      <c r="K60" s="2">
        <v>28209.160000000051</v>
      </c>
      <c r="L60" s="2">
        <v>28216.53000000005</v>
      </c>
      <c r="M60" s="2">
        <v>28236.73000000005</v>
      </c>
      <c r="N60" s="2">
        <v>28256.19000000005</v>
      </c>
      <c r="O60" s="2">
        <v>28277.28000000005</v>
      </c>
      <c r="P60" s="2">
        <v>28298.970000000048</v>
      </c>
      <c r="Q60" s="2">
        <v>28312.980000000047</v>
      </c>
      <c r="R60" s="2">
        <v>28332.490000000045</v>
      </c>
      <c r="S60" s="2">
        <v>28347.070000000047</v>
      </c>
      <c r="T60" s="2">
        <v>28368.280000000046</v>
      </c>
      <c r="U60" s="2">
        <v>28383.440000000046</v>
      </c>
      <c r="V60" s="2">
        <v>28400.090000000047</v>
      </c>
      <c r="W60" s="2">
        <v>28423.580000000049</v>
      </c>
      <c r="X60" s="2">
        <v>28435.510000000049</v>
      </c>
      <c r="Y60" s="2">
        <v>28435.510000000049</v>
      </c>
      <c r="Z60" s="2">
        <v>28446.150000000049</v>
      </c>
      <c r="AA60" s="2">
        <v>28457.05000000005</v>
      </c>
      <c r="AB60" s="2">
        <v>28478.720000000048</v>
      </c>
      <c r="AC60" s="2">
        <v>28501.96000000005</v>
      </c>
      <c r="AD60" s="2">
        <v>28522.930000000051</v>
      </c>
      <c r="AE60" s="2">
        <v>28543.64000000005</v>
      </c>
      <c r="AF60" s="3">
        <v>28562.270000000051</v>
      </c>
      <c r="AG60" s="51">
        <f t="shared" si="1"/>
        <v>28562.270000000051</v>
      </c>
      <c r="AH60" s="44">
        <v>28051.49</v>
      </c>
    </row>
    <row r="61" spans="1:34" x14ac:dyDescent="0.35">
      <c r="A61" s="33" t="s">
        <v>67</v>
      </c>
      <c r="B61" s="10">
        <v>28767.890000000014</v>
      </c>
      <c r="C61" s="2">
        <v>28788.430000000015</v>
      </c>
      <c r="D61" s="2">
        <v>28806.660000000014</v>
      </c>
      <c r="E61" s="2">
        <v>28826.830000000013</v>
      </c>
      <c r="F61" s="2">
        <v>28848.840000000011</v>
      </c>
      <c r="G61" s="2">
        <v>28869.060000000012</v>
      </c>
      <c r="H61" s="2">
        <v>28889.240000000013</v>
      </c>
      <c r="I61" s="2">
        <v>28909.700000000012</v>
      </c>
      <c r="J61" s="2">
        <v>28929.580000000013</v>
      </c>
      <c r="K61" s="2">
        <v>28947.180000000011</v>
      </c>
      <c r="L61" s="2">
        <v>28968.05000000001</v>
      </c>
      <c r="M61" s="2">
        <v>28988.080000000009</v>
      </c>
      <c r="N61" s="2">
        <v>28996.930000000008</v>
      </c>
      <c r="O61" s="2">
        <v>29016.910000000007</v>
      </c>
      <c r="P61" s="2">
        <v>29033.810000000009</v>
      </c>
      <c r="Q61" s="2">
        <v>29053.740000000009</v>
      </c>
      <c r="R61" s="2">
        <v>29074.750000000007</v>
      </c>
      <c r="S61" s="2">
        <v>29081.730000000007</v>
      </c>
      <c r="T61" s="2">
        <v>29103.050000000007</v>
      </c>
      <c r="U61" s="2">
        <v>29123.300000000007</v>
      </c>
      <c r="V61" s="2">
        <v>29145.220000000005</v>
      </c>
      <c r="W61" s="2">
        <v>29165.650000000005</v>
      </c>
      <c r="X61" s="2">
        <v>29187.710000000006</v>
      </c>
      <c r="Y61" s="2">
        <v>29210.030000000006</v>
      </c>
      <c r="Z61" s="2">
        <v>29228.500000000007</v>
      </c>
      <c r="AA61" s="2">
        <v>29247.820000000007</v>
      </c>
      <c r="AB61" s="2">
        <v>29265.100000000006</v>
      </c>
      <c r="AC61" s="2">
        <v>29265.100000000006</v>
      </c>
      <c r="AD61" s="2">
        <v>29275.850000000006</v>
      </c>
      <c r="AE61" s="2">
        <v>29284.560000000005</v>
      </c>
      <c r="AF61" s="3">
        <v>29287.830000000005</v>
      </c>
      <c r="AG61" s="51">
        <f t="shared" si="1"/>
        <v>29287.830000000005</v>
      </c>
      <c r="AH61" s="44">
        <v>28748.11</v>
      </c>
    </row>
    <row r="62" spans="1:34" x14ac:dyDescent="0.35">
      <c r="A62" s="33" t="s">
        <v>68</v>
      </c>
      <c r="B62" s="10">
        <v>28620.250000000015</v>
      </c>
      <c r="C62" s="2">
        <v>28640.150000000016</v>
      </c>
      <c r="D62" s="2">
        <v>28659.870000000017</v>
      </c>
      <c r="E62" s="2">
        <v>28679.670000000016</v>
      </c>
      <c r="F62" s="2">
        <v>28701.670000000016</v>
      </c>
      <c r="G62" s="2">
        <v>28707.380000000016</v>
      </c>
      <c r="H62" s="2">
        <v>28728.190000000017</v>
      </c>
      <c r="I62" s="2">
        <v>28748.470000000016</v>
      </c>
      <c r="J62" s="2">
        <v>28768.340000000015</v>
      </c>
      <c r="K62" s="2">
        <v>28787.660000000014</v>
      </c>
      <c r="L62" s="2">
        <v>28798.110000000015</v>
      </c>
      <c r="M62" s="2">
        <v>28819.530000000013</v>
      </c>
      <c r="N62" s="2">
        <v>28838.600000000013</v>
      </c>
      <c r="O62" s="2">
        <v>28858.650000000012</v>
      </c>
      <c r="P62" s="2">
        <v>28878.140000000014</v>
      </c>
      <c r="Q62" s="2">
        <v>28896.890000000014</v>
      </c>
      <c r="R62" s="2">
        <v>28913.380000000016</v>
      </c>
      <c r="S62" s="2">
        <v>28913.380000000016</v>
      </c>
      <c r="T62" s="2">
        <v>28928.390000000014</v>
      </c>
      <c r="U62" s="2">
        <v>28947.410000000014</v>
      </c>
      <c r="V62" s="2">
        <v>28969.340000000015</v>
      </c>
      <c r="W62" s="2">
        <v>28989.750000000015</v>
      </c>
      <c r="X62" s="2">
        <v>29001.690000000013</v>
      </c>
      <c r="Y62" s="2">
        <v>29024.010000000013</v>
      </c>
      <c r="Z62" s="2">
        <v>29043.150000000012</v>
      </c>
      <c r="AA62" s="2">
        <v>29062.530000000013</v>
      </c>
      <c r="AB62" s="2">
        <v>29081.280000000013</v>
      </c>
      <c r="AC62" s="2">
        <v>29104.530000000013</v>
      </c>
      <c r="AD62" s="2">
        <v>29124.700000000012</v>
      </c>
      <c r="AE62" s="2">
        <v>29145.260000000013</v>
      </c>
      <c r="AF62" s="3">
        <v>29166.830000000013</v>
      </c>
      <c r="AG62" s="51">
        <f t="shared" si="1"/>
        <v>29166.830000000013</v>
      </c>
      <c r="AH62" s="44">
        <v>28598.91</v>
      </c>
    </row>
    <row r="63" spans="1:34" x14ac:dyDescent="0.35">
      <c r="A63" s="33" t="s">
        <v>69</v>
      </c>
      <c r="B63" s="10">
        <v>76987.39999999998</v>
      </c>
      <c r="C63" s="2">
        <v>76987.39999999998</v>
      </c>
      <c r="D63" s="2">
        <v>76987.39999999998</v>
      </c>
      <c r="E63" s="2">
        <v>76987.39999999998</v>
      </c>
      <c r="F63" s="2">
        <v>76987.399999999994</v>
      </c>
      <c r="G63" s="2">
        <v>76987.399999999994</v>
      </c>
      <c r="H63" s="2">
        <v>76987.399999999994</v>
      </c>
      <c r="I63" s="2">
        <v>76987.399999999994</v>
      </c>
      <c r="J63" s="2">
        <v>76987.399999999994</v>
      </c>
      <c r="K63" s="2">
        <v>76987.399999999994</v>
      </c>
      <c r="L63" s="2">
        <v>76987.399999999994</v>
      </c>
      <c r="M63" s="2">
        <v>76987.399999999994</v>
      </c>
      <c r="N63" s="2">
        <v>76987.399999999994</v>
      </c>
      <c r="O63" s="2">
        <v>76987.399999999994</v>
      </c>
      <c r="P63" s="2">
        <v>76987.399999999994</v>
      </c>
      <c r="Q63" s="2">
        <v>76987.399999999994</v>
      </c>
      <c r="R63" s="2">
        <v>76987.399999999994</v>
      </c>
      <c r="S63" s="2">
        <v>76987.399999999994</v>
      </c>
      <c r="T63" s="2">
        <v>76987.399999999994</v>
      </c>
      <c r="U63" s="2">
        <v>76987.399999999994</v>
      </c>
      <c r="V63" s="2">
        <v>76987.399999999994</v>
      </c>
      <c r="W63" s="2">
        <v>76996.569999999992</v>
      </c>
      <c r="X63" s="2">
        <v>76996.569999999992</v>
      </c>
      <c r="Y63" s="2">
        <v>76996.569999999992</v>
      </c>
      <c r="Z63" s="2">
        <v>76996.569999999992</v>
      </c>
      <c r="AA63" s="2">
        <v>76996.569999999992</v>
      </c>
      <c r="AB63" s="2">
        <v>76996.569999999992</v>
      </c>
      <c r="AC63" s="2">
        <v>76996.569999999992</v>
      </c>
      <c r="AD63" s="2">
        <v>76996.569999999992</v>
      </c>
      <c r="AE63" s="2">
        <v>76996.569999999992</v>
      </c>
      <c r="AF63" s="3">
        <v>76996.569999999992</v>
      </c>
      <c r="AG63" s="51">
        <f t="shared" si="1"/>
        <v>76996.569999999992</v>
      </c>
      <c r="AH63" s="44">
        <v>76987.399999999994</v>
      </c>
    </row>
    <row r="64" spans="1:34" x14ac:dyDescent="0.35">
      <c r="A64" s="33" t="s">
        <v>70</v>
      </c>
      <c r="B64" s="10">
        <v>86428.489999999991</v>
      </c>
      <c r="C64" s="2">
        <v>86428.489999999991</v>
      </c>
      <c r="D64" s="2">
        <v>86428.489999999991</v>
      </c>
      <c r="E64" s="2">
        <v>86428.489999999991</v>
      </c>
      <c r="F64" s="2">
        <v>86428.489999999991</v>
      </c>
      <c r="G64" s="2">
        <v>86428.489999999991</v>
      </c>
      <c r="H64" s="2">
        <v>86428.489999999991</v>
      </c>
      <c r="I64" s="2">
        <v>86428.489999999991</v>
      </c>
      <c r="J64" s="2">
        <v>86428.489999999991</v>
      </c>
      <c r="K64" s="2">
        <v>86428.489999999991</v>
      </c>
      <c r="L64" s="2">
        <v>86428.489999999991</v>
      </c>
      <c r="M64" s="2">
        <v>86428.489999999991</v>
      </c>
      <c r="N64" s="2">
        <v>86428.489999999991</v>
      </c>
      <c r="O64" s="2">
        <v>86428.489999999991</v>
      </c>
      <c r="P64" s="2">
        <v>86428.489999999991</v>
      </c>
      <c r="Q64" s="2">
        <v>86428.489999999991</v>
      </c>
      <c r="R64" s="2">
        <v>86428.489999999991</v>
      </c>
      <c r="S64" s="2">
        <v>86428.489999999991</v>
      </c>
      <c r="T64" s="2">
        <v>86428.489999999991</v>
      </c>
      <c r="U64" s="2">
        <v>86428.489999999991</v>
      </c>
      <c r="V64" s="2">
        <v>86428.489999999991</v>
      </c>
      <c r="W64" s="2">
        <v>86428.489999999991</v>
      </c>
      <c r="X64" s="2">
        <v>86428.489999999991</v>
      </c>
      <c r="Y64" s="2">
        <v>86428.489999999991</v>
      </c>
      <c r="Z64" s="2">
        <v>86428.489999999991</v>
      </c>
      <c r="AA64" s="2">
        <v>86428.489999999991</v>
      </c>
      <c r="AB64" s="2">
        <v>86430.139999999985</v>
      </c>
      <c r="AC64" s="2">
        <v>86430.139999999985</v>
      </c>
      <c r="AD64" s="2">
        <v>86430.139999999985</v>
      </c>
      <c r="AE64" s="2">
        <v>86430.139999999985</v>
      </c>
      <c r="AF64" s="3">
        <v>86430.139999999985</v>
      </c>
      <c r="AG64" s="51">
        <f t="shared" si="1"/>
        <v>86430.139999999985</v>
      </c>
      <c r="AH64" s="44">
        <v>86428.49</v>
      </c>
    </row>
    <row r="65" spans="1:34" x14ac:dyDescent="0.35">
      <c r="A65" s="33" t="s">
        <v>71</v>
      </c>
      <c r="B65" s="10">
        <v>84106.000000000015</v>
      </c>
      <c r="C65" s="2">
        <v>84123.090000000011</v>
      </c>
      <c r="D65" s="2">
        <v>84138.340000000011</v>
      </c>
      <c r="E65" s="2">
        <v>84159.440000000017</v>
      </c>
      <c r="F65" s="2">
        <v>84181.290000000023</v>
      </c>
      <c r="G65" s="2">
        <v>84203.10000000002</v>
      </c>
      <c r="H65" s="2">
        <v>84224.460000000021</v>
      </c>
      <c r="I65" s="2">
        <v>84245.340000000026</v>
      </c>
      <c r="J65" s="2">
        <v>84250.35000000002</v>
      </c>
      <c r="K65" s="2">
        <v>84250.35000000002</v>
      </c>
      <c r="L65" s="2">
        <v>84252.500000000015</v>
      </c>
      <c r="M65" s="2">
        <v>84252.500000000015</v>
      </c>
      <c r="N65" s="2">
        <v>84252.500000000015</v>
      </c>
      <c r="O65" s="2">
        <v>84252.500000000015</v>
      </c>
      <c r="P65" s="2">
        <v>84252.500000000015</v>
      </c>
      <c r="Q65" s="2">
        <v>84252.500000000015</v>
      </c>
      <c r="R65" s="2">
        <v>84263.390000000014</v>
      </c>
      <c r="S65" s="2">
        <v>84278.450000000012</v>
      </c>
      <c r="T65" s="2">
        <v>84298.940000000017</v>
      </c>
      <c r="U65" s="2">
        <v>84313.560000000012</v>
      </c>
      <c r="V65" s="2">
        <v>84334.900000000009</v>
      </c>
      <c r="W65" s="2">
        <v>84354.41</v>
      </c>
      <c r="X65" s="2">
        <v>84354.41</v>
      </c>
      <c r="Y65" s="2">
        <v>84364.71</v>
      </c>
      <c r="Z65" s="2">
        <v>84376.24</v>
      </c>
      <c r="AA65" s="2">
        <v>84388.02</v>
      </c>
      <c r="AB65" s="2">
        <v>84400.08</v>
      </c>
      <c r="AC65" s="2">
        <v>84411.47</v>
      </c>
      <c r="AD65" s="2">
        <v>84423.52</v>
      </c>
      <c r="AE65" s="2">
        <v>84425.919999999998</v>
      </c>
      <c r="AF65" s="3">
        <v>84436.67</v>
      </c>
      <c r="AG65" s="51">
        <f t="shared" si="1"/>
        <v>84436.67</v>
      </c>
      <c r="AH65" s="44">
        <v>84089.9</v>
      </c>
    </row>
    <row r="66" spans="1:34" x14ac:dyDescent="0.35">
      <c r="A66" s="33" t="s">
        <v>72</v>
      </c>
      <c r="B66" s="10">
        <v>82183.270000000179</v>
      </c>
      <c r="C66" s="2">
        <v>82204.190000000177</v>
      </c>
      <c r="D66" s="2">
        <v>82204.190000000177</v>
      </c>
      <c r="E66" s="2">
        <v>82204.190000000177</v>
      </c>
      <c r="F66" s="2">
        <v>82211.320000000182</v>
      </c>
      <c r="G66" s="2">
        <v>82222.960000000181</v>
      </c>
      <c r="H66" s="2">
        <v>82233.74000000018</v>
      </c>
      <c r="I66" s="2">
        <v>82254.870000000185</v>
      </c>
      <c r="J66" s="2">
        <v>82261.430000000182</v>
      </c>
      <c r="K66" s="2">
        <v>82261.430000000182</v>
      </c>
      <c r="L66" s="2">
        <v>82263.85000000018</v>
      </c>
      <c r="M66" s="2">
        <v>82263.85000000018</v>
      </c>
      <c r="N66" s="2">
        <v>82263.85000000018</v>
      </c>
      <c r="O66" s="2">
        <v>82263.85000000018</v>
      </c>
      <c r="P66" s="2">
        <v>82263.85000000018</v>
      </c>
      <c r="Q66" s="2">
        <v>82266.10000000018</v>
      </c>
      <c r="R66" s="2">
        <v>82280.880000000179</v>
      </c>
      <c r="S66" s="2">
        <v>82289.790000000183</v>
      </c>
      <c r="T66" s="2">
        <v>82307.180000000182</v>
      </c>
      <c r="U66" s="2">
        <v>82328.500000000189</v>
      </c>
      <c r="V66" s="2">
        <v>82349.700000000186</v>
      </c>
      <c r="W66" s="2">
        <v>82369.74000000018</v>
      </c>
      <c r="X66" s="2">
        <v>82388.250000000175</v>
      </c>
      <c r="Y66" s="2">
        <v>82388.250000000175</v>
      </c>
      <c r="Z66" s="2">
        <v>82388.250000000175</v>
      </c>
      <c r="AA66" s="2">
        <v>82388.250000000175</v>
      </c>
      <c r="AB66" s="2">
        <v>82388.250000000175</v>
      </c>
      <c r="AC66" s="2">
        <v>82388.250000000175</v>
      </c>
      <c r="AD66" s="2">
        <v>82388.250000000175</v>
      </c>
      <c r="AE66" s="2">
        <v>82388.250000000175</v>
      </c>
      <c r="AF66" s="3">
        <v>82388.250000000175</v>
      </c>
      <c r="AG66" s="51">
        <f t="shared" si="1"/>
        <v>82388.250000000175</v>
      </c>
      <c r="AH66" s="44">
        <v>82164.75</v>
      </c>
    </row>
    <row r="67" spans="1:34" x14ac:dyDescent="0.35">
      <c r="A67" s="33" t="s">
        <v>73</v>
      </c>
      <c r="B67" s="10">
        <v>84594.759999999907</v>
      </c>
      <c r="C67" s="2">
        <v>84611.819999999905</v>
      </c>
      <c r="D67" s="2">
        <v>84613.969999999899</v>
      </c>
      <c r="E67" s="2">
        <v>84619.809999999896</v>
      </c>
      <c r="F67" s="2">
        <v>84630.369999999893</v>
      </c>
      <c r="G67" s="2">
        <v>84651.409999999887</v>
      </c>
      <c r="H67" s="2">
        <v>84662.279999999882</v>
      </c>
      <c r="I67" s="2">
        <v>84683.699999999881</v>
      </c>
      <c r="J67" s="2">
        <v>84688.999999999884</v>
      </c>
      <c r="K67" s="2">
        <v>84697.529999999882</v>
      </c>
      <c r="L67" s="2">
        <v>84698.899999999878</v>
      </c>
      <c r="M67" s="2">
        <v>84698.899999999878</v>
      </c>
      <c r="N67" s="2">
        <v>84699.47999999988</v>
      </c>
      <c r="O67" s="2">
        <v>84699.47999999988</v>
      </c>
      <c r="P67" s="2">
        <v>84705.439999999886</v>
      </c>
      <c r="Q67" s="2">
        <v>84717.949999999881</v>
      </c>
      <c r="R67" s="2">
        <v>84736.849999999875</v>
      </c>
      <c r="S67" s="2">
        <v>84747.029999999868</v>
      </c>
      <c r="T67" s="2">
        <v>84760.10999999987</v>
      </c>
      <c r="U67" s="2">
        <v>84763.689999999871</v>
      </c>
      <c r="V67" s="2">
        <v>84775.409999999873</v>
      </c>
      <c r="W67" s="2">
        <v>84789.749999999869</v>
      </c>
      <c r="X67" s="2">
        <v>84789.749999999869</v>
      </c>
      <c r="Y67" s="2">
        <v>84789.749999999869</v>
      </c>
      <c r="Z67" s="2">
        <v>84800.309999999867</v>
      </c>
      <c r="AA67" s="2">
        <v>84810.60999999987</v>
      </c>
      <c r="AB67" s="2">
        <v>84817.499999999869</v>
      </c>
      <c r="AC67" s="2">
        <v>84817.499999999869</v>
      </c>
      <c r="AD67" s="2">
        <v>84817.499999999869</v>
      </c>
      <c r="AE67" s="2">
        <v>84825.849999999875</v>
      </c>
      <c r="AF67" s="3">
        <v>84831.21999999987</v>
      </c>
      <c r="AG67" s="51">
        <f t="shared" si="1"/>
        <v>84831.21999999987</v>
      </c>
      <c r="AH67" s="44">
        <v>84576.75</v>
      </c>
    </row>
    <row r="68" spans="1:34" x14ac:dyDescent="0.35">
      <c r="A68" s="33" t="s">
        <v>74</v>
      </c>
      <c r="B68" s="10">
        <v>82508.049999999814</v>
      </c>
      <c r="C68" s="2">
        <v>82518.129999999815</v>
      </c>
      <c r="D68" s="2">
        <v>82531.769999999815</v>
      </c>
      <c r="E68" s="2">
        <v>82553.039999999819</v>
      </c>
      <c r="F68" s="2">
        <v>82574.289999999819</v>
      </c>
      <c r="G68" s="2">
        <v>82582.059999999823</v>
      </c>
      <c r="H68" s="2">
        <v>82593.839999999822</v>
      </c>
      <c r="I68" s="2">
        <v>82599.049999999828</v>
      </c>
      <c r="J68" s="2">
        <v>82602.829999999827</v>
      </c>
      <c r="K68" s="2">
        <v>82604.809999999823</v>
      </c>
      <c r="L68" s="2">
        <v>82614.779999999824</v>
      </c>
      <c r="M68" s="2">
        <v>82614.779999999824</v>
      </c>
      <c r="N68" s="2">
        <v>82614.779999999824</v>
      </c>
      <c r="O68" s="2">
        <v>82614.779999999824</v>
      </c>
      <c r="P68" s="2">
        <v>82614.779999999824</v>
      </c>
      <c r="Q68" s="2">
        <v>82614.779999999824</v>
      </c>
      <c r="R68" s="2">
        <v>82634.139999999825</v>
      </c>
      <c r="S68" s="2">
        <v>82644.859999999826</v>
      </c>
      <c r="T68" s="2">
        <v>82650.659999999829</v>
      </c>
      <c r="U68" s="2">
        <v>82664.669999999824</v>
      </c>
      <c r="V68" s="2">
        <v>82686.289999999819</v>
      </c>
      <c r="W68" s="2">
        <v>82700.019999999815</v>
      </c>
      <c r="X68" s="2">
        <v>82704.89999999982</v>
      </c>
      <c r="Y68" s="2">
        <v>82704.89999999982</v>
      </c>
      <c r="Z68" s="2">
        <v>82706.309999999823</v>
      </c>
      <c r="AA68" s="2">
        <v>82709.539999999819</v>
      </c>
      <c r="AB68" s="2">
        <v>82720.059999999823</v>
      </c>
      <c r="AC68" s="2">
        <v>82729.219999999827</v>
      </c>
      <c r="AD68" s="2">
        <v>82729.219999999827</v>
      </c>
      <c r="AE68" s="2">
        <v>82738.469999999827</v>
      </c>
      <c r="AF68" s="3">
        <v>82759.109999999826</v>
      </c>
      <c r="AG68" s="51">
        <f t="shared" ref="AG68:AG99" si="2">MAX(B68:AF68)</f>
        <v>82759.109999999826</v>
      </c>
      <c r="AH68" s="44">
        <v>82508.05</v>
      </c>
    </row>
    <row r="69" spans="1:34" x14ac:dyDescent="0.35">
      <c r="A69" s="33" t="s">
        <v>75</v>
      </c>
      <c r="B69" s="10">
        <v>85952.720000000045</v>
      </c>
      <c r="C69" s="2">
        <v>85973.130000000048</v>
      </c>
      <c r="D69" s="2">
        <v>85993.440000000046</v>
      </c>
      <c r="E69" s="2">
        <v>86014.490000000049</v>
      </c>
      <c r="F69" s="2">
        <v>86035.400000000052</v>
      </c>
      <c r="G69" s="2">
        <v>86056.010000000053</v>
      </c>
      <c r="H69" s="2">
        <v>86075.21000000005</v>
      </c>
      <c r="I69" s="2">
        <v>86088.740000000049</v>
      </c>
      <c r="J69" s="2">
        <v>86102.280000000042</v>
      </c>
      <c r="K69" s="2">
        <v>86112.490000000049</v>
      </c>
      <c r="L69" s="2">
        <v>86119.140000000043</v>
      </c>
      <c r="M69" s="2">
        <v>86120.46000000005</v>
      </c>
      <c r="N69" s="2">
        <v>86121.46000000005</v>
      </c>
      <c r="O69" s="2">
        <v>86121.660000000047</v>
      </c>
      <c r="P69" s="2">
        <v>86121.660000000047</v>
      </c>
      <c r="Q69" s="2">
        <v>86126.700000000041</v>
      </c>
      <c r="R69" s="2">
        <v>86142.250000000044</v>
      </c>
      <c r="S69" s="2">
        <v>86162.360000000044</v>
      </c>
      <c r="T69" s="2">
        <v>86183.950000000041</v>
      </c>
      <c r="U69" s="2">
        <v>86192.750000000044</v>
      </c>
      <c r="V69" s="2">
        <v>86211.060000000041</v>
      </c>
      <c r="W69" s="2">
        <v>86232.560000000041</v>
      </c>
      <c r="X69" s="2">
        <v>86243.350000000035</v>
      </c>
      <c r="Y69" s="2">
        <v>86245.770000000033</v>
      </c>
      <c r="Z69" s="2">
        <v>86255.48000000004</v>
      </c>
      <c r="AA69" s="2">
        <v>86262.380000000034</v>
      </c>
      <c r="AB69" s="2">
        <v>86273.120000000039</v>
      </c>
      <c r="AC69" s="2">
        <v>86273.120000000039</v>
      </c>
      <c r="AD69" s="2">
        <v>86273.120000000039</v>
      </c>
      <c r="AE69" s="2">
        <v>86287.200000000041</v>
      </c>
      <c r="AF69" s="3">
        <v>86297.780000000042</v>
      </c>
      <c r="AG69" s="51">
        <f t="shared" si="2"/>
        <v>86297.780000000042</v>
      </c>
      <c r="AH69" s="44">
        <v>85941.66</v>
      </c>
    </row>
    <row r="70" spans="1:34" x14ac:dyDescent="0.35">
      <c r="A70" s="33" t="s">
        <v>76</v>
      </c>
      <c r="B70" s="10">
        <v>84625.440000000104</v>
      </c>
      <c r="C70" s="2">
        <v>84643.410000000105</v>
      </c>
      <c r="D70" s="2">
        <v>84651.79000000011</v>
      </c>
      <c r="E70" s="2">
        <v>84667.570000000109</v>
      </c>
      <c r="F70" s="2">
        <v>84688.830000000104</v>
      </c>
      <c r="G70" s="2">
        <v>84710.160000000105</v>
      </c>
      <c r="H70" s="2">
        <v>84717.410000000105</v>
      </c>
      <c r="I70" s="2">
        <v>84717.410000000105</v>
      </c>
      <c r="J70" s="2">
        <v>84726.900000000111</v>
      </c>
      <c r="K70" s="2">
        <v>84736.720000000118</v>
      </c>
      <c r="L70" s="2">
        <v>84751.810000000114</v>
      </c>
      <c r="M70" s="2">
        <v>84762.52000000012</v>
      </c>
      <c r="N70" s="2">
        <v>84772.900000000125</v>
      </c>
      <c r="O70" s="2">
        <v>84772.900000000125</v>
      </c>
      <c r="P70" s="2">
        <v>84772.900000000125</v>
      </c>
      <c r="Q70" s="2">
        <v>84777.180000000124</v>
      </c>
      <c r="R70" s="2">
        <v>84795.040000000125</v>
      </c>
      <c r="S70" s="2">
        <v>84805.570000000123</v>
      </c>
      <c r="T70" s="2">
        <v>84816.040000000125</v>
      </c>
      <c r="U70" s="2">
        <v>84828.64000000013</v>
      </c>
      <c r="V70" s="2">
        <v>84845.64000000013</v>
      </c>
      <c r="W70" s="2">
        <v>84867.470000000132</v>
      </c>
      <c r="X70" s="2">
        <v>84878.150000000125</v>
      </c>
      <c r="Y70" s="2">
        <v>84878.150000000125</v>
      </c>
      <c r="Z70" s="2">
        <v>84892.450000000128</v>
      </c>
      <c r="AA70" s="2">
        <v>84900.440000000133</v>
      </c>
      <c r="AB70" s="2">
        <v>84911.070000000138</v>
      </c>
      <c r="AC70" s="2">
        <v>84920.380000000136</v>
      </c>
      <c r="AD70" s="2">
        <v>84922.370000000141</v>
      </c>
      <c r="AE70" s="2">
        <v>84939.720000000147</v>
      </c>
      <c r="AF70" s="3">
        <v>84945.590000000142</v>
      </c>
      <c r="AG70" s="51">
        <f t="shared" si="2"/>
        <v>84945.590000000142</v>
      </c>
      <c r="AH70" s="44">
        <v>84604.2</v>
      </c>
    </row>
    <row r="71" spans="1:34" x14ac:dyDescent="0.35">
      <c r="A71" s="33" t="s">
        <v>77</v>
      </c>
      <c r="B71" s="10">
        <v>74261.260000000097</v>
      </c>
      <c r="C71" s="2">
        <v>74272.660000000091</v>
      </c>
      <c r="D71" s="2">
        <v>74294.110000000088</v>
      </c>
      <c r="E71" s="2">
        <v>74314.920000000086</v>
      </c>
      <c r="F71" s="2">
        <v>74332.660000000091</v>
      </c>
      <c r="G71" s="2">
        <v>74337.200000000084</v>
      </c>
      <c r="H71" s="2">
        <v>74342.770000000091</v>
      </c>
      <c r="I71" s="2">
        <v>74342.770000000091</v>
      </c>
      <c r="J71" s="2">
        <v>74356.260000000097</v>
      </c>
      <c r="K71" s="2">
        <v>74372.930000000095</v>
      </c>
      <c r="L71" s="2">
        <v>74375.44000000009</v>
      </c>
      <c r="M71" s="2">
        <v>74390.740000000093</v>
      </c>
      <c r="N71" s="2">
        <v>74399.910000000091</v>
      </c>
      <c r="O71" s="2">
        <v>74410.580000000089</v>
      </c>
      <c r="P71" s="2">
        <v>74410.580000000089</v>
      </c>
      <c r="Q71" s="2">
        <v>74410.580000000089</v>
      </c>
      <c r="R71" s="2">
        <v>74410.580000000089</v>
      </c>
      <c r="S71" s="2">
        <v>74428.350000000093</v>
      </c>
      <c r="T71" s="2">
        <v>74435.730000000098</v>
      </c>
      <c r="U71" s="2">
        <v>74448.770000000091</v>
      </c>
      <c r="V71" s="2">
        <v>74460.460000000094</v>
      </c>
      <c r="W71" s="2">
        <v>74472.8100000001</v>
      </c>
      <c r="X71" s="2">
        <v>74473.370000000097</v>
      </c>
      <c r="Y71" s="2">
        <v>74487.80000000009</v>
      </c>
      <c r="Z71" s="2">
        <v>74495.840000000084</v>
      </c>
      <c r="AA71" s="2">
        <v>74508.55000000009</v>
      </c>
      <c r="AB71" s="2">
        <v>74519.100000000093</v>
      </c>
      <c r="AC71" s="2">
        <v>74519.100000000093</v>
      </c>
      <c r="AD71" s="2">
        <v>74526.640000000087</v>
      </c>
      <c r="AE71" s="2">
        <v>74544.870000000083</v>
      </c>
      <c r="AF71" s="3">
        <v>74550.920000000086</v>
      </c>
      <c r="AG71" s="51">
        <f t="shared" si="2"/>
        <v>74550.920000000086</v>
      </c>
      <c r="AH71" s="44">
        <v>74259.429999999993</v>
      </c>
    </row>
    <row r="72" spans="1:34" x14ac:dyDescent="0.35">
      <c r="A72" s="33" t="s">
        <v>78</v>
      </c>
      <c r="B72" s="10">
        <v>77295.729999999923</v>
      </c>
      <c r="C72" s="2">
        <v>77308.539999999921</v>
      </c>
      <c r="D72" s="2">
        <v>77327.399999999921</v>
      </c>
      <c r="E72" s="2">
        <v>77327.399999999921</v>
      </c>
      <c r="F72" s="2">
        <v>77341.699999999924</v>
      </c>
      <c r="G72" s="2">
        <v>77352.68999999993</v>
      </c>
      <c r="H72" s="2">
        <v>77374.259999999937</v>
      </c>
      <c r="I72" s="2">
        <v>77385.109999999942</v>
      </c>
      <c r="J72" s="2">
        <v>77404.429999999949</v>
      </c>
      <c r="K72" s="2">
        <v>77406.609999999942</v>
      </c>
      <c r="L72" s="2">
        <v>77413.939999999944</v>
      </c>
      <c r="M72" s="2">
        <v>77426.679999999949</v>
      </c>
      <c r="N72" s="2">
        <v>77434.639999999956</v>
      </c>
      <c r="O72" s="2">
        <v>77434.639999999956</v>
      </c>
      <c r="P72" s="2">
        <v>77434.639999999956</v>
      </c>
      <c r="Q72" s="2">
        <v>77434.639999999956</v>
      </c>
      <c r="R72" s="2">
        <v>77435.079999999958</v>
      </c>
      <c r="S72" s="2">
        <v>77440.069999999963</v>
      </c>
      <c r="T72" s="2">
        <v>77449.77999999997</v>
      </c>
      <c r="U72" s="2">
        <v>77466.589999999967</v>
      </c>
      <c r="V72" s="2">
        <v>77487.929999999964</v>
      </c>
      <c r="W72" s="2">
        <v>77508.579999999958</v>
      </c>
      <c r="X72" s="2">
        <v>77525.549999999959</v>
      </c>
      <c r="Y72" s="2">
        <v>77536.359999999957</v>
      </c>
      <c r="Z72" s="2">
        <v>77554.649999999951</v>
      </c>
      <c r="AA72" s="2">
        <v>77569.78999999995</v>
      </c>
      <c r="AB72" s="2">
        <v>77572.099999999948</v>
      </c>
      <c r="AC72" s="2">
        <v>77582.159999999945</v>
      </c>
      <c r="AD72" s="2">
        <v>77590.399999999951</v>
      </c>
      <c r="AE72" s="2">
        <v>77610.909999999945</v>
      </c>
      <c r="AF72" s="3">
        <v>77632.359999999942</v>
      </c>
      <c r="AG72" s="51">
        <f t="shared" si="2"/>
        <v>77632.359999999942</v>
      </c>
      <c r="AH72" s="44">
        <v>77274.2</v>
      </c>
    </row>
    <row r="73" spans="1:34" x14ac:dyDescent="0.35">
      <c r="A73" s="33" t="s">
        <v>79</v>
      </c>
      <c r="B73" s="10">
        <v>79683.059999999881</v>
      </c>
      <c r="C73" s="2">
        <v>79700.659999999887</v>
      </c>
      <c r="D73" s="2">
        <v>79716.83999999988</v>
      </c>
      <c r="E73" s="2">
        <v>79731.159999999887</v>
      </c>
      <c r="F73" s="2">
        <v>79752.119999999893</v>
      </c>
      <c r="G73" s="2">
        <v>79759.049999999886</v>
      </c>
      <c r="H73" s="2">
        <v>79769.769999999888</v>
      </c>
      <c r="I73" s="2">
        <v>79786.809999999881</v>
      </c>
      <c r="J73" s="2">
        <v>79799.699999999881</v>
      </c>
      <c r="K73" s="2">
        <v>79816.889999999883</v>
      </c>
      <c r="L73" s="2">
        <v>79837.929999999877</v>
      </c>
      <c r="M73" s="2">
        <v>79857.439999999871</v>
      </c>
      <c r="N73" s="2">
        <v>79870.879999999874</v>
      </c>
      <c r="O73" s="2">
        <v>79870.879999999874</v>
      </c>
      <c r="P73" s="2">
        <v>79879.519999999873</v>
      </c>
      <c r="Q73" s="2">
        <v>79886.049999999872</v>
      </c>
      <c r="R73" s="2">
        <v>79900.479999999865</v>
      </c>
      <c r="S73" s="2">
        <v>79921.949999999866</v>
      </c>
      <c r="T73" s="2">
        <v>79943.389999999868</v>
      </c>
      <c r="U73" s="2">
        <v>79964.829999999871</v>
      </c>
      <c r="V73" s="2">
        <v>79986.289999999877</v>
      </c>
      <c r="W73" s="2">
        <v>80008.289999999877</v>
      </c>
      <c r="X73" s="2">
        <v>80029.559999999881</v>
      </c>
      <c r="Y73" s="2">
        <v>80040.929999999877</v>
      </c>
      <c r="Z73" s="2">
        <v>80049.119999999879</v>
      </c>
      <c r="AA73" s="2">
        <v>80059.649999999878</v>
      </c>
      <c r="AB73" s="2">
        <v>80060.429999999877</v>
      </c>
      <c r="AC73" s="2">
        <v>80081.669999999882</v>
      </c>
      <c r="AD73" s="2">
        <v>80091.809999999881</v>
      </c>
      <c r="AE73" s="2">
        <v>80109.08999999988</v>
      </c>
      <c r="AF73" s="3">
        <v>80116.259999999878</v>
      </c>
      <c r="AG73" s="51">
        <f t="shared" si="2"/>
        <v>80116.259999999878</v>
      </c>
      <c r="AH73" s="44">
        <v>79673.56</v>
      </c>
    </row>
    <row r="74" spans="1:34" x14ac:dyDescent="0.35">
      <c r="A74" s="33" t="s">
        <v>80</v>
      </c>
      <c r="B74" s="10">
        <v>84837.639999999985</v>
      </c>
      <c r="C74" s="2">
        <v>84858.689999999988</v>
      </c>
      <c r="D74" s="2">
        <v>84880.329999999987</v>
      </c>
      <c r="E74" s="2">
        <v>84898.639999999985</v>
      </c>
      <c r="F74" s="2">
        <v>84913.069999999978</v>
      </c>
      <c r="G74" s="2">
        <v>84923.849999999977</v>
      </c>
      <c r="H74" s="2">
        <v>84938.64999999998</v>
      </c>
      <c r="I74" s="2">
        <v>84943.75999999998</v>
      </c>
      <c r="J74" s="2">
        <v>84954.749999999985</v>
      </c>
      <c r="K74" s="2">
        <v>84974.889999999985</v>
      </c>
      <c r="L74" s="2">
        <v>84992.039999999979</v>
      </c>
      <c r="M74" s="2">
        <v>85007.139999999985</v>
      </c>
      <c r="N74" s="2">
        <v>85020.809999999983</v>
      </c>
      <c r="O74" s="2">
        <v>85038.229999999981</v>
      </c>
      <c r="P74" s="2">
        <v>85038.229999999981</v>
      </c>
      <c r="Q74" s="2">
        <v>85049.089999999982</v>
      </c>
      <c r="R74" s="2">
        <v>85061.019999999975</v>
      </c>
      <c r="S74" s="2">
        <v>85077.02999999997</v>
      </c>
      <c r="T74" s="2">
        <v>85097.519999999975</v>
      </c>
      <c r="U74" s="2">
        <v>85106.239999999976</v>
      </c>
      <c r="V74" s="2">
        <v>85106.239999999976</v>
      </c>
      <c r="W74" s="2">
        <v>85106.88999999997</v>
      </c>
      <c r="X74" s="2">
        <v>85113.519999999975</v>
      </c>
      <c r="Y74" s="2">
        <v>85124.359999999971</v>
      </c>
      <c r="Z74" s="2">
        <v>85141.299999999974</v>
      </c>
      <c r="AA74" s="2">
        <v>85143.449999999968</v>
      </c>
      <c r="AB74" s="2">
        <v>85145.729999999967</v>
      </c>
      <c r="AC74" s="2">
        <v>85156.439999999973</v>
      </c>
      <c r="AD74" s="2">
        <v>85162.27999999997</v>
      </c>
      <c r="AE74" s="2">
        <v>85183.699999999968</v>
      </c>
      <c r="AF74" s="3">
        <v>85204.959999999963</v>
      </c>
      <c r="AG74" s="51">
        <f t="shared" si="2"/>
        <v>85204.959999999963</v>
      </c>
      <c r="AH74" s="44">
        <v>84819.22</v>
      </c>
    </row>
    <row r="75" spans="1:34" x14ac:dyDescent="0.35">
      <c r="A75" s="33" t="s">
        <v>81</v>
      </c>
      <c r="B75" s="10">
        <v>83820.61999999985</v>
      </c>
      <c r="C75" s="2">
        <v>83842.049999999843</v>
      </c>
      <c r="D75" s="2">
        <v>83863.089999999836</v>
      </c>
      <c r="E75" s="2">
        <v>83876.959999999832</v>
      </c>
      <c r="F75" s="2">
        <v>83898.679999999833</v>
      </c>
      <c r="G75" s="2">
        <v>83914.49999999984</v>
      </c>
      <c r="H75" s="2">
        <v>83934.769999999844</v>
      </c>
      <c r="I75" s="2">
        <v>83953.72999999985</v>
      </c>
      <c r="J75" s="2">
        <v>83963.319999999847</v>
      </c>
      <c r="K75" s="2">
        <v>83984.699999999852</v>
      </c>
      <c r="L75" s="2">
        <v>84006.039999999848</v>
      </c>
      <c r="M75" s="2">
        <v>84010.439999999842</v>
      </c>
      <c r="N75" s="2">
        <v>84017.299999999843</v>
      </c>
      <c r="O75" s="2">
        <v>84027.239999999845</v>
      </c>
      <c r="P75" s="2">
        <v>84032.339999999851</v>
      </c>
      <c r="Q75" s="2">
        <v>84046.359999999855</v>
      </c>
      <c r="R75" s="2">
        <v>84067.949999999852</v>
      </c>
      <c r="S75" s="2">
        <v>84089.449999999852</v>
      </c>
      <c r="T75" s="2">
        <v>84106.349999999846</v>
      </c>
      <c r="U75" s="2">
        <v>84126.779999999839</v>
      </c>
      <c r="V75" s="2">
        <v>84128.929999999833</v>
      </c>
      <c r="W75" s="2">
        <v>84148.939999999828</v>
      </c>
      <c r="X75" s="2">
        <v>84168.509999999835</v>
      </c>
      <c r="Y75" s="2">
        <v>84183.369999999835</v>
      </c>
      <c r="Z75" s="2">
        <v>84190.649999999834</v>
      </c>
      <c r="AA75" s="2">
        <v>84200.87999999983</v>
      </c>
      <c r="AB75" s="2">
        <v>84217.439999999828</v>
      </c>
      <c r="AC75" s="2">
        <v>84238.699999999822</v>
      </c>
      <c r="AD75" s="2">
        <v>84256.099999999817</v>
      </c>
      <c r="AE75" s="2">
        <v>84272.269999999815</v>
      </c>
      <c r="AF75" s="3">
        <v>84272.269999999815</v>
      </c>
      <c r="AG75" s="51">
        <f t="shared" si="2"/>
        <v>84272.269999999815</v>
      </c>
      <c r="AH75" s="44">
        <v>83800.23</v>
      </c>
    </row>
    <row r="76" spans="1:34" x14ac:dyDescent="0.35">
      <c r="A76" s="33" t="s">
        <v>82</v>
      </c>
      <c r="B76" s="10">
        <v>84203.900000000183</v>
      </c>
      <c r="C76" s="2">
        <v>84220.520000000179</v>
      </c>
      <c r="D76" s="2">
        <v>84241.660000000178</v>
      </c>
      <c r="E76" s="2">
        <v>84256.35000000018</v>
      </c>
      <c r="F76" s="2">
        <v>84271.400000000183</v>
      </c>
      <c r="G76" s="2">
        <v>84274.920000000187</v>
      </c>
      <c r="H76" s="2">
        <v>84274.920000000187</v>
      </c>
      <c r="I76" s="2">
        <v>84275.890000000189</v>
      </c>
      <c r="J76" s="2">
        <v>84287.100000000195</v>
      </c>
      <c r="K76" s="2">
        <v>84300.630000000194</v>
      </c>
      <c r="L76" s="2">
        <v>84317.800000000192</v>
      </c>
      <c r="M76" s="2">
        <v>84339.340000000186</v>
      </c>
      <c r="N76" s="2">
        <v>84360.870000000185</v>
      </c>
      <c r="O76" s="2">
        <v>84371.160000000178</v>
      </c>
      <c r="P76" s="2">
        <v>84381.560000000172</v>
      </c>
      <c r="Q76" s="2">
        <v>84397.100000000166</v>
      </c>
      <c r="R76" s="2">
        <v>84417.920000000173</v>
      </c>
      <c r="S76" s="2">
        <v>84438.450000000172</v>
      </c>
      <c r="T76" s="2">
        <v>84449.250000000175</v>
      </c>
      <c r="U76" s="2">
        <v>84453.35000000018</v>
      </c>
      <c r="V76" s="2">
        <v>84474.180000000182</v>
      </c>
      <c r="W76" s="2">
        <v>84484.950000000186</v>
      </c>
      <c r="X76" s="2">
        <v>84492.99000000018</v>
      </c>
      <c r="Y76" s="2">
        <v>84508.340000000186</v>
      </c>
      <c r="Z76" s="2">
        <v>84510.770000000179</v>
      </c>
      <c r="AA76" s="2">
        <v>84512.510000000184</v>
      </c>
      <c r="AB76" s="2">
        <v>84512.510000000184</v>
      </c>
      <c r="AC76" s="2">
        <v>84512.510000000184</v>
      </c>
      <c r="AD76" s="2">
        <v>84512.510000000184</v>
      </c>
      <c r="AE76" s="2">
        <v>84512.510000000184</v>
      </c>
      <c r="AF76" s="3">
        <v>84512.510000000184</v>
      </c>
      <c r="AG76" s="51">
        <f t="shared" si="2"/>
        <v>84512.510000000184</v>
      </c>
      <c r="AH76" s="44">
        <v>84182.92</v>
      </c>
    </row>
    <row r="77" spans="1:34" x14ac:dyDescent="0.35">
      <c r="A77" s="33" t="s">
        <v>83</v>
      </c>
      <c r="B77" s="10">
        <v>83128.649999999936</v>
      </c>
      <c r="C77" s="2">
        <v>83136.559999999939</v>
      </c>
      <c r="D77" s="2">
        <v>83137.189999999944</v>
      </c>
      <c r="E77" s="2">
        <v>83148.479999999938</v>
      </c>
      <c r="F77" s="2">
        <v>83157.239999999932</v>
      </c>
      <c r="G77" s="2">
        <v>83178.399999999936</v>
      </c>
      <c r="H77" s="2">
        <v>83195.839999999938</v>
      </c>
      <c r="I77" s="2">
        <v>83208.609999999942</v>
      </c>
      <c r="J77" s="2">
        <v>83230.019999999946</v>
      </c>
      <c r="K77" s="2">
        <v>83251.379999999946</v>
      </c>
      <c r="L77" s="2">
        <v>83268.059999999939</v>
      </c>
      <c r="M77" s="2">
        <v>83289.479999999938</v>
      </c>
      <c r="N77" s="2">
        <v>83300.069999999934</v>
      </c>
      <c r="O77" s="2">
        <v>83310.829999999929</v>
      </c>
      <c r="P77" s="2">
        <v>83320.809999999925</v>
      </c>
      <c r="Q77" s="2">
        <v>83336.81999999992</v>
      </c>
      <c r="R77" s="2">
        <v>83344.559999999925</v>
      </c>
      <c r="S77" s="2">
        <v>83344.559999999925</v>
      </c>
      <c r="T77" s="2">
        <v>83344.559999999925</v>
      </c>
      <c r="U77" s="2">
        <v>83344.559999999925</v>
      </c>
      <c r="V77" s="2">
        <v>83344.559999999925</v>
      </c>
      <c r="W77" s="2">
        <v>83344.559999999925</v>
      </c>
      <c r="X77" s="2">
        <v>83346.869999999923</v>
      </c>
      <c r="Y77" s="2">
        <v>83364.019999999917</v>
      </c>
      <c r="Z77" s="2">
        <v>83374.659999999916</v>
      </c>
      <c r="AA77" s="2">
        <v>83387.249999999913</v>
      </c>
      <c r="AB77" s="2">
        <v>83402.849999999919</v>
      </c>
      <c r="AC77" s="2">
        <v>83424.449999999924</v>
      </c>
      <c r="AD77" s="2">
        <v>83435.519999999931</v>
      </c>
      <c r="AE77" s="2">
        <v>83451.509999999937</v>
      </c>
      <c r="AF77" s="3">
        <v>83468.649999999936</v>
      </c>
      <c r="AG77" s="51">
        <f t="shared" si="2"/>
        <v>83468.649999999936</v>
      </c>
      <c r="AH77" s="44">
        <v>83128.649999999994</v>
      </c>
    </row>
    <row r="78" spans="1:34" x14ac:dyDescent="0.35">
      <c r="A78" s="33" t="s">
        <v>84</v>
      </c>
      <c r="B78" s="10">
        <v>85736.279999999984</v>
      </c>
      <c r="C78" s="2">
        <v>85736.279999999984</v>
      </c>
      <c r="D78" s="2">
        <v>85736.279999999984</v>
      </c>
      <c r="E78" s="2">
        <v>85736.279999999984</v>
      </c>
      <c r="F78" s="2">
        <v>85736.279999999984</v>
      </c>
      <c r="G78" s="2">
        <v>85754.919999999984</v>
      </c>
      <c r="H78" s="2">
        <v>85770.029999999984</v>
      </c>
      <c r="I78" s="2">
        <v>85782.359999999986</v>
      </c>
      <c r="J78" s="2">
        <v>85792.849999999991</v>
      </c>
      <c r="K78" s="2">
        <v>85810.299999999988</v>
      </c>
      <c r="L78" s="2">
        <v>85830.969999999987</v>
      </c>
      <c r="M78" s="2">
        <v>85848.599999999991</v>
      </c>
      <c r="N78" s="2">
        <v>85859.18</v>
      </c>
      <c r="O78" s="2">
        <v>85863.39</v>
      </c>
      <c r="P78" s="2">
        <v>85868.63</v>
      </c>
      <c r="Q78" s="2">
        <v>85885.53</v>
      </c>
      <c r="R78" s="2">
        <v>85906.52</v>
      </c>
      <c r="S78" s="2">
        <v>85928.5</v>
      </c>
      <c r="T78" s="2">
        <v>85948.45</v>
      </c>
      <c r="U78" s="2">
        <v>85970.349999999991</v>
      </c>
      <c r="V78" s="2">
        <v>85992.209999999992</v>
      </c>
      <c r="W78" s="2">
        <v>86011.079999999987</v>
      </c>
      <c r="X78" s="2">
        <v>86016.559999999983</v>
      </c>
      <c r="Y78" s="2">
        <v>86022.809999999983</v>
      </c>
      <c r="Z78" s="2">
        <v>86031.37999999999</v>
      </c>
      <c r="AA78" s="2">
        <v>86047.469999999987</v>
      </c>
      <c r="AB78" s="2">
        <v>86063.589999999982</v>
      </c>
      <c r="AC78" s="2">
        <v>86071.889999999985</v>
      </c>
      <c r="AD78" s="2">
        <v>86080.659999999989</v>
      </c>
      <c r="AE78" s="2">
        <v>86100.239999999991</v>
      </c>
      <c r="AF78" s="3">
        <v>86100.239999999991</v>
      </c>
      <c r="AG78" s="51">
        <f t="shared" si="2"/>
        <v>86100.239999999991</v>
      </c>
      <c r="AH78" s="44">
        <v>85728.94</v>
      </c>
    </row>
    <row r="79" spans="1:34" x14ac:dyDescent="0.35">
      <c r="A79" s="33" t="s">
        <v>85</v>
      </c>
      <c r="B79" s="10">
        <v>86221.749999999884</v>
      </c>
      <c r="C79" s="2">
        <v>86237.429999999877</v>
      </c>
      <c r="D79" s="2">
        <v>86258.679999999877</v>
      </c>
      <c r="E79" s="2">
        <v>86280.199999999881</v>
      </c>
      <c r="F79" s="2">
        <v>86301.759999999878</v>
      </c>
      <c r="G79" s="2">
        <v>86318.439999999871</v>
      </c>
      <c r="H79" s="2">
        <v>86339.749999999869</v>
      </c>
      <c r="I79" s="2">
        <v>86343.579999999871</v>
      </c>
      <c r="J79" s="2">
        <v>86355.409999999873</v>
      </c>
      <c r="K79" s="2">
        <v>86376.71999999987</v>
      </c>
      <c r="L79" s="2">
        <v>86384.619999999864</v>
      </c>
      <c r="M79" s="2">
        <v>86402.659999999858</v>
      </c>
      <c r="N79" s="2">
        <v>86413.119999999864</v>
      </c>
      <c r="O79" s="2">
        <v>86434.499999999869</v>
      </c>
      <c r="P79" s="2">
        <v>86456.139999999868</v>
      </c>
      <c r="Q79" s="2">
        <v>86476.349999999875</v>
      </c>
      <c r="R79" s="2">
        <v>86488.709999999875</v>
      </c>
      <c r="S79" s="2">
        <v>86499.209999999875</v>
      </c>
      <c r="T79" s="2">
        <v>86519.929999999877</v>
      </c>
      <c r="U79" s="2">
        <v>86541.919999999882</v>
      </c>
      <c r="V79" s="2">
        <v>86562.209999999875</v>
      </c>
      <c r="W79" s="2">
        <v>86581.309999999881</v>
      </c>
      <c r="X79" s="2">
        <v>86590.749999999884</v>
      </c>
      <c r="Y79" s="2">
        <v>86610.639999999883</v>
      </c>
      <c r="Z79" s="2">
        <v>86632.309999999881</v>
      </c>
      <c r="AA79" s="2">
        <v>86653.149999999878</v>
      </c>
      <c r="AB79" s="2">
        <v>86667.609999999884</v>
      </c>
      <c r="AC79" s="2">
        <v>86689.299999999886</v>
      </c>
      <c r="AD79" s="2">
        <v>86704.359999999884</v>
      </c>
      <c r="AE79" s="2">
        <v>86718.649999999878</v>
      </c>
      <c r="AF79" s="3">
        <v>86739.899999999878</v>
      </c>
      <c r="AG79" s="51">
        <f t="shared" si="2"/>
        <v>86739.899999999878</v>
      </c>
      <c r="AH79" s="44">
        <v>86200.28</v>
      </c>
    </row>
    <row r="80" spans="1:34" x14ac:dyDescent="0.35">
      <c r="A80" s="33" t="s">
        <v>86</v>
      </c>
      <c r="B80" s="10">
        <v>84409.589999999895</v>
      </c>
      <c r="C80" s="2">
        <v>84431.019999999888</v>
      </c>
      <c r="D80" s="2">
        <v>84452.229999999894</v>
      </c>
      <c r="E80" s="2">
        <v>84473.789999999892</v>
      </c>
      <c r="F80" s="2">
        <v>84493.679999999891</v>
      </c>
      <c r="G80" s="2">
        <v>84515.309999999896</v>
      </c>
      <c r="H80" s="2">
        <v>84536.719999999899</v>
      </c>
      <c r="I80" s="2">
        <v>84557.4399999999</v>
      </c>
      <c r="J80" s="2">
        <v>84566.889999999898</v>
      </c>
      <c r="K80" s="2">
        <v>84566.889999999898</v>
      </c>
      <c r="L80" s="2">
        <v>84575.6899999999</v>
      </c>
      <c r="M80" s="2">
        <v>84596.6899999999</v>
      </c>
      <c r="N80" s="2">
        <v>84611.139999999898</v>
      </c>
      <c r="O80" s="2">
        <v>84626.469999999899</v>
      </c>
      <c r="P80" s="2">
        <v>84645.739999999903</v>
      </c>
      <c r="Q80" s="2">
        <v>84666.489999999903</v>
      </c>
      <c r="R80" s="2">
        <v>84687.44999999991</v>
      </c>
      <c r="S80" s="2">
        <v>84703.19999999991</v>
      </c>
      <c r="T80" s="2">
        <v>84703.19999999991</v>
      </c>
      <c r="U80" s="2">
        <v>84703.19999999991</v>
      </c>
      <c r="V80" s="2">
        <v>84703.19999999991</v>
      </c>
      <c r="W80" s="2">
        <v>84703.19999999991</v>
      </c>
      <c r="X80" s="2">
        <v>84721.469999999914</v>
      </c>
      <c r="Y80" s="2">
        <v>84731.669999999911</v>
      </c>
      <c r="Z80" s="2">
        <v>84752.429999999906</v>
      </c>
      <c r="AA80" s="2">
        <v>84773.479999999909</v>
      </c>
      <c r="AB80" s="2">
        <v>84777.719999999914</v>
      </c>
      <c r="AC80" s="2">
        <v>84789.899999999907</v>
      </c>
      <c r="AD80" s="2">
        <v>84800.289999999906</v>
      </c>
      <c r="AE80" s="2">
        <v>84819.919999999911</v>
      </c>
      <c r="AF80" s="3">
        <v>84841.05999999991</v>
      </c>
      <c r="AG80" s="51">
        <f t="shared" si="2"/>
        <v>84841.05999999991</v>
      </c>
      <c r="AH80" s="44">
        <v>84390.87</v>
      </c>
    </row>
    <row r="81" spans="1:34" x14ac:dyDescent="0.35">
      <c r="A81" s="33" t="s">
        <v>87</v>
      </c>
      <c r="B81" s="10">
        <v>84039.910000000164</v>
      </c>
      <c r="C81" s="2">
        <v>84039.910000000164</v>
      </c>
      <c r="D81" s="2">
        <v>84039.910000000164</v>
      </c>
      <c r="E81" s="2">
        <v>84039.910000000164</v>
      </c>
      <c r="F81" s="2">
        <v>84039.910000000164</v>
      </c>
      <c r="G81" s="2">
        <v>84040.300000000163</v>
      </c>
      <c r="H81" s="2">
        <v>84051.950000000157</v>
      </c>
      <c r="I81" s="2">
        <v>84072.770000000164</v>
      </c>
      <c r="J81" s="2">
        <v>84094.160000000164</v>
      </c>
      <c r="K81" s="2">
        <v>84114.290000000168</v>
      </c>
      <c r="L81" s="2">
        <v>84126.080000000162</v>
      </c>
      <c r="M81" s="2">
        <v>84146.270000000164</v>
      </c>
      <c r="N81" s="2">
        <v>84162.710000000166</v>
      </c>
      <c r="O81" s="2">
        <v>84170.700000000172</v>
      </c>
      <c r="P81" s="2">
        <v>84190.700000000172</v>
      </c>
      <c r="Q81" s="2">
        <v>84211.860000000175</v>
      </c>
      <c r="R81" s="2">
        <v>84232.920000000173</v>
      </c>
      <c r="S81" s="2">
        <v>84254.270000000179</v>
      </c>
      <c r="T81" s="2">
        <v>84274.790000000183</v>
      </c>
      <c r="U81" s="2">
        <v>84294.540000000183</v>
      </c>
      <c r="V81" s="2">
        <v>84315.900000000183</v>
      </c>
      <c r="W81" s="2">
        <v>84337.210000000181</v>
      </c>
      <c r="X81" s="2">
        <v>84358.590000000186</v>
      </c>
      <c r="Y81" s="2">
        <v>84369.120000000185</v>
      </c>
      <c r="Z81" s="2">
        <v>84379.680000000182</v>
      </c>
      <c r="AA81" s="2">
        <v>84395.320000000182</v>
      </c>
      <c r="AB81" s="2">
        <v>84395.85000000018</v>
      </c>
      <c r="AC81" s="2">
        <v>84397.070000000182</v>
      </c>
      <c r="AD81" s="2">
        <v>84404.080000000176</v>
      </c>
      <c r="AE81" s="2">
        <v>84414.960000000181</v>
      </c>
      <c r="AF81" s="3">
        <v>84436.460000000181</v>
      </c>
      <c r="AG81" s="51">
        <f t="shared" si="2"/>
        <v>84436.460000000181</v>
      </c>
      <c r="AH81" s="44">
        <v>84039.91</v>
      </c>
    </row>
    <row r="82" spans="1:34" x14ac:dyDescent="0.35">
      <c r="A82" s="33" t="s">
        <v>88</v>
      </c>
      <c r="B82" s="10">
        <v>84356.349999999904</v>
      </c>
      <c r="C82" s="2">
        <v>84377.69999999991</v>
      </c>
      <c r="D82" s="2">
        <v>84398.819999999905</v>
      </c>
      <c r="E82" s="2">
        <v>84420.129999999903</v>
      </c>
      <c r="F82" s="2">
        <v>84440.589999999909</v>
      </c>
      <c r="G82" s="2">
        <v>84462.349999999904</v>
      </c>
      <c r="H82" s="2">
        <v>84473.029999999897</v>
      </c>
      <c r="I82" s="2">
        <v>84494.349999999904</v>
      </c>
      <c r="J82" s="2">
        <v>84515.5799999999</v>
      </c>
      <c r="K82" s="2">
        <v>84536.919999999896</v>
      </c>
      <c r="L82" s="2">
        <v>84556.699999999895</v>
      </c>
      <c r="M82" s="2">
        <v>84574.379999999888</v>
      </c>
      <c r="N82" s="2">
        <v>84595.819999999891</v>
      </c>
      <c r="O82" s="2">
        <v>84617.199999999895</v>
      </c>
      <c r="P82" s="2">
        <v>84638.279999999897</v>
      </c>
      <c r="Q82" s="2">
        <v>84659.449999999895</v>
      </c>
      <c r="R82" s="2">
        <v>84680.909999999902</v>
      </c>
      <c r="S82" s="2">
        <v>84702.1899999999</v>
      </c>
      <c r="T82" s="2">
        <v>84723.029999999897</v>
      </c>
      <c r="U82" s="2">
        <v>84738.379999999903</v>
      </c>
      <c r="V82" s="2">
        <v>84755.769999999902</v>
      </c>
      <c r="W82" s="2">
        <v>84776.799999999901</v>
      </c>
      <c r="X82" s="2">
        <v>84794.429999999906</v>
      </c>
      <c r="Y82" s="2">
        <v>84795.649999999907</v>
      </c>
      <c r="Z82" s="2">
        <v>84795.649999999907</v>
      </c>
      <c r="AA82" s="2">
        <v>84805.709999999905</v>
      </c>
      <c r="AB82" s="2">
        <v>84827.529999999912</v>
      </c>
      <c r="AC82" s="2">
        <v>84848.909999999916</v>
      </c>
      <c r="AD82" s="2">
        <v>84870.369999999923</v>
      </c>
      <c r="AE82" s="2">
        <v>84891.829999999929</v>
      </c>
      <c r="AF82" s="3">
        <v>84904.389999999927</v>
      </c>
      <c r="AG82" s="51">
        <f t="shared" si="2"/>
        <v>84904.389999999927</v>
      </c>
      <c r="AH82" s="44">
        <v>84337.22</v>
      </c>
    </row>
    <row r="83" spans="1:34" x14ac:dyDescent="0.35">
      <c r="A83" s="33" t="s">
        <v>89</v>
      </c>
      <c r="B83" s="10">
        <v>84367.569999999701</v>
      </c>
      <c r="C83" s="2">
        <v>84385.2399999997</v>
      </c>
      <c r="D83" s="2">
        <v>84406.129999999699</v>
      </c>
      <c r="E83" s="2">
        <v>84425.969999999696</v>
      </c>
      <c r="F83" s="2">
        <v>84441.559999999692</v>
      </c>
      <c r="G83" s="2">
        <v>84463.36999999969</v>
      </c>
      <c r="H83" s="2">
        <v>84485.319999999687</v>
      </c>
      <c r="I83" s="2">
        <v>84506.019999999684</v>
      </c>
      <c r="J83" s="2">
        <v>84527.219999999681</v>
      </c>
      <c r="K83" s="2">
        <v>84547.619999999675</v>
      </c>
      <c r="L83" s="2">
        <v>84554.059999999678</v>
      </c>
      <c r="M83" s="2">
        <v>84564.399999999674</v>
      </c>
      <c r="N83" s="2">
        <v>84585.87999999967</v>
      </c>
      <c r="O83" s="2">
        <v>84607.449999999677</v>
      </c>
      <c r="P83" s="2">
        <v>84628.339999999676</v>
      </c>
      <c r="Q83" s="2">
        <v>84650.069999999672</v>
      </c>
      <c r="R83" s="2">
        <v>84667.519999999669</v>
      </c>
      <c r="S83" s="2">
        <v>84667.519999999669</v>
      </c>
      <c r="T83" s="2">
        <v>84673.329999999667</v>
      </c>
      <c r="U83" s="2">
        <v>84692.219999999666</v>
      </c>
      <c r="V83" s="2">
        <v>84712.489999999671</v>
      </c>
      <c r="W83" s="2">
        <v>84734.149999999674</v>
      </c>
      <c r="X83" s="2">
        <v>84756.49999999968</v>
      </c>
      <c r="Y83" s="2">
        <v>84770.919999999678</v>
      </c>
      <c r="Z83" s="2">
        <v>84784.289999999673</v>
      </c>
      <c r="AA83" s="2">
        <v>84805.989999999671</v>
      </c>
      <c r="AB83" s="2">
        <v>84827.939999999668</v>
      </c>
      <c r="AC83" s="2">
        <v>84848.559999999663</v>
      </c>
      <c r="AD83" s="2">
        <v>84864.37999999967</v>
      </c>
      <c r="AE83" s="2">
        <v>84885.459999999672</v>
      </c>
      <c r="AF83" s="3">
        <v>84894.849999999671</v>
      </c>
      <c r="AG83" s="51">
        <f t="shared" si="2"/>
        <v>84894.849999999671</v>
      </c>
      <c r="AH83" s="44">
        <v>84346.02</v>
      </c>
    </row>
    <row r="84" spans="1:34" x14ac:dyDescent="0.35">
      <c r="A84" s="33" t="s">
        <v>90</v>
      </c>
      <c r="B84" s="10">
        <v>85358.49</v>
      </c>
      <c r="C84" s="2">
        <v>85368.700000000012</v>
      </c>
      <c r="D84" s="2">
        <v>85380.440000000017</v>
      </c>
      <c r="E84" s="2">
        <v>85397.720000000016</v>
      </c>
      <c r="F84" s="2">
        <v>85419.940000000017</v>
      </c>
      <c r="G84" s="2">
        <v>85441.87000000001</v>
      </c>
      <c r="H84" s="2">
        <v>85463.610000000015</v>
      </c>
      <c r="I84" s="2">
        <v>85484.810000000012</v>
      </c>
      <c r="J84" s="2">
        <v>85506.340000000011</v>
      </c>
      <c r="K84" s="2">
        <v>85527.510000000009</v>
      </c>
      <c r="L84" s="2">
        <v>85535.360000000015</v>
      </c>
      <c r="M84" s="2">
        <v>85555.460000000021</v>
      </c>
      <c r="N84" s="2">
        <v>85575.410000000018</v>
      </c>
      <c r="O84" s="2">
        <v>85596.430000000022</v>
      </c>
      <c r="P84" s="2">
        <v>85610.260000000024</v>
      </c>
      <c r="Q84" s="2">
        <v>85626.460000000021</v>
      </c>
      <c r="R84" s="2">
        <v>85645.090000000026</v>
      </c>
      <c r="S84" s="2">
        <v>85651.10000000002</v>
      </c>
      <c r="T84" s="2">
        <v>85668.500000000015</v>
      </c>
      <c r="U84" s="2">
        <v>85683.170000000013</v>
      </c>
      <c r="V84" s="2">
        <v>85698.170000000013</v>
      </c>
      <c r="W84" s="2">
        <v>85720.23000000001</v>
      </c>
      <c r="X84" s="2">
        <v>85733.190000000017</v>
      </c>
      <c r="Y84" s="2">
        <v>85745.12000000001</v>
      </c>
      <c r="Z84" s="2">
        <v>85761.400000000009</v>
      </c>
      <c r="AA84" s="2">
        <v>85777.69</v>
      </c>
      <c r="AB84" s="2">
        <v>85793.510000000009</v>
      </c>
      <c r="AC84" s="2">
        <v>85806.500000000015</v>
      </c>
      <c r="AD84" s="2">
        <v>85827.540000000008</v>
      </c>
      <c r="AE84" s="2">
        <v>85838.41</v>
      </c>
      <c r="AF84" s="3">
        <v>85838.41</v>
      </c>
      <c r="AG84" s="51">
        <f t="shared" si="2"/>
        <v>85838.41</v>
      </c>
      <c r="AH84" s="44">
        <v>85337.59</v>
      </c>
    </row>
    <row r="85" spans="1:34" x14ac:dyDescent="0.35">
      <c r="A85" s="33" t="s">
        <v>91</v>
      </c>
      <c r="B85" s="10">
        <v>85483.479999999705</v>
      </c>
      <c r="C85" s="2">
        <v>85483.629999999699</v>
      </c>
      <c r="D85" s="2">
        <v>85483.649999999703</v>
      </c>
      <c r="E85" s="2">
        <v>85499.129999999699</v>
      </c>
      <c r="F85" s="2">
        <v>85515.999999999694</v>
      </c>
      <c r="G85" s="2">
        <v>85537.519999999698</v>
      </c>
      <c r="H85" s="2">
        <v>85559.179999999702</v>
      </c>
      <c r="I85" s="2">
        <v>85565.819999999701</v>
      </c>
      <c r="J85" s="2">
        <v>85574.169999999707</v>
      </c>
      <c r="K85" s="2">
        <v>85594.119999999704</v>
      </c>
      <c r="L85" s="2">
        <v>85615.419999999707</v>
      </c>
      <c r="M85" s="2">
        <v>85623.489999999714</v>
      </c>
      <c r="N85" s="2">
        <v>85643.939999999711</v>
      </c>
      <c r="O85" s="2">
        <v>85665.239999999714</v>
      </c>
      <c r="P85" s="2">
        <v>85686.099999999715</v>
      </c>
      <c r="Q85" s="2">
        <v>85699.239999999714</v>
      </c>
      <c r="R85" s="2">
        <v>85720.319999999716</v>
      </c>
      <c r="S85" s="2">
        <v>85738.389999999723</v>
      </c>
      <c r="T85" s="2">
        <v>85744.20999999973</v>
      </c>
      <c r="U85" s="2">
        <v>85758.81999999973</v>
      </c>
      <c r="V85" s="2">
        <v>85775.379999999728</v>
      </c>
      <c r="W85" s="2">
        <v>85796.289999999732</v>
      </c>
      <c r="X85" s="2">
        <v>85816.999999999738</v>
      </c>
      <c r="Y85" s="2">
        <v>85828.469999999739</v>
      </c>
      <c r="Z85" s="2">
        <v>85849.749999999738</v>
      </c>
      <c r="AA85" s="2">
        <v>85859.259999999733</v>
      </c>
      <c r="AB85" s="2">
        <v>85880.519999999728</v>
      </c>
      <c r="AC85" s="2">
        <v>85890.839999999735</v>
      </c>
      <c r="AD85" s="2">
        <v>85911.809999999736</v>
      </c>
      <c r="AE85" s="2">
        <v>85930.20999999973</v>
      </c>
      <c r="AF85" s="3">
        <v>85951.749999999724</v>
      </c>
      <c r="AG85" s="51">
        <f t="shared" si="2"/>
        <v>85951.749999999724</v>
      </c>
      <c r="AH85" s="44">
        <v>85474.6</v>
      </c>
    </row>
    <row r="86" spans="1:34" x14ac:dyDescent="0.35">
      <c r="A86" s="33" t="s">
        <v>92</v>
      </c>
      <c r="B86" s="10">
        <v>85735.130000000077</v>
      </c>
      <c r="C86" s="2">
        <v>85756.990000000078</v>
      </c>
      <c r="D86" s="2">
        <v>85766.970000000074</v>
      </c>
      <c r="E86" s="2">
        <v>85784.050000000076</v>
      </c>
      <c r="F86" s="2">
        <v>85805.960000000079</v>
      </c>
      <c r="G86" s="2">
        <v>85827.530000000086</v>
      </c>
      <c r="H86" s="2">
        <v>85849.19000000009</v>
      </c>
      <c r="I86" s="2">
        <v>85870.730000000083</v>
      </c>
      <c r="J86" s="2">
        <v>85884.100000000079</v>
      </c>
      <c r="K86" s="2">
        <v>85905.210000000079</v>
      </c>
      <c r="L86" s="2">
        <v>85925.080000000075</v>
      </c>
      <c r="M86" s="2">
        <v>85946.420000000071</v>
      </c>
      <c r="N86" s="2">
        <v>85964.720000000074</v>
      </c>
      <c r="O86" s="2">
        <v>85985.010000000068</v>
      </c>
      <c r="P86" s="2">
        <v>86006.190000000061</v>
      </c>
      <c r="Q86" s="2">
        <v>86027.320000000065</v>
      </c>
      <c r="R86" s="2">
        <v>86041.640000000072</v>
      </c>
      <c r="S86" s="2">
        <v>86061.980000000069</v>
      </c>
      <c r="T86" s="2">
        <v>86071.710000000065</v>
      </c>
      <c r="U86" s="2">
        <v>86071.710000000065</v>
      </c>
      <c r="V86" s="2">
        <v>86075.500000000058</v>
      </c>
      <c r="W86" s="2">
        <v>86096.880000000063</v>
      </c>
      <c r="X86" s="2">
        <v>86118.470000000059</v>
      </c>
      <c r="Y86" s="2">
        <v>86134.110000000059</v>
      </c>
      <c r="Z86" s="2">
        <v>86154.890000000058</v>
      </c>
      <c r="AA86" s="2">
        <v>86175.420000000056</v>
      </c>
      <c r="AB86" s="2">
        <v>86187.180000000051</v>
      </c>
      <c r="AC86" s="2">
        <v>86207.140000000058</v>
      </c>
      <c r="AD86" s="2">
        <v>86224.850000000064</v>
      </c>
      <c r="AE86" s="2">
        <v>86239.040000000066</v>
      </c>
      <c r="AF86" s="3">
        <v>86260.180000000066</v>
      </c>
      <c r="AG86" s="51">
        <f t="shared" si="2"/>
        <v>86260.180000000066</v>
      </c>
      <c r="AH86" s="44">
        <v>85713.89</v>
      </c>
    </row>
    <row r="87" spans="1:34" x14ac:dyDescent="0.35">
      <c r="A87" s="33" t="s">
        <v>93</v>
      </c>
      <c r="B87" s="10">
        <v>79454.329999999885</v>
      </c>
      <c r="C87" s="2">
        <v>79472.159999999887</v>
      </c>
      <c r="D87" s="2">
        <v>79487.939999999886</v>
      </c>
      <c r="E87" s="2">
        <v>79490.699999999881</v>
      </c>
      <c r="F87" s="2">
        <v>79511.919999999882</v>
      </c>
      <c r="G87" s="2">
        <v>79525.219999999885</v>
      </c>
      <c r="H87" s="2">
        <v>79535.969999999885</v>
      </c>
      <c r="I87" s="2">
        <v>79535.969999999885</v>
      </c>
      <c r="J87" s="2">
        <v>79535.969999999885</v>
      </c>
      <c r="K87" s="2">
        <v>79549.599999999889</v>
      </c>
      <c r="L87" s="2">
        <v>79568.049999999886</v>
      </c>
      <c r="M87" s="2">
        <v>79583.029999999882</v>
      </c>
      <c r="N87" s="2">
        <v>79603.749999999884</v>
      </c>
      <c r="O87" s="2">
        <v>79619.269999999888</v>
      </c>
      <c r="P87" s="2">
        <v>79630.629999999888</v>
      </c>
      <c r="Q87" s="2">
        <v>79652.009999999893</v>
      </c>
      <c r="R87" s="2">
        <v>79673.439999999886</v>
      </c>
      <c r="S87" s="2">
        <v>79694.849999999889</v>
      </c>
      <c r="T87" s="2">
        <v>79706.809999999896</v>
      </c>
      <c r="U87" s="2">
        <v>79727.919999999896</v>
      </c>
      <c r="V87" s="2">
        <v>79749.239999999903</v>
      </c>
      <c r="W87" s="2">
        <v>79770.779999999897</v>
      </c>
      <c r="X87" s="2">
        <v>79791.969999999899</v>
      </c>
      <c r="Y87" s="2">
        <v>79809.479999999894</v>
      </c>
      <c r="Z87" s="2">
        <v>79829.419999999896</v>
      </c>
      <c r="AA87" s="2">
        <v>79850.229999999894</v>
      </c>
      <c r="AB87" s="2">
        <v>79869.349999999889</v>
      </c>
      <c r="AC87" s="2">
        <v>79869.349999999889</v>
      </c>
      <c r="AD87" s="2">
        <v>79869.349999999889</v>
      </c>
      <c r="AE87" s="2">
        <v>79869.349999999889</v>
      </c>
      <c r="AF87" s="3">
        <v>79869.349999999889</v>
      </c>
      <c r="AG87" s="51">
        <f t="shared" si="2"/>
        <v>79869.349999999889</v>
      </c>
      <c r="AH87" s="44">
        <v>79432.990000000005</v>
      </c>
    </row>
    <row r="88" spans="1:34" x14ac:dyDescent="0.35">
      <c r="A88" s="33" t="s">
        <v>94</v>
      </c>
      <c r="B88" s="10">
        <v>87209.179999999862</v>
      </c>
      <c r="C88" s="2">
        <v>87213.149999999863</v>
      </c>
      <c r="D88" s="2">
        <v>87218.629999999859</v>
      </c>
      <c r="E88" s="2">
        <v>87235.279999999853</v>
      </c>
      <c r="F88" s="2">
        <v>87256.509999999849</v>
      </c>
      <c r="G88" s="2">
        <v>87277.999999999854</v>
      </c>
      <c r="H88" s="2">
        <v>87299.679999999847</v>
      </c>
      <c r="I88" s="2">
        <v>87321.299999999843</v>
      </c>
      <c r="J88" s="2">
        <v>87338.149999999849</v>
      </c>
      <c r="K88" s="2">
        <v>87359.659999999843</v>
      </c>
      <c r="L88" s="2">
        <v>87381.549999999843</v>
      </c>
      <c r="M88" s="2">
        <v>87402.009999999849</v>
      </c>
      <c r="N88" s="2">
        <v>87419.699999999852</v>
      </c>
      <c r="O88" s="2">
        <v>87440.97999999985</v>
      </c>
      <c r="P88" s="2">
        <v>87462.019999999844</v>
      </c>
      <c r="Q88" s="2">
        <v>87483.029999999839</v>
      </c>
      <c r="R88" s="2">
        <v>87504.729999999836</v>
      </c>
      <c r="S88" s="2">
        <v>87524.989999999831</v>
      </c>
      <c r="T88" s="2">
        <v>87546.849999999831</v>
      </c>
      <c r="U88" s="2">
        <v>87568.179999999833</v>
      </c>
      <c r="V88" s="2">
        <v>87589.149999999834</v>
      </c>
      <c r="W88" s="2">
        <v>87604.979999999836</v>
      </c>
      <c r="X88" s="2">
        <v>87623.639999999839</v>
      </c>
      <c r="Y88" s="2">
        <v>87639.919999999838</v>
      </c>
      <c r="Z88" s="2">
        <v>87641.569999999832</v>
      </c>
      <c r="AA88" s="2">
        <v>87641.569999999832</v>
      </c>
      <c r="AB88" s="2">
        <v>87647.099999999831</v>
      </c>
      <c r="AC88" s="2">
        <v>87658.119999999835</v>
      </c>
      <c r="AD88" s="2">
        <v>87679.299999999828</v>
      </c>
      <c r="AE88" s="2">
        <v>87700.729999999821</v>
      </c>
      <c r="AF88" s="3">
        <v>87722.25999999982</v>
      </c>
      <c r="AG88" s="51">
        <f t="shared" si="2"/>
        <v>87722.25999999982</v>
      </c>
      <c r="AH88" s="44">
        <v>87201.3</v>
      </c>
    </row>
    <row r="89" spans="1:34" x14ac:dyDescent="0.35">
      <c r="A89" s="33" t="s">
        <v>95</v>
      </c>
      <c r="B89" s="10">
        <v>83282.939999999726</v>
      </c>
      <c r="C89" s="2">
        <v>83302.509999999733</v>
      </c>
      <c r="D89" s="2">
        <v>83322.949999999735</v>
      </c>
      <c r="E89" s="2">
        <v>83344.549999999741</v>
      </c>
      <c r="F89" s="2">
        <v>83366.019999999742</v>
      </c>
      <c r="G89" s="2">
        <v>83385.339999999749</v>
      </c>
      <c r="H89" s="2">
        <v>83406.429999999746</v>
      </c>
      <c r="I89" s="2">
        <v>83427.379999999743</v>
      </c>
      <c r="J89" s="2">
        <v>83448.729999999749</v>
      </c>
      <c r="K89" s="2">
        <v>83465.879999999743</v>
      </c>
      <c r="L89" s="2">
        <v>83487.82999999974</v>
      </c>
      <c r="M89" s="2">
        <v>83509.159999999742</v>
      </c>
      <c r="N89" s="2">
        <v>83523.849999999744</v>
      </c>
      <c r="O89" s="2">
        <v>83539.989999999743</v>
      </c>
      <c r="P89" s="2">
        <v>83550.639999999737</v>
      </c>
      <c r="Q89" s="2">
        <v>83572.349999999744</v>
      </c>
      <c r="R89" s="2">
        <v>83593.299999999741</v>
      </c>
      <c r="S89" s="2">
        <v>83614.099999999744</v>
      </c>
      <c r="T89" s="2">
        <v>83626.619999999748</v>
      </c>
      <c r="U89" s="2">
        <v>83646.919999999751</v>
      </c>
      <c r="V89" s="2">
        <v>83664.239999999758</v>
      </c>
      <c r="W89" s="2">
        <v>83676.219999999754</v>
      </c>
      <c r="X89" s="2">
        <v>83693.05999999975</v>
      </c>
      <c r="Y89" s="2">
        <v>83705.94999999975</v>
      </c>
      <c r="Z89" s="2">
        <v>83705.94999999975</v>
      </c>
      <c r="AA89" s="2">
        <v>83722.239999999743</v>
      </c>
      <c r="AB89" s="2">
        <v>83743.279999999737</v>
      </c>
      <c r="AC89" s="2">
        <v>83763.869999999733</v>
      </c>
      <c r="AD89" s="2">
        <v>83777.809999999736</v>
      </c>
      <c r="AE89" s="2">
        <v>83799.099999999729</v>
      </c>
      <c r="AF89" s="3">
        <v>83819.45999999973</v>
      </c>
      <c r="AG89" s="51">
        <f t="shared" si="2"/>
        <v>83819.45999999973</v>
      </c>
      <c r="AH89" s="44">
        <v>83282.94</v>
      </c>
    </row>
    <row r="90" spans="1:34" x14ac:dyDescent="0.35">
      <c r="A90" s="33" t="s">
        <v>96</v>
      </c>
      <c r="B90" s="10">
        <v>84705.449999999822</v>
      </c>
      <c r="C90" s="2">
        <v>84726.859999999826</v>
      </c>
      <c r="D90" s="2">
        <v>84743.989999999831</v>
      </c>
      <c r="E90" s="2">
        <v>84758.209999999832</v>
      </c>
      <c r="F90" s="2">
        <v>84779.289999999834</v>
      </c>
      <c r="G90" s="2">
        <v>84798.219999999827</v>
      </c>
      <c r="H90" s="2">
        <v>84808.819999999832</v>
      </c>
      <c r="I90" s="2">
        <v>84826.279999999839</v>
      </c>
      <c r="J90" s="2">
        <v>84829.019999999844</v>
      </c>
      <c r="K90" s="2">
        <v>84829.019999999844</v>
      </c>
      <c r="L90" s="2">
        <v>84836.329999999842</v>
      </c>
      <c r="M90" s="2">
        <v>84844.849999999846</v>
      </c>
      <c r="N90" s="2">
        <v>84864.689999999842</v>
      </c>
      <c r="O90" s="2">
        <v>84885.379999999845</v>
      </c>
      <c r="P90" s="2">
        <v>84906.509999999849</v>
      </c>
      <c r="Q90" s="2">
        <v>84924.769999999844</v>
      </c>
      <c r="R90" s="2">
        <v>84943.309999999838</v>
      </c>
      <c r="S90" s="2">
        <v>84964.959999999832</v>
      </c>
      <c r="T90" s="2">
        <v>84979.579999999827</v>
      </c>
      <c r="U90" s="2">
        <v>84994.929999999833</v>
      </c>
      <c r="V90" s="2">
        <v>85012.769999999829</v>
      </c>
      <c r="W90" s="2">
        <v>85028.539999999834</v>
      </c>
      <c r="X90" s="2">
        <v>85047.74999999984</v>
      </c>
      <c r="Y90" s="2">
        <v>85069.009999999835</v>
      </c>
      <c r="Z90" s="2">
        <v>85084.979999999836</v>
      </c>
      <c r="AA90" s="2">
        <v>85103.12999999983</v>
      </c>
      <c r="AB90" s="2">
        <v>85118.099999999831</v>
      </c>
      <c r="AC90" s="2">
        <v>85132.959999999832</v>
      </c>
      <c r="AD90" s="2">
        <v>85153.529999999839</v>
      </c>
      <c r="AE90" s="2">
        <v>85160.929999999833</v>
      </c>
      <c r="AF90" s="3">
        <v>85180.709999999832</v>
      </c>
      <c r="AG90" s="51">
        <f t="shared" si="2"/>
        <v>85180.709999999832</v>
      </c>
      <c r="AH90" s="44">
        <v>84693.73</v>
      </c>
    </row>
    <row r="91" spans="1:34" x14ac:dyDescent="0.35">
      <c r="A91" s="33" t="s">
        <v>97</v>
      </c>
      <c r="B91" s="10">
        <v>85638.170000000042</v>
      </c>
      <c r="C91" s="2">
        <v>85659.700000000041</v>
      </c>
      <c r="D91" s="2">
        <v>85678.98000000004</v>
      </c>
      <c r="E91" s="2">
        <v>85691.290000000037</v>
      </c>
      <c r="F91" s="2">
        <v>85702.290000000037</v>
      </c>
      <c r="G91" s="2">
        <v>85722.810000000041</v>
      </c>
      <c r="H91" s="2">
        <v>85726.870000000039</v>
      </c>
      <c r="I91" s="2">
        <v>85742.170000000042</v>
      </c>
      <c r="J91" s="2">
        <v>85760.23000000004</v>
      </c>
      <c r="K91" s="2">
        <v>85781.720000000045</v>
      </c>
      <c r="L91" s="2">
        <v>85801.990000000049</v>
      </c>
      <c r="M91" s="2">
        <v>85823.670000000042</v>
      </c>
      <c r="N91" s="2">
        <v>85845.220000000045</v>
      </c>
      <c r="O91" s="2">
        <v>85865.250000000044</v>
      </c>
      <c r="P91" s="2">
        <v>85886.830000000045</v>
      </c>
      <c r="Q91" s="2">
        <v>85902.830000000045</v>
      </c>
      <c r="R91" s="2">
        <v>85918.23000000004</v>
      </c>
      <c r="S91" s="2">
        <v>85936.560000000041</v>
      </c>
      <c r="T91" s="2">
        <v>85956.870000000039</v>
      </c>
      <c r="U91" s="2">
        <v>85976.770000000033</v>
      </c>
      <c r="V91" s="2">
        <v>85977.190000000031</v>
      </c>
      <c r="W91" s="2">
        <v>85997.620000000024</v>
      </c>
      <c r="X91" s="2">
        <v>86016.270000000019</v>
      </c>
      <c r="Y91" s="2">
        <v>86037.690000000017</v>
      </c>
      <c r="Z91" s="2">
        <v>86058.500000000015</v>
      </c>
      <c r="AA91" s="2">
        <v>86067.420000000013</v>
      </c>
      <c r="AB91" s="2">
        <v>86069.150000000009</v>
      </c>
      <c r="AC91" s="2">
        <v>86069.150000000009</v>
      </c>
      <c r="AD91" s="2">
        <v>86085.24</v>
      </c>
      <c r="AE91" s="2">
        <v>86105.790000000008</v>
      </c>
      <c r="AF91" s="3">
        <v>86127.010000000009</v>
      </c>
      <c r="AG91" s="51">
        <f t="shared" si="2"/>
        <v>86127.010000000009</v>
      </c>
      <c r="AH91" s="44">
        <v>85618</v>
      </c>
    </row>
    <row r="92" spans="1:34" x14ac:dyDescent="0.35">
      <c r="A92" s="33" t="s">
        <v>98</v>
      </c>
      <c r="B92" s="10">
        <v>84746.700000000012</v>
      </c>
      <c r="C92" s="2">
        <v>84766.680000000008</v>
      </c>
      <c r="D92" s="2">
        <v>84781.97</v>
      </c>
      <c r="E92" s="2">
        <v>84791.680000000008</v>
      </c>
      <c r="F92" s="2">
        <v>84810.41</v>
      </c>
      <c r="G92" s="2">
        <v>84832.28</v>
      </c>
      <c r="H92" s="2">
        <v>84834.33</v>
      </c>
      <c r="I92" s="2">
        <v>84846.52</v>
      </c>
      <c r="J92" s="2">
        <v>84867.900000000009</v>
      </c>
      <c r="K92" s="2">
        <v>84889.060000000012</v>
      </c>
      <c r="L92" s="2">
        <v>84910.07</v>
      </c>
      <c r="M92" s="2">
        <v>84929.08</v>
      </c>
      <c r="N92" s="2">
        <v>84942.53</v>
      </c>
      <c r="O92" s="2">
        <v>84963.34</v>
      </c>
      <c r="P92" s="2">
        <v>84983.25</v>
      </c>
      <c r="Q92" s="2">
        <v>84988.52</v>
      </c>
      <c r="R92" s="2">
        <v>85006.32</v>
      </c>
      <c r="S92" s="2">
        <v>85020.030000000013</v>
      </c>
      <c r="T92" s="2">
        <v>85037.760000000009</v>
      </c>
      <c r="U92" s="2">
        <v>85059.250000000015</v>
      </c>
      <c r="V92" s="2">
        <v>85076.540000000008</v>
      </c>
      <c r="W92" s="2">
        <v>85092.170000000013</v>
      </c>
      <c r="X92" s="2">
        <v>85092.170000000013</v>
      </c>
      <c r="Y92" s="2">
        <v>85104.290000000008</v>
      </c>
      <c r="Z92" s="2">
        <v>85125.610000000015</v>
      </c>
      <c r="AA92" s="2">
        <v>85146.320000000022</v>
      </c>
      <c r="AB92" s="2">
        <v>85167.520000000019</v>
      </c>
      <c r="AC92" s="2">
        <v>85188.790000000023</v>
      </c>
      <c r="AD92" s="2">
        <v>85209.960000000021</v>
      </c>
      <c r="AE92" s="2">
        <v>85224.340000000026</v>
      </c>
      <c r="AF92" s="3">
        <v>85240.030000000028</v>
      </c>
      <c r="AG92" s="51">
        <f t="shared" si="2"/>
        <v>85240.030000000028</v>
      </c>
      <c r="AH92" s="44">
        <v>84733.02</v>
      </c>
    </row>
    <row r="93" spans="1:34" x14ac:dyDescent="0.35">
      <c r="A93" s="33" t="s">
        <v>99</v>
      </c>
      <c r="B93" s="10">
        <v>81907.990000000209</v>
      </c>
      <c r="C93" s="2">
        <v>81929.470000000205</v>
      </c>
      <c r="D93" s="2">
        <v>81950.620000000199</v>
      </c>
      <c r="E93" s="2">
        <v>81971.460000000196</v>
      </c>
      <c r="F93" s="2">
        <v>81992.960000000196</v>
      </c>
      <c r="G93" s="2">
        <v>82012.240000000194</v>
      </c>
      <c r="H93" s="2">
        <v>82029.270000000193</v>
      </c>
      <c r="I93" s="2">
        <v>82036.200000000186</v>
      </c>
      <c r="J93" s="2">
        <v>82038.370000000185</v>
      </c>
      <c r="K93" s="2">
        <v>82056.070000000182</v>
      </c>
      <c r="L93" s="2">
        <v>82077.550000000178</v>
      </c>
      <c r="M93" s="2">
        <v>82099.230000000171</v>
      </c>
      <c r="N93" s="2">
        <v>82111.940000000177</v>
      </c>
      <c r="O93" s="2">
        <v>82133.000000000175</v>
      </c>
      <c r="P93" s="2">
        <v>82154.37000000017</v>
      </c>
      <c r="Q93" s="2">
        <v>82175.800000000163</v>
      </c>
      <c r="R93" s="2">
        <v>82190.580000000162</v>
      </c>
      <c r="S93" s="2">
        <v>82204.930000000168</v>
      </c>
      <c r="T93" s="2">
        <v>82204.950000000172</v>
      </c>
      <c r="U93" s="2">
        <v>82204.950000000172</v>
      </c>
      <c r="V93" s="2">
        <v>82207.190000000177</v>
      </c>
      <c r="W93" s="2">
        <v>82207.190000000177</v>
      </c>
      <c r="X93" s="2">
        <v>82222.12000000017</v>
      </c>
      <c r="Y93" s="2">
        <v>82242.950000000172</v>
      </c>
      <c r="Z93" s="2">
        <v>82264.010000000169</v>
      </c>
      <c r="AA93" s="2">
        <v>82282.480000000171</v>
      </c>
      <c r="AB93" s="2">
        <v>82302.030000000173</v>
      </c>
      <c r="AC93" s="2">
        <v>82321.820000000167</v>
      </c>
      <c r="AD93" s="2">
        <v>82342.400000000169</v>
      </c>
      <c r="AE93" s="2">
        <v>82363.090000000171</v>
      </c>
      <c r="AF93" s="3">
        <v>82384.750000000175</v>
      </c>
      <c r="AG93" s="51">
        <f t="shared" si="2"/>
        <v>82384.750000000175</v>
      </c>
      <c r="AH93" s="44">
        <v>81886.13</v>
      </c>
    </row>
    <row r="94" spans="1:34" x14ac:dyDescent="0.35">
      <c r="A94" s="293" t="s">
        <v>100</v>
      </c>
      <c r="B94" s="10">
        <v>81277.610000000015</v>
      </c>
      <c r="C94" s="2">
        <v>81277.610000000015</v>
      </c>
      <c r="D94" s="2">
        <v>81277.610000000015</v>
      </c>
      <c r="E94" s="2">
        <v>81277.610000000015</v>
      </c>
      <c r="F94" s="2">
        <v>81277.610000000015</v>
      </c>
      <c r="G94" s="2">
        <v>81277.610000000015</v>
      </c>
      <c r="H94" s="2">
        <v>81277.610000000015</v>
      </c>
      <c r="I94" s="2">
        <v>81277.610000000015</v>
      </c>
      <c r="J94" s="2">
        <v>81277.610000000015</v>
      </c>
      <c r="K94" s="2">
        <v>81277.610000000015</v>
      </c>
      <c r="L94" s="2">
        <v>81277.610000000015</v>
      </c>
      <c r="M94" s="2">
        <v>81277.610000000015</v>
      </c>
      <c r="N94" s="2">
        <v>81277.610000000015</v>
      </c>
      <c r="O94" s="2">
        <v>81277.610000000015</v>
      </c>
      <c r="P94" s="2">
        <v>81277.610000000015</v>
      </c>
      <c r="Q94" s="2">
        <v>81277.610000000015</v>
      </c>
      <c r="R94" s="2">
        <v>81277.610000000015</v>
      </c>
      <c r="S94" s="2">
        <v>81277.610000000015</v>
      </c>
      <c r="T94" s="2">
        <v>81277.610000000015</v>
      </c>
      <c r="U94" s="2">
        <v>81277.610000000015</v>
      </c>
      <c r="V94" s="2">
        <v>81277.610000000015</v>
      </c>
      <c r="W94" s="2">
        <v>81277.610000000015</v>
      </c>
      <c r="X94" s="2">
        <v>81277.610000000015</v>
      </c>
      <c r="Y94" s="2">
        <v>81277.610000000015</v>
      </c>
      <c r="Z94" s="2">
        <v>81277.610000000015</v>
      </c>
      <c r="AA94" s="2">
        <v>81277.610000000015</v>
      </c>
      <c r="AB94" s="2">
        <v>81277.610000000015</v>
      </c>
      <c r="AC94" s="2">
        <v>81277.610000000015</v>
      </c>
      <c r="AD94" s="2">
        <v>81277.610000000015</v>
      </c>
      <c r="AE94" s="2">
        <v>81277.610000000015</v>
      </c>
      <c r="AF94" s="3">
        <v>81277.610000000015</v>
      </c>
      <c r="AG94" s="51">
        <f t="shared" si="2"/>
        <v>81277.610000000015</v>
      </c>
      <c r="AH94" s="44">
        <v>81277.61</v>
      </c>
    </row>
    <row r="95" spans="1:34" x14ac:dyDescent="0.35">
      <c r="A95" s="33" t="s">
        <v>101</v>
      </c>
      <c r="B95" s="10">
        <v>82866.149999999965</v>
      </c>
      <c r="C95" s="2">
        <v>82881.089999999967</v>
      </c>
      <c r="D95" s="2">
        <v>82900.669999999969</v>
      </c>
      <c r="E95" s="2">
        <v>82915.969999999972</v>
      </c>
      <c r="F95" s="2">
        <v>82937.329999999973</v>
      </c>
      <c r="G95" s="2">
        <v>82958.749999999971</v>
      </c>
      <c r="H95" s="2">
        <v>82974.629999999976</v>
      </c>
      <c r="I95" s="2">
        <v>82995.909999999974</v>
      </c>
      <c r="J95" s="2">
        <v>83015.89999999998</v>
      </c>
      <c r="K95" s="2">
        <v>83015.89999999998</v>
      </c>
      <c r="L95" s="2">
        <v>83029.799999999974</v>
      </c>
      <c r="M95" s="2">
        <v>83051.209999999977</v>
      </c>
      <c r="N95" s="2">
        <v>83058.309999999983</v>
      </c>
      <c r="O95" s="2">
        <v>83065.709999999977</v>
      </c>
      <c r="P95" s="2">
        <v>83071.979999999981</v>
      </c>
      <c r="Q95" s="2">
        <v>83092.479999999981</v>
      </c>
      <c r="R95" s="2">
        <v>83112.219999999987</v>
      </c>
      <c r="S95" s="2">
        <v>83112.219999999987</v>
      </c>
      <c r="T95" s="2">
        <v>83112.219999999987</v>
      </c>
      <c r="U95" s="2">
        <v>83112.219999999987</v>
      </c>
      <c r="V95" s="2">
        <v>83112.219999999987</v>
      </c>
      <c r="W95" s="2">
        <v>83128.039999999994</v>
      </c>
      <c r="X95" s="2">
        <v>83146.84</v>
      </c>
      <c r="Y95" s="2">
        <v>83155.87</v>
      </c>
      <c r="Z95" s="2">
        <v>83162.429999999993</v>
      </c>
      <c r="AA95" s="2">
        <v>83170.459999999992</v>
      </c>
      <c r="AB95" s="2">
        <v>83181.599999999991</v>
      </c>
      <c r="AC95" s="2">
        <v>83194.989999999991</v>
      </c>
      <c r="AD95" s="2">
        <v>83215.45</v>
      </c>
      <c r="AE95" s="2">
        <v>83237.03</v>
      </c>
      <c r="AF95" s="3">
        <v>83256.2</v>
      </c>
      <c r="AG95" s="51">
        <f t="shared" si="2"/>
        <v>83256.2</v>
      </c>
      <c r="AH95" s="44">
        <v>82852.100000000006</v>
      </c>
    </row>
    <row r="96" spans="1:34" x14ac:dyDescent="0.35">
      <c r="A96" s="33" t="s">
        <v>102</v>
      </c>
      <c r="B96" s="10">
        <v>84180.240000000165</v>
      </c>
      <c r="C96" s="2">
        <v>84201.740000000165</v>
      </c>
      <c r="D96" s="2">
        <v>84221.700000000172</v>
      </c>
      <c r="E96" s="2">
        <v>84235.270000000179</v>
      </c>
      <c r="F96" s="2">
        <v>84250.85000000018</v>
      </c>
      <c r="G96" s="2">
        <v>84260.130000000179</v>
      </c>
      <c r="H96" s="2">
        <v>84275.820000000182</v>
      </c>
      <c r="I96" s="2">
        <v>84289.770000000179</v>
      </c>
      <c r="J96" s="2">
        <v>84303.870000000185</v>
      </c>
      <c r="K96" s="2">
        <v>84318.840000000186</v>
      </c>
      <c r="L96" s="2">
        <v>84334.980000000185</v>
      </c>
      <c r="M96" s="2">
        <v>84339.260000000184</v>
      </c>
      <c r="N96" s="2">
        <v>84339.260000000184</v>
      </c>
      <c r="O96" s="2">
        <v>84339.260000000184</v>
      </c>
      <c r="P96" s="2">
        <v>84339.260000000184</v>
      </c>
      <c r="Q96" s="2">
        <v>84339.260000000184</v>
      </c>
      <c r="R96" s="2">
        <v>84339.260000000184</v>
      </c>
      <c r="S96" s="2">
        <v>84339.260000000184</v>
      </c>
      <c r="T96" s="2">
        <v>84339.260000000184</v>
      </c>
      <c r="U96" s="2">
        <v>84339.260000000184</v>
      </c>
      <c r="V96" s="2">
        <v>84339.260000000184</v>
      </c>
      <c r="W96" s="2">
        <v>84339.260000000184</v>
      </c>
      <c r="X96" s="2">
        <v>84339.260000000184</v>
      </c>
      <c r="Y96" s="2">
        <v>84339.260000000184</v>
      </c>
      <c r="Z96" s="2">
        <v>84339.260000000184</v>
      </c>
      <c r="AA96" s="2">
        <v>84339.260000000184</v>
      </c>
      <c r="AB96" s="2">
        <v>84339.260000000184</v>
      </c>
      <c r="AC96" s="2">
        <v>84339.260000000184</v>
      </c>
      <c r="AD96" s="2">
        <v>84345.620000000185</v>
      </c>
      <c r="AE96" s="2">
        <v>84364.010000000184</v>
      </c>
      <c r="AF96" s="3">
        <v>84378.750000000189</v>
      </c>
      <c r="AG96" s="51">
        <f t="shared" si="2"/>
        <v>84378.750000000189</v>
      </c>
      <c r="AH96" s="44">
        <v>84164.46</v>
      </c>
    </row>
    <row r="97" spans="1:34" x14ac:dyDescent="0.35">
      <c r="A97" s="33" t="s">
        <v>103</v>
      </c>
      <c r="B97" s="10">
        <v>85019.099999999773</v>
      </c>
      <c r="C97" s="2">
        <v>85037.969999999768</v>
      </c>
      <c r="D97" s="2">
        <v>85058.689999999769</v>
      </c>
      <c r="E97" s="2">
        <v>85075.889999999767</v>
      </c>
      <c r="F97" s="2">
        <v>85097.449999999764</v>
      </c>
      <c r="G97" s="2">
        <v>85118.339999999764</v>
      </c>
      <c r="H97" s="2">
        <v>85140.189999999769</v>
      </c>
      <c r="I97" s="2">
        <v>85161.859999999768</v>
      </c>
      <c r="J97" s="2">
        <v>85183.269999999771</v>
      </c>
      <c r="K97" s="2">
        <v>85188.779999999766</v>
      </c>
      <c r="L97" s="2">
        <v>85201.559999999765</v>
      </c>
      <c r="M97" s="2">
        <v>85221.999999999767</v>
      </c>
      <c r="N97" s="2">
        <v>85243.849999999773</v>
      </c>
      <c r="O97" s="2">
        <v>85261.04999999977</v>
      </c>
      <c r="P97" s="2">
        <v>85282.439999999769</v>
      </c>
      <c r="Q97" s="2">
        <v>85295.749999999767</v>
      </c>
      <c r="R97" s="2">
        <v>85317.689999999769</v>
      </c>
      <c r="S97" s="2">
        <v>85339.019999999771</v>
      </c>
      <c r="T97" s="2">
        <v>85359.949999999764</v>
      </c>
      <c r="U97" s="2">
        <v>85381.539999999761</v>
      </c>
      <c r="V97" s="2">
        <v>85403.149999999761</v>
      </c>
      <c r="W97" s="2">
        <v>85413.17999999976</v>
      </c>
      <c r="X97" s="2">
        <v>85425.299999999756</v>
      </c>
      <c r="Y97" s="2">
        <v>85446.609999999753</v>
      </c>
      <c r="Z97" s="2">
        <v>85467.079999999754</v>
      </c>
      <c r="AA97" s="2">
        <v>85480.029999999751</v>
      </c>
      <c r="AB97" s="2">
        <v>85501.369999999748</v>
      </c>
      <c r="AC97" s="2">
        <v>85521.749999999753</v>
      </c>
      <c r="AD97" s="2">
        <v>85543.219999999754</v>
      </c>
      <c r="AE97" s="2">
        <v>85563.919999999751</v>
      </c>
      <c r="AF97" s="3">
        <v>85580.339999999749</v>
      </c>
      <c r="AG97" s="51">
        <f t="shared" si="2"/>
        <v>85580.339999999749</v>
      </c>
      <c r="AH97" s="44">
        <v>84997.39</v>
      </c>
    </row>
    <row r="98" spans="1:34" x14ac:dyDescent="0.35">
      <c r="A98" s="33" t="s">
        <v>104</v>
      </c>
      <c r="B98" s="10">
        <v>83208.680000000255</v>
      </c>
      <c r="C98" s="2">
        <v>83230.510000000257</v>
      </c>
      <c r="D98" s="2">
        <v>83252.070000000254</v>
      </c>
      <c r="E98" s="2">
        <v>83267.120000000257</v>
      </c>
      <c r="F98" s="2">
        <v>83282.910000000251</v>
      </c>
      <c r="G98" s="2">
        <v>83297.660000000251</v>
      </c>
      <c r="H98" s="2">
        <v>83318.650000000256</v>
      </c>
      <c r="I98" s="2">
        <v>83323.92000000026</v>
      </c>
      <c r="J98" s="2">
        <v>83323.92000000026</v>
      </c>
      <c r="K98" s="2">
        <v>83341.990000000267</v>
      </c>
      <c r="L98" s="2">
        <v>83353.230000000272</v>
      </c>
      <c r="M98" s="2">
        <v>83372.830000000278</v>
      </c>
      <c r="N98" s="2">
        <v>83394.020000000281</v>
      </c>
      <c r="O98" s="2">
        <v>83396.470000000278</v>
      </c>
      <c r="P98" s="2">
        <v>83406.930000000284</v>
      </c>
      <c r="Q98" s="2">
        <v>83426.78000000029</v>
      </c>
      <c r="R98" s="2">
        <v>83447.370000000286</v>
      </c>
      <c r="S98" s="2">
        <v>83460.600000000282</v>
      </c>
      <c r="T98" s="2">
        <v>83480.930000000284</v>
      </c>
      <c r="U98" s="2">
        <v>83502.400000000285</v>
      </c>
      <c r="V98" s="2">
        <v>83523.730000000287</v>
      </c>
      <c r="W98" s="2">
        <v>83545.150000000285</v>
      </c>
      <c r="X98" s="2">
        <v>83565.250000000291</v>
      </c>
      <c r="Y98" s="2">
        <v>83580.03000000029</v>
      </c>
      <c r="Z98" s="2">
        <v>83599.250000000291</v>
      </c>
      <c r="AA98" s="2">
        <v>83620.580000000293</v>
      </c>
      <c r="AB98" s="2">
        <v>83641.720000000292</v>
      </c>
      <c r="AC98" s="2">
        <v>83661.590000000288</v>
      </c>
      <c r="AD98" s="2">
        <v>83682.450000000288</v>
      </c>
      <c r="AE98" s="2">
        <v>83703.360000000292</v>
      </c>
      <c r="AF98" s="3">
        <v>83724.740000000296</v>
      </c>
      <c r="AG98" s="51">
        <f t="shared" si="2"/>
        <v>83724.740000000296</v>
      </c>
      <c r="AH98" s="44">
        <v>83188.320000000007</v>
      </c>
    </row>
    <row r="99" spans="1:34" x14ac:dyDescent="0.35">
      <c r="A99" s="33" t="s">
        <v>105</v>
      </c>
      <c r="B99" s="10">
        <v>81973.279999999999</v>
      </c>
      <c r="C99" s="2">
        <v>81973.279999999999</v>
      </c>
      <c r="D99" s="2">
        <v>81973.279999999999</v>
      </c>
      <c r="E99" s="2">
        <v>81973.279999999999</v>
      </c>
      <c r="F99" s="2">
        <v>81973.279999999999</v>
      </c>
      <c r="G99" s="2">
        <v>81973.279999999999</v>
      </c>
      <c r="H99" s="2">
        <v>81973.279999999999</v>
      </c>
      <c r="I99" s="2">
        <v>81973.279999999999</v>
      </c>
      <c r="J99" s="2">
        <v>81973.279999999999</v>
      </c>
      <c r="K99" s="2">
        <v>81973.279999999999</v>
      </c>
      <c r="L99" s="2">
        <v>81973.279999999999</v>
      </c>
      <c r="M99" s="2">
        <v>81973.279999999999</v>
      </c>
      <c r="N99" s="2">
        <v>81973.279999999999</v>
      </c>
      <c r="O99" s="2">
        <v>81973.279999999999</v>
      </c>
      <c r="P99" s="2">
        <v>81973.279999999999</v>
      </c>
      <c r="Q99" s="2">
        <v>81981.600000000006</v>
      </c>
      <c r="R99" s="2">
        <v>81987.48000000001</v>
      </c>
      <c r="S99" s="2">
        <v>81999.88</v>
      </c>
      <c r="T99" s="2">
        <v>82017.510000000009</v>
      </c>
      <c r="U99" s="2">
        <v>82033.900000000009</v>
      </c>
      <c r="V99" s="2">
        <v>82052.91</v>
      </c>
      <c r="W99" s="2">
        <v>82074.790000000008</v>
      </c>
      <c r="X99" s="2">
        <v>82095.950000000012</v>
      </c>
      <c r="Y99" s="2">
        <v>82114.650000000009</v>
      </c>
      <c r="Z99" s="2">
        <v>82132.930000000008</v>
      </c>
      <c r="AA99" s="2">
        <v>82132.930000000008</v>
      </c>
      <c r="AB99" s="2">
        <v>82142.560000000012</v>
      </c>
      <c r="AC99" s="2">
        <v>82163.650000000009</v>
      </c>
      <c r="AD99" s="2">
        <v>82176.150000000009</v>
      </c>
      <c r="AE99" s="2">
        <v>82196.990000000005</v>
      </c>
      <c r="AF99" s="3">
        <v>82218.23000000001</v>
      </c>
      <c r="AG99" s="51">
        <f t="shared" si="2"/>
        <v>82218.23000000001</v>
      </c>
      <c r="AH99" s="44">
        <v>81973.279999999999</v>
      </c>
    </row>
    <row r="100" spans="1:34" x14ac:dyDescent="0.35">
      <c r="A100" s="33" t="s">
        <v>106</v>
      </c>
      <c r="B100" s="10">
        <v>80312.500000000029</v>
      </c>
      <c r="C100" s="2">
        <v>80312.500000000029</v>
      </c>
      <c r="D100" s="2">
        <v>80312.500000000029</v>
      </c>
      <c r="E100" s="2">
        <v>80312.500000000029</v>
      </c>
      <c r="F100" s="2">
        <v>80312.500000000029</v>
      </c>
      <c r="G100" s="2">
        <v>80312.500000000029</v>
      </c>
      <c r="H100" s="2">
        <v>80312.500000000029</v>
      </c>
      <c r="I100" s="2">
        <v>80312.500000000029</v>
      </c>
      <c r="J100" s="2">
        <v>80312.500000000029</v>
      </c>
      <c r="K100" s="2">
        <v>80312.500000000029</v>
      </c>
      <c r="L100" s="2">
        <v>80312.500000000029</v>
      </c>
      <c r="M100" s="2">
        <v>80312.500000000029</v>
      </c>
      <c r="N100" s="2">
        <v>80312.500000000029</v>
      </c>
      <c r="O100" s="2">
        <v>80312.500000000029</v>
      </c>
      <c r="P100" s="2">
        <v>80312.500000000029</v>
      </c>
      <c r="Q100" s="2">
        <v>80312.500000000029</v>
      </c>
      <c r="R100" s="2">
        <v>80312.500000000029</v>
      </c>
      <c r="S100" s="2">
        <v>80312.500000000029</v>
      </c>
      <c r="T100" s="2">
        <v>80312.500000000029</v>
      </c>
      <c r="U100" s="2">
        <v>80312.500000000029</v>
      </c>
      <c r="V100" s="2">
        <v>80312.500000000029</v>
      </c>
      <c r="W100" s="2">
        <v>80312.500000000029</v>
      </c>
      <c r="X100" s="2">
        <v>80312.500000000029</v>
      </c>
      <c r="Y100" s="2">
        <v>80312.500000000029</v>
      </c>
      <c r="Z100" s="2">
        <v>80312.500000000029</v>
      </c>
      <c r="AA100" s="2">
        <v>80312.500000000029</v>
      </c>
      <c r="AB100" s="2">
        <v>80312.500000000029</v>
      </c>
      <c r="AC100" s="2">
        <v>80312.500000000029</v>
      </c>
      <c r="AD100" s="2">
        <v>80312.500000000029</v>
      </c>
      <c r="AE100" s="2">
        <v>80318.630000000034</v>
      </c>
      <c r="AF100" s="3">
        <v>80323.560000000027</v>
      </c>
      <c r="AG100" s="51">
        <f t="shared" ref="AG100:AG106" si="3">MAX(B100:AF100)</f>
        <v>80323.560000000027</v>
      </c>
      <c r="AH100" s="44">
        <v>80310.570000000007</v>
      </c>
    </row>
    <row r="101" spans="1:34" x14ac:dyDescent="0.35">
      <c r="A101" s="33" t="s">
        <v>107</v>
      </c>
      <c r="B101" s="10">
        <v>83037.620000000024</v>
      </c>
      <c r="C101" s="2">
        <v>83048.72000000003</v>
      </c>
      <c r="D101" s="2">
        <v>83048.72000000003</v>
      </c>
      <c r="E101" s="2">
        <v>83064.040000000037</v>
      </c>
      <c r="F101" s="2">
        <v>83084.540000000037</v>
      </c>
      <c r="G101" s="2">
        <v>83098.300000000032</v>
      </c>
      <c r="H101" s="2">
        <v>83120.040000000037</v>
      </c>
      <c r="I101" s="2">
        <v>83141.990000000034</v>
      </c>
      <c r="J101" s="2">
        <v>83155.020000000033</v>
      </c>
      <c r="K101" s="2">
        <v>83176.020000000033</v>
      </c>
      <c r="L101" s="2">
        <v>83196.290000000037</v>
      </c>
      <c r="M101" s="2">
        <v>83217.830000000031</v>
      </c>
      <c r="N101" s="2">
        <v>83239.450000000026</v>
      </c>
      <c r="O101" s="2">
        <v>83260.120000000024</v>
      </c>
      <c r="P101" s="2">
        <v>83278.150000000023</v>
      </c>
      <c r="Q101" s="2">
        <v>83290.820000000022</v>
      </c>
      <c r="R101" s="2">
        <v>83302.960000000021</v>
      </c>
      <c r="S101" s="2">
        <v>83324.300000000017</v>
      </c>
      <c r="T101" s="2">
        <v>83344.880000000019</v>
      </c>
      <c r="U101" s="2">
        <v>83363.540000000023</v>
      </c>
      <c r="V101" s="2">
        <v>83382.470000000016</v>
      </c>
      <c r="W101" s="2">
        <v>83403.560000000012</v>
      </c>
      <c r="X101" s="2">
        <v>83422.790000000008</v>
      </c>
      <c r="Y101" s="2">
        <v>83440.990000000005</v>
      </c>
      <c r="Z101" s="2">
        <v>83454.350000000006</v>
      </c>
      <c r="AA101" s="2">
        <v>83471.38</v>
      </c>
      <c r="AB101" s="2">
        <v>83487.41</v>
      </c>
      <c r="AC101" s="2">
        <v>83508.25</v>
      </c>
      <c r="AD101" s="2">
        <v>83529.08</v>
      </c>
      <c r="AE101" s="2">
        <v>83550.559999999998</v>
      </c>
      <c r="AF101" s="3">
        <v>83571.599999999991</v>
      </c>
      <c r="AG101" s="51">
        <f t="shared" si="3"/>
        <v>83571.599999999991</v>
      </c>
      <c r="AH101" s="44">
        <v>83018.080000000002</v>
      </c>
    </row>
    <row r="102" spans="1:34" x14ac:dyDescent="0.35">
      <c r="A102" s="33" t="s">
        <v>108</v>
      </c>
      <c r="B102" s="10">
        <v>83631.709999999977</v>
      </c>
      <c r="C102" s="2">
        <v>83653.319999999978</v>
      </c>
      <c r="D102" s="2">
        <v>83674.919999999984</v>
      </c>
      <c r="E102" s="2">
        <v>83692.719999999987</v>
      </c>
      <c r="F102" s="2">
        <v>83714.189999999988</v>
      </c>
      <c r="G102" s="2">
        <v>83734.199999999983</v>
      </c>
      <c r="H102" s="2">
        <v>83746.51999999999</v>
      </c>
      <c r="I102" s="2">
        <v>83746.539999999994</v>
      </c>
      <c r="J102" s="2">
        <v>83746.539999999994</v>
      </c>
      <c r="K102" s="2">
        <v>83755.509999999995</v>
      </c>
      <c r="L102" s="2">
        <v>83774.409999999989</v>
      </c>
      <c r="M102" s="2">
        <v>83791.62999999999</v>
      </c>
      <c r="N102" s="2">
        <v>83813.01999999999</v>
      </c>
      <c r="O102" s="2">
        <v>83828.659999999989</v>
      </c>
      <c r="P102" s="2">
        <v>83846.499999999985</v>
      </c>
      <c r="Q102" s="2">
        <v>83865.189999999988</v>
      </c>
      <c r="R102" s="2">
        <v>83885.759999999995</v>
      </c>
      <c r="S102" s="2">
        <v>83907.42</v>
      </c>
      <c r="T102" s="2">
        <v>83924.61</v>
      </c>
      <c r="U102" s="2">
        <v>83945.279999999999</v>
      </c>
      <c r="V102" s="2">
        <v>83946.13</v>
      </c>
      <c r="W102" s="2">
        <v>83946.13</v>
      </c>
      <c r="X102" s="2">
        <v>83946.13</v>
      </c>
      <c r="Y102" s="2">
        <v>83946.13</v>
      </c>
      <c r="Z102" s="2">
        <v>83946.13</v>
      </c>
      <c r="AA102" s="2">
        <v>83957.180000000008</v>
      </c>
      <c r="AB102" s="2">
        <v>83978.49</v>
      </c>
      <c r="AC102" s="2">
        <v>83999.1</v>
      </c>
      <c r="AD102" s="2">
        <v>84020.41</v>
      </c>
      <c r="AE102" s="2">
        <v>84041.86</v>
      </c>
      <c r="AF102" s="3">
        <v>84057.66</v>
      </c>
      <c r="AG102" s="51">
        <f t="shared" si="3"/>
        <v>84057.66</v>
      </c>
      <c r="AH102" s="44">
        <v>83611.740000000005</v>
      </c>
    </row>
    <row r="103" spans="1:34" x14ac:dyDescent="0.35">
      <c r="A103" s="33" t="s">
        <v>109</v>
      </c>
      <c r="B103" s="10">
        <v>82584.560000000114</v>
      </c>
      <c r="C103" s="2">
        <v>82599.030000000115</v>
      </c>
      <c r="D103" s="2">
        <v>82619.510000000111</v>
      </c>
      <c r="E103" s="2">
        <v>82640.360000000117</v>
      </c>
      <c r="F103" s="2">
        <v>82661.760000000111</v>
      </c>
      <c r="G103" s="2">
        <v>82683.700000000114</v>
      </c>
      <c r="H103" s="2">
        <v>82705.100000000108</v>
      </c>
      <c r="I103" s="2">
        <v>82725.980000000112</v>
      </c>
      <c r="J103" s="2">
        <v>82745.020000000106</v>
      </c>
      <c r="K103" s="2">
        <v>82765.720000000103</v>
      </c>
      <c r="L103" s="2">
        <v>82787.380000000107</v>
      </c>
      <c r="M103" s="2">
        <v>82808.760000000111</v>
      </c>
      <c r="N103" s="2">
        <v>82830.210000000108</v>
      </c>
      <c r="O103" s="2">
        <v>82851.400000000111</v>
      </c>
      <c r="P103" s="2">
        <v>82872.720000000118</v>
      </c>
      <c r="Q103" s="2">
        <v>82891.27000000012</v>
      </c>
      <c r="R103" s="2">
        <v>82912.920000000115</v>
      </c>
      <c r="S103" s="2">
        <v>82934.200000000114</v>
      </c>
      <c r="T103" s="2">
        <v>82955.850000000108</v>
      </c>
      <c r="U103" s="2">
        <v>82975.700000000114</v>
      </c>
      <c r="V103" s="2">
        <v>82994.41000000012</v>
      </c>
      <c r="W103" s="2">
        <v>83005.430000000124</v>
      </c>
      <c r="X103" s="2">
        <v>83024.78000000013</v>
      </c>
      <c r="Y103" s="2">
        <v>83045.960000000123</v>
      </c>
      <c r="Z103" s="2">
        <v>83067.200000000128</v>
      </c>
      <c r="AA103" s="2">
        <v>83082.560000000129</v>
      </c>
      <c r="AB103" s="2">
        <v>83091.620000000126</v>
      </c>
      <c r="AC103" s="2">
        <v>83098.710000000123</v>
      </c>
      <c r="AD103" s="2">
        <v>83098.710000000123</v>
      </c>
      <c r="AE103" s="2">
        <v>83112.980000000127</v>
      </c>
      <c r="AF103" s="3">
        <v>83125.610000000132</v>
      </c>
      <c r="AG103" s="51">
        <f t="shared" si="3"/>
        <v>83125.610000000132</v>
      </c>
      <c r="AH103" s="44">
        <v>82563.75</v>
      </c>
    </row>
    <row r="104" spans="1:34" x14ac:dyDescent="0.35">
      <c r="A104" s="33" t="s">
        <v>110</v>
      </c>
      <c r="B104" s="10">
        <v>83903.740000000136</v>
      </c>
      <c r="C104" s="2">
        <v>83923.300000000134</v>
      </c>
      <c r="D104" s="2">
        <v>83943.540000000139</v>
      </c>
      <c r="E104" s="2">
        <v>83962.880000000136</v>
      </c>
      <c r="F104" s="2">
        <v>83978.050000000134</v>
      </c>
      <c r="G104" s="2">
        <v>83989.28000000013</v>
      </c>
      <c r="H104" s="2">
        <v>84010.290000000125</v>
      </c>
      <c r="I104" s="2">
        <v>84031.600000000122</v>
      </c>
      <c r="J104" s="2">
        <v>84052.41000000012</v>
      </c>
      <c r="K104" s="2">
        <v>84067.510000000126</v>
      </c>
      <c r="L104" s="2">
        <v>84073.070000000123</v>
      </c>
      <c r="M104" s="2">
        <v>84094.100000000122</v>
      </c>
      <c r="N104" s="2">
        <v>84114.820000000123</v>
      </c>
      <c r="O104" s="2">
        <v>84135.680000000124</v>
      </c>
      <c r="P104" s="2">
        <v>84157.070000000123</v>
      </c>
      <c r="Q104" s="2">
        <v>84177.580000000118</v>
      </c>
      <c r="R104" s="2">
        <v>84198.530000000115</v>
      </c>
      <c r="S104" s="2">
        <v>84218.510000000111</v>
      </c>
      <c r="T104" s="2">
        <v>84231.460000000108</v>
      </c>
      <c r="U104" s="2">
        <v>84235.760000000111</v>
      </c>
      <c r="V104" s="2">
        <v>84253.880000000107</v>
      </c>
      <c r="W104" s="2">
        <v>84269.750000000102</v>
      </c>
      <c r="X104" s="2">
        <v>84280.200000000099</v>
      </c>
      <c r="Y104" s="2">
        <v>84290.6700000001</v>
      </c>
      <c r="Z104" s="2">
        <v>84308.630000000107</v>
      </c>
      <c r="AA104" s="2">
        <v>84330.110000000102</v>
      </c>
      <c r="AB104" s="2">
        <v>84350.780000000101</v>
      </c>
      <c r="AC104" s="2">
        <v>84371.800000000105</v>
      </c>
      <c r="AD104" s="2">
        <v>84383.980000000098</v>
      </c>
      <c r="AE104" s="2">
        <v>84398.100000000093</v>
      </c>
      <c r="AF104" s="3">
        <v>84419.100000000093</v>
      </c>
      <c r="AG104" s="51">
        <f t="shared" si="3"/>
        <v>84419.100000000093</v>
      </c>
      <c r="AH104" s="44">
        <v>83895.73</v>
      </c>
    </row>
    <row r="105" spans="1:34" x14ac:dyDescent="0.35">
      <c r="A105" s="33" t="s">
        <v>111</v>
      </c>
      <c r="B105" s="10">
        <v>75435.150000000081</v>
      </c>
      <c r="C105" s="2">
        <v>75453.480000000083</v>
      </c>
      <c r="D105" s="2">
        <v>75469.210000000079</v>
      </c>
      <c r="E105" s="2">
        <v>75484.640000000072</v>
      </c>
      <c r="F105" s="2">
        <v>75505.240000000078</v>
      </c>
      <c r="G105" s="2">
        <v>75523.970000000074</v>
      </c>
      <c r="H105" s="2">
        <v>75545.32000000008</v>
      </c>
      <c r="I105" s="2">
        <v>75560.750000000073</v>
      </c>
      <c r="J105" s="2">
        <v>75571.390000000072</v>
      </c>
      <c r="K105" s="2">
        <v>75592.100000000079</v>
      </c>
      <c r="L105" s="2">
        <v>75611.150000000081</v>
      </c>
      <c r="M105" s="2">
        <v>75632.640000000087</v>
      </c>
      <c r="N105" s="2">
        <v>75645.540000000081</v>
      </c>
      <c r="O105" s="2">
        <v>75663.620000000083</v>
      </c>
      <c r="P105" s="2">
        <v>75678.810000000085</v>
      </c>
      <c r="Q105" s="2">
        <v>75696.220000000088</v>
      </c>
      <c r="R105" s="2">
        <v>75715.680000000095</v>
      </c>
      <c r="S105" s="2">
        <v>75727.960000000094</v>
      </c>
      <c r="T105" s="2">
        <v>75747.640000000087</v>
      </c>
      <c r="U105" s="2">
        <v>75767.82000000008</v>
      </c>
      <c r="V105" s="2">
        <v>75787.170000000086</v>
      </c>
      <c r="W105" s="2">
        <v>75808.950000000084</v>
      </c>
      <c r="X105" s="2">
        <v>75821.30000000009</v>
      </c>
      <c r="Y105" s="2">
        <v>75842.30000000009</v>
      </c>
      <c r="Z105" s="2">
        <v>75862.05000000009</v>
      </c>
      <c r="AA105" s="2">
        <v>75882.830000000089</v>
      </c>
      <c r="AB105" s="2">
        <v>75904.020000000091</v>
      </c>
      <c r="AC105" s="2">
        <v>75917.840000000098</v>
      </c>
      <c r="AD105" s="2">
        <v>75939.020000000091</v>
      </c>
      <c r="AE105" s="2">
        <v>75958.890000000087</v>
      </c>
      <c r="AF105" s="3">
        <v>75980.450000000084</v>
      </c>
      <c r="AG105" s="51">
        <f t="shared" si="3"/>
        <v>75980.450000000084</v>
      </c>
      <c r="AH105" s="44">
        <v>75415.25</v>
      </c>
    </row>
    <row r="106" spans="1:34" ht="15" thickBot="1" x14ac:dyDescent="0.4">
      <c r="A106" s="34" t="s">
        <v>112</v>
      </c>
      <c r="B106" s="11">
        <v>83552.939999999988</v>
      </c>
      <c r="C106" s="4">
        <v>83564.919999999984</v>
      </c>
      <c r="D106" s="4">
        <v>83586.029999999984</v>
      </c>
      <c r="E106" s="4">
        <v>83607.789999999979</v>
      </c>
      <c r="F106" s="4">
        <v>83629.249999999985</v>
      </c>
      <c r="G106" s="4">
        <v>83646.239999999991</v>
      </c>
      <c r="H106" s="4">
        <v>83662.909999999989</v>
      </c>
      <c r="I106" s="4">
        <v>83684.529999999984</v>
      </c>
      <c r="J106" s="4">
        <v>83705.309999999983</v>
      </c>
      <c r="K106" s="4">
        <v>83726.829999999987</v>
      </c>
      <c r="L106" s="4">
        <v>83748.219999999987</v>
      </c>
      <c r="M106" s="4">
        <v>83769.529999999984</v>
      </c>
      <c r="N106" s="4">
        <v>83790.559999999983</v>
      </c>
      <c r="O106" s="4">
        <v>83801.669999999984</v>
      </c>
      <c r="P106" s="4">
        <v>83806.189999999988</v>
      </c>
      <c r="Q106" s="4">
        <v>83827.169999999984</v>
      </c>
      <c r="R106" s="4">
        <v>83848.939999999988</v>
      </c>
      <c r="S106" s="4">
        <v>83870.749999999985</v>
      </c>
      <c r="T106" s="4">
        <v>83889.319999999992</v>
      </c>
      <c r="U106" s="4">
        <v>83904.93</v>
      </c>
      <c r="V106" s="4">
        <v>83922.7</v>
      </c>
      <c r="W106" s="4">
        <v>83943.79</v>
      </c>
      <c r="X106" s="4">
        <v>83964.219999999987</v>
      </c>
      <c r="Y106" s="4">
        <v>83985.799999999988</v>
      </c>
      <c r="Z106" s="4">
        <v>84007.51</v>
      </c>
      <c r="AA106" s="4">
        <v>84029.01</v>
      </c>
      <c r="AB106" s="4">
        <v>84048.12</v>
      </c>
      <c r="AC106" s="4">
        <v>84069.37</v>
      </c>
      <c r="AD106" s="4">
        <v>84091.09</v>
      </c>
      <c r="AE106" s="4">
        <v>84112.48</v>
      </c>
      <c r="AF106" s="5">
        <v>84134.03</v>
      </c>
      <c r="AG106" s="52">
        <f t="shared" si="3"/>
        <v>84134.03</v>
      </c>
      <c r="AH106" s="44">
        <v>83532.31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45474</v>
      </c>
      <c r="C108" s="46">
        <v>45475</v>
      </c>
      <c r="D108" s="46">
        <v>45476</v>
      </c>
      <c r="E108" s="46">
        <v>45477</v>
      </c>
      <c r="F108" s="46">
        <v>45478</v>
      </c>
      <c r="G108" s="46">
        <v>45479</v>
      </c>
      <c r="H108" s="46">
        <v>45480</v>
      </c>
      <c r="I108" s="46">
        <v>45481</v>
      </c>
      <c r="J108" s="46">
        <v>45482</v>
      </c>
      <c r="K108" s="46">
        <v>45483</v>
      </c>
      <c r="L108" s="46">
        <v>45484</v>
      </c>
      <c r="M108" s="46">
        <v>45485</v>
      </c>
      <c r="N108" s="46">
        <v>45486</v>
      </c>
      <c r="O108" s="46">
        <v>45487</v>
      </c>
      <c r="P108" s="46">
        <v>45488</v>
      </c>
      <c r="Q108" s="46">
        <v>45489</v>
      </c>
      <c r="R108" s="46">
        <v>45490</v>
      </c>
      <c r="S108" s="46">
        <v>45491</v>
      </c>
      <c r="T108" s="46">
        <v>45492</v>
      </c>
      <c r="U108" s="46">
        <v>45493</v>
      </c>
      <c r="V108" s="46">
        <v>45494</v>
      </c>
      <c r="W108" s="46">
        <v>45495</v>
      </c>
      <c r="X108" s="46">
        <v>45496</v>
      </c>
      <c r="Y108" s="46">
        <v>45497</v>
      </c>
      <c r="Z108" s="46">
        <v>45498</v>
      </c>
      <c r="AA108" s="46">
        <v>45499</v>
      </c>
      <c r="AB108" s="46">
        <v>45500</v>
      </c>
      <c r="AC108" s="46">
        <v>45501</v>
      </c>
      <c r="AD108" s="46">
        <v>45502</v>
      </c>
      <c r="AE108" s="46">
        <v>45503</v>
      </c>
      <c r="AF108" s="49">
        <v>45504</v>
      </c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18">
        <v>39828.819999999985</v>
      </c>
      <c r="C109" s="14">
        <v>39850.419999999984</v>
      </c>
      <c r="D109" s="14">
        <v>39867.799999999981</v>
      </c>
      <c r="E109" s="14">
        <v>39888.129999999983</v>
      </c>
      <c r="F109" s="14">
        <v>39908.089999999982</v>
      </c>
      <c r="G109" s="14">
        <v>39914.559999999983</v>
      </c>
      <c r="H109" s="14">
        <v>39936.119999999981</v>
      </c>
      <c r="I109" s="14">
        <v>39955.89999999998</v>
      </c>
      <c r="J109" s="14">
        <v>39974.239999999976</v>
      </c>
      <c r="K109" s="14">
        <v>39994.539999999979</v>
      </c>
      <c r="L109" s="14">
        <v>40015.07999999998</v>
      </c>
      <c r="M109" s="14">
        <v>40015.07999999998</v>
      </c>
      <c r="N109" s="14">
        <v>40015.07999999998</v>
      </c>
      <c r="O109" s="14">
        <v>40015.07999999998</v>
      </c>
      <c r="P109" s="14">
        <v>40015.07999999998</v>
      </c>
      <c r="Q109" s="14">
        <v>40026.159999999982</v>
      </c>
      <c r="R109" s="14">
        <v>40041.349999999984</v>
      </c>
      <c r="S109" s="14">
        <v>40058.029999999984</v>
      </c>
      <c r="T109" s="14">
        <v>40079.449999999983</v>
      </c>
      <c r="U109" s="14">
        <v>40100.969999999979</v>
      </c>
      <c r="V109" s="14">
        <v>40123.14999999998</v>
      </c>
      <c r="W109" s="14">
        <v>40143.219999999979</v>
      </c>
      <c r="X109" s="14">
        <v>40163.679999999978</v>
      </c>
      <c r="Y109" s="14">
        <v>40183.729999999981</v>
      </c>
      <c r="Z109" s="14">
        <v>40204.739999999983</v>
      </c>
      <c r="AA109" s="14">
        <v>40224.489999999983</v>
      </c>
      <c r="AB109" s="14">
        <v>40241.899999999987</v>
      </c>
      <c r="AC109" s="14">
        <v>40252.179999999986</v>
      </c>
      <c r="AD109" s="14">
        <v>40273.399999999987</v>
      </c>
      <c r="AE109" s="14">
        <v>40291.969999999987</v>
      </c>
      <c r="AF109" s="22">
        <v>40311.709999999985</v>
      </c>
      <c r="AG109" s="51">
        <f t="shared" ref="AG109:AG124" si="4">MAX(B109:AF109)</f>
        <v>40311.709999999985</v>
      </c>
      <c r="AH109" s="44">
        <v>39827.18</v>
      </c>
    </row>
    <row r="110" spans="1:34" x14ac:dyDescent="0.35">
      <c r="A110" s="26" t="s">
        <v>114</v>
      </c>
      <c r="B110" s="19">
        <v>40041.570000000116</v>
      </c>
      <c r="C110" s="2">
        <v>40061.860000000117</v>
      </c>
      <c r="D110" s="2">
        <v>40069.310000000114</v>
      </c>
      <c r="E110" s="2">
        <v>40091.120000000112</v>
      </c>
      <c r="F110" s="2">
        <v>40112.700000000114</v>
      </c>
      <c r="G110" s="2">
        <v>40134.380000000114</v>
      </c>
      <c r="H110" s="2">
        <v>40156.140000000116</v>
      </c>
      <c r="I110" s="2">
        <v>40177.150000000118</v>
      </c>
      <c r="J110" s="2">
        <v>40196.290000000117</v>
      </c>
      <c r="K110" s="2">
        <v>40218.02000000012</v>
      </c>
      <c r="L110" s="2">
        <v>40229.450000000121</v>
      </c>
      <c r="M110" s="2">
        <v>40250.400000000118</v>
      </c>
      <c r="N110" s="2">
        <v>40272.260000000118</v>
      </c>
      <c r="O110" s="2">
        <v>40284.720000000118</v>
      </c>
      <c r="P110" s="2">
        <v>40287.130000000121</v>
      </c>
      <c r="Q110" s="2">
        <v>40308.84000000012</v>
      </c>
      <c r="R110" s="2">
        <v>40330.420000000122</v>
      </c>
      <c r="S110" s="2">
        <v>40351.550000000119</v>
      </c>
      <c r="T110" s="2">
        <v>40373.640000000116</v>
      </c>
      <c r="U110" s="2">
        <v>40394.020000000113</v>
      </c>
      <c r="V110" s="2">
        <v>40409.800000000112</v>
      </c>
      <c r="W110" s="2">
        <v>40431.36000000011</v>
      </c>
      <c r="X110" s="2">
        <v>40446.940000000111</v>
      </c>
      <c r="Y110" s="2">
        <v>40467.410000000113</v>
      </c>
      <c r="Z110" s="2">
        <v>40489.130000000114</v>
      </c>
      <c r="AA110" s="2">
        <v>40510.780000000115</v>
      </c>
      <c r="AB110" s="2">
        <v>40525.330000000118</v>
      </c>
      <c r="AC110" s="2">
        <v>40536.59000000012</v>
      </c>
      <c r="AD110" s="2">
        <v>40549.880000000121</v>
      </c>
      <c r="AE110" s="2">
        <v>40571.550000000119</v>
      </c>
      <c r="AF110" s="7">
        <v>40593.180000000117</v>
      </c>
      <c r="AG110" s="51">
        <f t="shared" si="4"/>
        <v>40593.180000000117</v>
      </c>
      <c r="AH110" s="44">
        <v>40020.25</v>
      </c>
    </row>
    <row r="111" spans="1:34" x14ac:dyDescent="0.35">
      <c r="A111" s="26" t="s">
        <v>115</v>
      </c>
      <c r="B111" s="19">
        <v>35562.170000000006</v>
      </c>
      <c r="C111" s="2">
        <v>35562.170000000006</v>
      </c>
      <c r="D111" s="2">
        <v>35562.170000000006</v>
      </c>
      <c r="E111" s="2">
        <v>35562.170000000006</v>
      </c>
      <c r="F111" s="2">
        <v>35584.070000000007</v>
      </c>
      <c r="G111" s="2">
        <v>35584.070000000007</v>
      </c>
      <c r="H111" s="2">
        <v>35584.070000000007</v>
      </c>
      <c r="I111" s="2">
        <v>35584.070000000007</v>
      </c>
      <c r="J111" s="2">
        <v>35584.070000000007</v>
      </c>
      <c r="K111" s="2">
        <v>35595.830000000009</v>
      </c>
      <c r="L111" s="2">
        <v>35604.400000000009</v>
      </c>
      <c r="M111" s="2">
        <v>35619.290000000008</v>
      </c>
      <c r="N111" s="2">
        <v>35632.880000000005</v>
      </c>
      <c r="O111" s="2">
        <v>35653.65</v>
      </c>
      <c r="P111" s="2">
        <v>35670.78</v>
      </c>
      <c r="Q111" s="2">
        <v>35690.6</v>
      </c>
      <c r="R111" s="2">
        <v>35711.619999999995</v>
      </c>
      <c r="S111" s="2">
        <v>35732.049999999996</v>
      </c>
      <c r="T111" s="2">
        <v>35753.189999999995</v>
      </c>
      <c r="U111" s="2">
        <v>35771.089999999997</v>
      </c>
      <c r="V111" s="2">
        <v>35792.859999999993</v>
      </c>
      <c r="W111" s="2">
        <v>35806.269999999997</v>
      </c>
      <c r="X111" s="2">
        <v>35826.68</v>
      </c>
      <c r="Y111" s="2">
        <v>35846.699999999997</v>
      </c>
      <c r="Z111" s="2">
        <v>35867.129999999997</v>
      </c>
      <c r="AA111" s="2">
        <v>35887.81</v>
      </c>
      <c r="AB111" s="2">
        <v>35909.369999999995</v>
      </c>
      <c r="AC111" s="2">
        <v>35930.369999999995</v>
      </c>
      <c r="AD111" s="2">
        <v>35952.209999999992</v>
      </c>
      <c r="AE111" s="2">
        <v>35971.099999999991</v>
      </c>
      <c r="AF111" s="7">
        <v>35987.849999999991</v>
      </c>
      <c r="AG111" s="51">
        <f t="shared" si="4"/>
        <v>35987.849999999991</v>
      </c>
      <c r="AH111" s="44">
        <v>35556.31</v>
      </c>
    </row>
    <row r="112" spans="1:34" x14ac:dyDescent="0.35">
      <c r="A112" s="26" t="s">
        <v>116</v>
      </c>
      <c r="B112" s="19">
        <v>35347.059999999939</v>
      </c>
      <c r="C112" s="2">
        <v>35368.129999999939</v>
      </c>
      <c r="D112" s="2">
        <v>35387.199999999939</v>
      </c>
      <c r="E112" s="2">
        <v>35409.119999999937</v>
      </c>
      <c r="F112" s="2">
        <v>35409.119999999937</v>
      </c>
      <c r="G112" s="2">
        <v>35430.809999999939</v>
      </c>
      <c r="H112" s="2">
        <v>35452.34999999994</v>
      </c>
      <c r="I112" s="2">
        <v>35473.649999999943</v>
      </c>
      <c r="J112" s="2">
        <v>35494.959999999941</v>
      </c>
      <c r="K112" s="2">
        <v>35516.529999999941</v>
      </c>
      <c r="L112" s="2">
        <v>35532.609999999942</v>
      </c>
      <c r="M112" s="2">
        <v>35546.589999999946</v>
      </c>
      <c r="N112" s="2">
        <v>35564.359999999942</v>
      </c>
      <c r="O112" s="2">
        <v>35585.709999999941</v>
      </c>
      <c r="P112" s="2">
        <v>35607.379999999939</v>
      </c>
      <c r="Q112" s="2">
        <v>35621.91999999994</v>
      </c>
      <c r="R112" s="2">
        <v>35634.809999999939</v>
      </c>
      <c r="S112" s="2">
        <v>35656.459999999941</v>
      </c>
      <c r="T112" s="2">
        <v>35672.929999999942</v>
      </c>
      <c r="U112" s="2">
        <v>35694.59999999994</v>
      </c>
      <c r="V112" s="2">
        <v>35714.199999999939</v>
      </c>
      <c r="W112" s="2">
        <v>35734.309999999939</v>
      </c>
      <c r="X112" s="2">
        <v>35755.939999999937</v>
      </c>
      <c r="Y112" s="2">
        <v>35777.249999999935</v>
      </c>
      <c r="Z112" s="2">
        <v>35798.919999999933</v>
      </c>
      <c r="AA112" s="2">
        <v>35819.919999999933</v>
      </c>
      <c r="AB112" s="2">
        <v>35837.889999999934</v>
      </c>
      <c r="AC112" s="2">
        <v>35859.139999999934</v>
      </c>
      <c r="AD112" s="2">
        <v>35879.889999999934</v>
      </c>
      <c r="AE112" s="2">
        <v>35891.249999999935</v>
      </c>
      <c r="AF112" s="7">
        <v>35912.689999999937</v>
      </c>
      <c r="AG112" s="51">
        <f t="shared" si="4"/>
        <v>35912.689999999937</v>
      </c>
      <c r="AH112" s="44">
        <v>35325.69</v>
      </c>
    </row>
    <row r="113" spans="1:34" x14ac:dyDescent="0.35">
      <c r="A113" s="26" t="s">
        <v>117</v>
      </c>
      <c r="B113" s="19">
        <v>34394.039999999994</v>
      </c>
      <c r="C113" s="2">
        <v>34416.029999999992</v>
      </c>
      <c r="D113" s="2">
        <v>34437.939999999995</v>
      </c>
      <c r="E113" s="2">
        <v>34460.209999999992</v>
      </c>
      <c r="F113" s="2">
        <v>34481.349999999991</v>
      </c>
      <c r="G113" s="2">
        <v>34503.119999999988</v>
      </c>
      <c r="H113" s="2">
        <v>34524.719999999987</v>
      </c>
      <c r="I113" s="2">
        <v>34546.579999999987</v>
      </c>
      <c r="J113" s="2">
        <v>34565.05999999999</v>
      </c>
      <c r="K113" s="2">
        <v>34585.459999999992</v>
      </c>
      <c r="L113" s="2">
        <v>34598.929999999993</v>
      </c>
      <c r="M113" s="2">
        <v>34617.229999999996</v>
      </c>
      <c r="N113" s="2">
        <v>34631.1</v>
      </c>
      <c r="O113" s="2">
        <v>34642.86</v>
      </c>
      <c r="P113" s="2">
        <v>34658.559999999998</v>
      </c>
      <c r="Q113" s="2">
        <v>34680.229999999996</v>
      </c>
      <c r="R113" s="2">
        <v>34701.539999999994</v>
      </c>
      <c r="S113" s="2">
        <v>34721.519999999997</v>
      </c>
      <c r="T113" s="2">
        <v>34741</v>
      </c>
      <c r="U113" s="2">
        <v>34757.14</v>
      </c>
      <c r="V113" s="2">
        <v>34766.65</v>
      </c>
      <c r="W113" s="2">
        <v>34787.32</v>
      </c>
      <c r="X113" s="2">
        <v>34807.83</v>
      </c>
      <c r="Y113" s="2">
        <v>34829.480000000003</v>
      </c>
      <c r="Z113" s="2">
        <v>34841.11</v>
      </c>
      <c r="AA113" s="2">
        <v>34856.36</v>
      </c>
      <c r="AB113" s="2">
        <v>34872.86</v>
      </c>
      <c r="AC113" s="2">
        <v>34891.1</v>
      </c>
      <c r="AD113" s="2">
        <v>34912.080000000002</v>
      </c>
      <c r="AE113" s="2">
        <v>34923.78</v>
      </c>
      <c r="AF113" s="7">
        <v>34945.409999999996</v>
      </c>
      <c r="AG113" s="51">
        <f t="shared" si="4"/>
        <v>34945.409999999996</v>
      </c>
      <c r="AH113" s="44">
        <v>34388.370000000003</v>
      </c>
    </row>
    <row r="114" spans="1:34" x14ac:dyDescent="0.35">
      <c r="A114" s="26" t="s">
        <v>118</v>
      </c>
      <c r="B114" s="19">
        <v>26096.840000000018</v>
      </c>
      <c r="C114" s="2">
        <v>26118.540000000019</v>
      </c>
      <c r="D114" s="2">
        <v>26138.690000000021</v>
      </c>
      <c r="E114" s="2">
        <v>26160.030000000021</v>
      </c>
      <c r="F114" s="2">
        <v>26181.120000000021</v>
      </c>
      <c r="G114" s="2">
        <v>26202.690000000021</v>
      </c>
      <c r="H114" s="2">
        <v>26223.800000000021</v>
      </c>
      <c r="I114" s="2">
        <v>26245.190000000021</v>
      </c>
      <c r="J114" s="2">
        <v>26263.270000000022</v>
      </c>
      <c r="K114" s="2">
        <v>26282.260000000024</v>
      </c>
      <c r="L114" s="2">
        <v>26303.350000000024</v>
      </c>
      <c r="M114" s="2">
        <v>26324.280000000024</v>
      </c>
      <c r="N114" s="2">
        <v>26344.940000000024</v>
      </c>
      <c r="O114" s="2">
        <v>26365.720000000023</v>
      </c>
      <c r="P114" s="2">
        <v>26385.340000000022</v>
      </c>
      <c r="Q114" s="2">
        <v>26401.170000000024</v>
      </c>
      <c r="R114" s="2">
        <v>26422.440000000024</v>
      </c>
      <c r="S114" s="2">
        <v>26433.270000000026</v>
      </c>
      <c r="T114" s="2">
        <v>26433.270000000026</v>
      </c>
      <c r="U114" s="2">
        <v>26441.610000000026</v>
      </c>
      <c r="V114" s="2">
        <v>26460.820000000025</v>
      </c>
      <c r="W114" s="2">
        <v>26474.860000000026</v>
      </c>
      <c r="X114" s="2">
        <v>26496.410000000025</v>
      </c>
      <c r="Y114" s="2">
        <v>26517.880000000026</v>
      </c>
      <c r="Z114" s="2">
        <v>26527.430000000026</v>
      </c>
      <c r="AA114" s="2">
        <v>26548.030000000024</v>
      </c>
      <c r="AB114" s="2">
        <v>26561.220000000023</v>
      </c>
      <c r="AC114" s="2">
        <v>26573.970000000023</v>
      </c>
      <c r="AD114" s="2">
        <v>26591.420000000024</v>
      </c>
      <c r="AE114" s="2">
        <v>26608.600000000024</v>
      </c>
      <c r="AF114" s="7">
        <v>26626.640000000025</v>
      </c>
      <c r="AG114" s="51">
        <f t="shared" si="4"/>
        <v>26626.640000000025</v>
      </c>
      <c r="AH114" s="44">
        <v>26075.39</v>
      </c>
    </row>
    <row r="115" spans="1:34" x14ac:dyDescent="0.35">
      <c r="A115" s="26" t="s">
        <v>119</v>
      </c>
      <c r="B115" s="19">
        <v>24875.24</v>
      </c>
      <c r="C115" s="2">
        <v>24896.640000000003</v>
      </c>
      <c r="D115" s="2">
        <v>24917.74</v>
      </c>
      <c r="E115" s="2">
        <v>24939.030000000002</v>
      </c>
      <c r="F115" s="2">
        <v>24960.58</v>
      </c>
      <c r="G115" s="2">
        <v>24980.460000000003</v>
      </c>
      <c r="H115" s="2">
        <v>24998.290000000005</v>
      </c>
      <c r="I115" s="2">
        <v>25009.080000000005</v>
      </c>
      <c r="J115" s="2">
        <v>25018.410000000007</v>
      </c>
      <c r="K115" s="2">
        <v>25039.870000000006</v>
      </c>
      <c r="L115" s="2">
        <v>25061.100000000006</v>
      </c>
      <c r="M115" s="2">
        <v>25082.370000000006</v>
      </c>
      <c r="N115" s="2">
        <v>25098.710000000006</v>
      </c>
      <c r="O115" s="2">
        <v>25118.340000000007</v>
      </c>
      <c r="P115" s="2">
        <v>25135.250000000007</v>
      </c>
      <c r="Q115" s="2">
        <v>25152.880000000008</v>
      </c>
      <c r="R115" s="2">
        <v>25156.980000000007</v>
      </c>
      <c r="S115" s="2">
        <v>25173.320000000007</v>
      </c>
      <c r="T115" s="2">
        <v>25195.080000000005</v>
      </c>
      <c r="U115" s="2">
        <v>25216.190000000006</v>
      </c>
      <c r="V115" s="2">
        <v>25234.110000000004</v>
      </c>
      <c r="W115" s="2">
        <v>25254.940000000006</v>
      </c>
      <c r="X115" s="2">
        <v>25276.120000000006</v>
      </c>
      <c r="Y115" s="2">
        <v>25297.290000000005</v>
      </c>
      <c r="Z115" s="2">
        <v>25315.970000000005</v>
      </c>
      <c r="AA115" s="2">
        <v>25331.420000000006</v>
      </c>
      <c r="AB115" s="2">
        <v>25352.420000000006</v>
      </c>
      <c r="AC115" s="2">
        <v>25372.170000000006</v>
      </c>
      <c r="AD115" s="2">
        <v>25393.480000000007</v>
      </c>
      <c r="AE115" s="2">
        <v>25414.170000000006</v>
      </c>
      <c r="AF115" s="7">
        <v>25425.030000000006</v>
      </c>
      <c r="AG115" s="51">
        <f t="shared" si="4"/>
        <v>25425.030000000006</v>
      </c>
      <c r="AH115" s="44">
        <v>24853.59</v>
      </c>
    </row>
    <row r="116" spans="1:34" x14ac:dyDescent="0.35">
      <c r="A116" s="26" t="s">
        <v>120</v>
      </c>
      <c r="B116" s="19">
        <v>25292.740000000034</v>
      </c>
      <c r="C116" s="2">
        <v>25309.970000000034</v>
      </c>
      <c r="D116" s="2">
        <v>25327.310000000034</v>
      </c>
      <c r="E116" s="2">
        <v>25327.310000000034</v>
      </c>
      <c r="F116" s="2">
        <v>25327.310000000034</v>
      </c>
      <c r="G116" s="2">
        <v>25327.310000000034</v>
      </c>
      <c r="H116" s="2">
        <v>25327.310000000034</v>
      </c>
      <c r="I116" s="2">
        <v>25327.310000000034</v>
      </c>
      <c r="J116" s="2">
        <v>25327.310000000034</v>
      </c>
      <c r="K116" s="2">
        <v>25327.310000000034</v>
      </c>
      <c r="L116" s="2">
        <v>25327.310000000034</v>
      </c>
      <c r="M116" s="2">
        <v>25327.310000000034</v>
      </c>
      <c r="N116" s="2">
        <v>25327.310000000034</v>
      </c>
      <c r="O116" s="2">
        <v>25327.310000000034</v>
      </c>
      <c r="P116" s="2">
        <v>25327.310000000034</v>
      </c>
      <c r="Q116" s="2">
        <v>25327.310000000034</v>
      </c>
      <c r="R116" s="2">
        <v>25327.310000000034</v>
      </c>
      <c r="S116" s="2">
        <v>25327.310000000034</v>
      </c>
      <c r="T116" s="2">
        <v>25327.310000000034</v>
      </c>
      <c r="U116" s="2">
        <v>25327.310000000034</v>
      </c>
      <c r="V116" s="2">
        <v>25327.310000000034</v>
      </c>
      <c r="W116" s="2">
        <v>25327.310000000034</v>
      </c>
      <c r="X116" s="2">
        <v>25327.310000000034</v>
      </c>
      <c r="Y116" s="2">
        <v>25331.180000000033</v>
      </c>
      <c r="Z116" s="2">
        <v>25352.400000000034</v>
      </c>
      <c r="AA116" s="2">
        <v>25372.510000000035</v>
      </c>
      <c r="AB116" s="2">
        <v>25391.530000000035</v>
      </c>
      <c r="AC116" s="2">
        <v>25404.320000000036</v>
      </c>
      <c r="AD116" s="2">
        <v>25420.420000000035</v>
      </c>
      <c r="AE116" s="2">
        <v>25442.350000000035</v>
      </c>
      <c r="AF116" s="7">
        <v>25453.330000000034</v>
      </c>
      <c r="AG116" s="51">
        <f t="shared" si="4"/>
        <v>25453.330000000034</v>
      </c>
      <c r="AH116" s="44">
        <v>25271.919999999998</v>
      </c>
    </row>
    <row r="117" spans="1:34" x14ac:dyDescent="0.35">
      <c r="A117" s="26" t="s">
        <v>121</v>
      </c>
      <c r="B117" s="19">
        <v>24601.310000000009</v>
      </c>
      <c r="C117" s="2">
        <v>24613.610000000008</v>
      </c>
      <c r="D117" s="2">
        <v>24634.640000000007</v>
      </c>
      <c r="E117" s="2">
        <v>24656.010000000006</v>
      </c>
      <c r="F117" s="2">
        <v>24676.970000000005</v>
      </c>
      <c r="G117" s="2">
        <v>24698.000000000004</v>
      </c>
      <c r="H117" s="2">
        <v>24713.280000000002</v>
      </c>
      <c r="I117" s="2">
        <v>24733.45</v>
      </c>
      <c r="J117" s="2">
        <v>24753.93</v>
      </c>
      <c r="K117" s="2">
        <v>24775.43</v>
      </c>
      <c r="L117" s="2">
        <v>24795.69</v>
      </c>
      <c r="M117" s="2">
        <v>24816.43</v>
      </c>
      <c r="N117" s="2">
        <v>24832.03</v>
      </c>
      <c r="O117" s="2">
        <v>24853.19</v>
      </c>
      <c r="P117" s="2">
        <v>24873.739999999998</v>
      </c>
      <c r="Q117" s="2">
        <v>24895.489999999998</v>
      </c>
      <c r="R117" s="2">
        <v>24917.32</v>
      </c>
      <c r="S117" s="2">
        <v>24937.919999999998</v>
      </c>
      <c r="T117" s="2">
        <v>24958.769999999997</v>
      </c>
      <c r="U117" s="2">
        <v>24980.329999999998</v>
      </c>
      <c r="V117" s="2">
        <v>24999.46</v>
      </c>
      <c r="W117" s="2">
        <v>25019.62</v>
      </c>
      <c r="X117" s="2">
        <v>25040.93</v>
      </c>
      <c r="Y117" s="2">
        <v>25062.04</v>
      </c>
      <c r="Z117" s="2">
        <v>25082.240000000002</v>
      </c>
      <c r="AA117" s="2">
        <v>25095.43</v>
      </c>
      <c r="AB117" s="2">
        <v>25113.53</v>
      </c>
      <c r="AC117" s="2">
        <v>25134.789999999997</v>
      </c>
      <c r="AD117" s="2">
        <v>25156.639999999996</v>
      </c>
      <c r="AE117" s="2">
        <v>25175.289999999997</v>
      </c>
      <c r="AF117" s="7">
        <v>25196.999999999996</v>
      </c>
      <c r="AG117" s="51">
        <f t="shared" si="4"/>
        <v>25196.999999999996</v>
      </c>
      <c r="AH117" s="44">
        <v>24587.69</v>
      </c>
    </row>
    <row r="118" spans="1:34" x14ac:dyDescent="0.35">
      <c r="A118" s="26" t="s">
        <v>122</v>
      </c>
      <c r="B118" s="19">
        <v>6565.399999999996</v>
      </c>
      <c r="C118" s="2">
        <v>6586.7499999999964</v>
      </c>
      <c r="D118" s="2">
        <v>6608.1799999999967</v>
      </c>
      <c r="E118" s="2">
        <v>6629.6799999999967</v>
      </c>
      <c r="F118" s="2">
        <v>6651.3399999999965</v>
      </c>
      <c r="G118" s="2">
        <v>6673.0899999999965</v>
      </c>
      <c r="H118" s="2">
        <v>6694.8899999999967</v>
      </c>
      <c r="I118" s="2">
        <v>6716.8699999999963</v>
      </c>
      <c r="J118" s="2">
        <v>6736.9599999999964</v>
      </c>
      <c r="K118" s="2">
        <v>6758.5899999999965</v>
      </c>
      <c r="L118" s="2">
        <v>6780.4699999999966</v>
      </c>
      <c r="M118" s="2">
        <v>6794.0199999999968</v>
      </c>
      <c r="N118" s="2">
        <v>6801.9099999999971</v>
      </c>
      <c r="O118" s="2">
        <v>6822.779999999997</v>
      </c>
      <c r="P118" s="2">
        <v>6842.0799999999972</v>
      </c>
      <c r="Q118" s="2">
        <v>6863.6199999999972</v>
      </c>
      <c r="R118" s="2">
        <v>6885.4899999999971</v>
      </c>
      <c r="S118" s="2">
        <v>6907.4299999999967</v>
      </c>
      <c r="T118" s="2">
        <v>6929.0899999999965</v>
      </c>
      <c r="U118" s="2">
        <v>6951.1299999999965</v>
      </c>
      <c r="V118" s="2">
        <v>6972.8999999999969</v>
      </c>
      <c r="W118" s="2">
        <v>6994.3299999999972</v>
      </c>
      <c r="X118" s="2">
        <v>7013.5499999999975</v>
      </c>
      <c r="Y118" s="2">
        <v>7034.3699999999972</v>
      </c>
      <c r="Z118" s="2">
        <v>7055.8099999999968</v>
      </c>
      <c r="AA118" s="2">
        <v>7076.7399999999971</v>
      </c>
      <c r="AB118" s="2">
        <v>7088.6799999999967</v>
      </c>
      <c r="AC118" s="2">
        <v>7109.6499999999969</v>
      </c>
      <c r="AD118" s="2">
        <v>7130.819999999997</v>
      </c>
      <c r="AE118" s="2">
        <v>7151.9699999999966</v>
      </c>
      <c r="AF118" s="7">
        <v>7173.5499999999965</v>
      </c>
      <c r="AG118" s="51">
        <f t="shared" si="4"/>
        <v>7173.5499999999965</v>
      </c>
      <c r="AH118" s="44">
        <v>6544.1</v>
      </c>
    </row>
    <row r="119" spans="1:34" x14ac:dyDescent="0.35">
      <c r="A119" s="26" t="s">
        <v>123</v>
      </c>
      <c r="B119" s="19">
        <v>6894.9400000000032</v>
      </c>
      <c r="C119" s="2">
        <v>6915.8900000000031</v>
      </c>
      <c r="D119" s="2">
        <v>6936.9000000000033</v>
      </c>
      <c r="E119" s="2">
        <v>6958.4400000000032</v>
      </c>
      <c r="F119" s="2">
        <v>6979.1000000000031</v>
      </c>
      <c r="G119" s="2">
        <v>7000.0300000000034</v>
      </c>
      <c r="H119" s="2">
        <v>7020.5700000000033</v>
      </c>
      <c r="I119" s="2">
        <v>7042.1700000000037</v>
      </c>
      <c r="J119" s="2">
        <v>7062.2500000000036</v>
      </c>
      <c r="K119" s="2">
        <v>7084.0100000000039</v>
      </c>
      <c r="L119" s="2">
        <v>7106.1700000000037</v>
      </c>
      <c r="M119" s="2">
        <v>7123.9200000000037</v>
      </c>
      <c r="N119" s="2">
        <v>7145.2800000000034</v>
      </c>
      <c r="O119" s="2">
        <v>7166.5900000000038</v>
      </c>
      <c r="P119" s="2">
        <v>7186.9300000000039</v>
      </c>
      <c r="Q119" s="2">
        <v>7206.890000000004</v>
      </c>
      <c r="R119" s="2">
        <v>7227.2400000000043</v>
      </c>
      <c r="S119" s="2">
        <v>7244.390000000004</v>
      </c>
      <c r="T119" s="2">
        <v>7265.9500000000044</v>
      </c>
      <c r="U119" s="2">
        <v>7280.2500000000045</v>
      </c>
      <c r="V119" s="2">
        <v>7280.2500000000045</v>
      </c>
      <c r="W119" s="2">
        <v>7287.7300000000041</v>
      </c>
      <c r="X119" s="2">
        <v>7308.6700000000037</v>
      </c>
      <c r="Y119" s="2">
        <v>7327.2000000000035</v>
      </c>
      <c r="Z119" s="2">
        <v>7348.6500000000033</v>
      </c>
      <c r="AA119" s="2">
        <v>7369.8700000000035</v>
      </c>
      <c r="AB119" s="2">
        <v>7391.0300000000034</v>
      </c>
      <c r="AC119" s="2">
        <v>7412.5100000000029</v>
      </c>
      <c r="AD119" s="2">
        <v>7431.8700000000026</v>
      </c>
      <c r="AE119" s="2">
        <v>7453.5000000000027</v>
      </c>
      <c r="AF119" s="7">
        <v>7475.180000000003</v>
      </c>
      <c r="AG119" s="51">
        <f t="shared" si="4"/>
        <v>7475.180000000003</v>
      </c>
      <c r="AH119" s="44">
        <v>6873.65</v>
      </c>
    </row>
    <row r="120" spans="1:34" x14ac:dyDescent="0.35">
      <c r="A120" s="26" t="s">
        <v>124</v>
      </c>
      <c r="B120" s="19">
        <v>6315.4699999999957</v>
      </c>
      <c r="C120" s="2">
        <v>6329.2599999999957</v>
      </c>
      <c r="D120" s="2">
        <v>6346.9699999999957</v>
      </c>
      <c r="E120" s="2">
        <v>6368.6999999999953</v>
      </c>
      <c r="F120" s="2">
        <v>6390.4599999999955</v>
      </c>
      <c r="G120" s="2">
        <v>6412.3799999999956</v>
      </c>
      <c r="H120" s="2">
        <v>6433.7399999999952</v>
      </c>
      <c r="I120" s="2">
        <v>6453.9399999999951</v>
      </c>
      <c r="J120" s="2">
        <v>6474.0999999999949</v>
      </c>
      <c r="K120" s="2">
        <v>6495.4199999999946</v>
      </c>
      <c r="L120" s="2">
        <v>6516.9599999999946</v>
      </c>
      <c r="M120" s="2">
        <v>6538.5299999999943</v>
      </c>
      <c r="N120" s="2">
        <v>6560.0199999999941</v>
      </c>
      <c r="O120" s="2">
        <v>6579.0399999999945</v>
      </c>
      <c r="P120" s="2">
        <v>6599.2899999999945</v>
      </c>
      <c r="Q120" s="2">
        <v>6605.7899999999945</v>
      </c>
      <c r="R120" s="2">
        <v>6627.1499999999942</v>
      </c>
      <c r="S120" s="2">
        <v>6648.2199999999939</v>
      </c>
      <c r="T120" s="2">
        <v>6666.809999999994</v>
      </c>
      <c r="U120" s="2">
        <v>6688.0899999999938</v>
      </c>
      <c r="V120" s="2">
        <v>6709.1099999999942</v>
      </c>
      <c r="W120" s="2">
        <v>6730.7599999999939</v>
      </c>
      <c r="X120" s="2">
        <v>6752.1199999999935</v>
      </c>
      <c r="Y120" s="2">
        <v>6773.0599999999931</v>
      </c>
      <c r="Z120" s="2">
        <v>6794.219999999993</v>
      </c>
      <c r="AA120" s="2">
        <v>6815.2399999999934</v>
      </c>
      <c r="AB120" s="2">
        <v>6836.6899999999932</v>
      </c>
      <c r="AC120" s="2">
        <v>6851.6299999999928</v>
      </c>
      <c r="AD120" s="2">
        <v>6858.6999999999925</v>
      </c>
      <c r="AE120" s="2">
        <v>6876.4499999999925</v>
      </c>
      <c r="AF120" s="7">
        <v>6880.7699999999923</v>
      </c>
      <c r="AG120" s="51">
        <f t="shared" si="4"/>
        <v>6880.7699999999923</v>
      </c>
      <c r="AH120" s="44">
        <v>6294.71</v>
      </c>
    </row>
    <row r="121" spans="1:34" x14ac:dyDescent="0.35">
      <c r="A121" s="26" t="s">
        <v>125</v>
      </c>
      <c r="B121" s="19">
        <v>4699.2400000000007</v>
      </c>
      <c r="C121" s="2">
        <v>4720.7800000000007</v>
      </c>
      <c r="D121" s="2">
        <v>4741.7000000000007</v>
      </c>
      <c r="E121" s="2">
        <v>4758.8500000000004</v>
      </c>
      <c r="F121" s="2">
        <v>4780.6600000000008</v>
      </c>
      <c r="G121" s="2">
        <v>4802.2300000000005</v>
      </c>
      <c r="H121" s="2">
        <v>4823.6500000000005</v>
      </c>
      <c r="I121" s="2">
        <v>4843.8</v>
      </c>
      <c r="J121" s="2">
        <v>4864.28</v>
      </c>
      <c r="K121" s="2">
        <v>4885.08</v>
      </c>
      <c r="L121" s="2">
        <v>4906.8900000000003</v>
      </c>
      <c r="M121" s="2">
        <v>4928.75</v>
      </c>
      <c r="N121" s="2">
        <v>4950.1899999999996</v>
      </c>
      <c r="O121" s="2">
        <v>4971.6699999999992</v>
      </c>
      <c r="P121" s="2">
        <v>4992.4499999999989</v>
      </c>
      <c r="Q121" s="2">
        <v>5013.6999999999989</v>
      </c>
      <c r="R121" s="2">
        <v>5035.1899999999987</v>
      </c>
      <c r="S121" s="2">
        <v>5056.8399999999983</v>
      </c>
      <c r="T121" s="2">
        <v>5078.2499999999982</v>
      </c>
      <c r="U121" s="2">
        <v>5100.0099999999984</v>
      </c>
      <c r="V121" s="2">
        <v>5121.3499999999985</v>
      </c>
      <c r="W121" s="2">
        <v>5142.0899999999983</v>
      </c>
      <c r="X121" s="2">
        <v>5163.8599999999988</v>
      </c>
      <c r="Y121" s="2">
        <v>5182.8499999999985</v>
      </c>
      <c r="Z121" s="2">
        <v>5182.8499999999985</v>
      </c>
      <c r="AA121" s="2">
        <v>5197.4299999999985</v>
      </c>
      <c r="AB121" s="2">
        <v>5218.2099999999982</v>
      </c>
      <c r="AC121" s="2">
        <v>5238.3999999999978</v>
      </c>
      <c r="AD121" s="2">
        <v>5260.0699999999979</v>
      </c>
      <c r="AE121" s="2">
        <v>5281.6199999999981</v>
      </c>
      <c r="AF121" s="7">
        <v>5303.3499999999976</v>
      </c>
      <c r="AG121" s="51">
        <f t="shared" si="4"/>
        <v>5303.3499999999976</v>
      </c>
      <c r="AH121" s="44">
        <v>4684.6899999999996</v>
      </c>
    </row>
    <row r="122" spans="1:34" x14ac:dyDescent="0.35">
      <c r="A122" s="26" t="s">
        <v>126</v>
      </c>
      <c r="B122" s="19">
        <v>5871.0399999999972</v>
      </c>
      <c r="C122" s="2">
        <v>5892.4299999999976</v>
      </c>
      <c r="D122" s="2">
        <v>5913.0799999999972</v>
      </c>
      <c r="E122" s="2">
        <v>5934.7299999999968</v>
      </c>
      <c r="F122" s="2">
        <v>5949.3399999999965</v>
      </c>
      <c r="G122" s="2">
        <v>5965.8299999999963</v>
      </c>
      <c r="H122" s="2">
        <v>5983.4199999999964</v>
      </c>
      <c r="I122" s="2">
        <v>5994.4299999999967</v>
      </c>
      <c r="J122" s="2">
        <v>6014.0799999999963</v>
      </c>
      <c r="K122" s="2">
        <v>6022.2799999999961</v>
      </c>
      <c r="L122" s="2">
        <v>6037.5599999999959</v>
      </c>
      <c r="M122" s="2">
        <v>6059.2799999999961</v>
      </c>
      <c r="N122" s="2">
        <v>6081.1699999999964</v>
      </c>
      <c r="O122" s="2">
        <v>6102.5399999999963</v>
      </c>
      <c r="P122" s="2">
        <v>6122.3899999999967</v>
      </c>
      <c r="Q122" s="2">
        <v>6141.8099999999968</v>
      </c>
      <c r="R122" s="2">
        <v>6153.1799999999967</v>
      </c>
      <c r="S122" s="2">
        <v>6174.7499999999964</v>
      </c>
      <c r="T122" s="2">
        <v>6191.5599999999968</v>
      </c>
      <c r="U122" s="2">
        <v>6213.529999999997</v>
      </c>
      <c r="V122" s="2">
        <v>6234.3999999999969</v>
      </c>
      <c r="W122" s="2">
        <v>6252.1099999999969</v>
      </c>
      <c r="X122" s="2">
        <v>6261.6799999999967</v>
      </c>
      <c r="Y122" s="2">
        <v>6282.6199999999963</v>
      </c>
      <c r="Z122" s="2">
        <v>6303.399999999996</v>
      </c>
      <c r="AA122" s="2">
        <v>6324.2999999999956</v>
      </c>
      <c r="AB122" s="2">
        <v>6345.4799999999959</v>
      </c>
      <c r="AC122" s="2">
        <v>6366.5999999999958</v>
      </c>
      <c r="AD122" s="2">
        <v>6386.649999999996</v>
      </c>
      <c r="AE122" s="2">
        <v>6408.3899999999958</v>
      </c>
      <c r="AF122" s="7">
        <v>6428.4999999999955</v>
      </c>
      <c r="AG122" s="51">
        <f t="shared" si="4"/>
        <v>6428.4999999999955</v>
      </c>
      <c r="AH122" s="44">
        <v>5850.82</v>
      </c>
    </row>
    <row r="123" spans="1:34" x14ac:dyDescent="0.35">
      <c r="A123" s="26" t="s">
        <v>127</v>
      </c>
      <c r="B123" s="19">
        <v>6031.1899999999978</v>
      </c>
      <c r="C123" s="2">
        <v>6052.739999999998</v>
      </c>
      <c r="D123" s="2">
        <v>6070.2999999999984</v>
      </c>
      <c r="E123" s="2">
        <v>6092.1399999999985</v>
      </c>
      <c r="F123" s="2">
        <v>6113.8599999999988</v>
      </c>
      <c r="G123" s="2">
        <v>6135.1399999999985</v>
      </c>
      <c r="H123" s="2">
        <v>6153.7799999999988</v>
      </c>
      <c r="I123" s="2">
        <v>6164.3199999999988</v>
      </c>
      <c r="J123" s="2">
        <v>6185.1999999999989</v>
      </c>
      <c r="K123" s="2">
        <v>6206.7699999999986</v>
      </c>
      <c r="L123" s="2">
        <v>6228.3199999999988</v>
      </c>
      <c r="M123" s="2">
        <v>6245.9699999999984</v>
      </c>
      <c r="N123" s="2">
        <v>6264.909999999998</v>
      </c>
      <c r="O123" s="2">
        <v>6285.2099999999982</v>
      </c>
      <c r="P123" s="2">
        <v>6303.2199999999984</v>
      </c>
      <c r="Q123" s="2">
        <v>6312.4699999999984</v>
      </c>
      <c r="R123" s="2">
        <v>6334.1299999999983</v>
      </c>
      <c r="S123" s="2">
        <v>6355.8899999999985</v>
      </c>
      <c r="T123" s="2">
        <v>6377.5199999999986</v>
      </c>
      <c r="U123" s="2">
        <v>6398.7799999999988</v>
      </c>
      <c r="V123" s="2">
        <v>6420.3399999999992</v>
      </c>
      <c r="W123" s="2">
        <v>6440.5199999999995</v>
      </c>
      <c r="X123" s="2">
        <v>6454.48</v>
      </c>
      <c r="Y123" s="2">
        <v>6468.94</v>
      </c>
      <c r="Z123" s="2">
        <v>6490.36</v>
      </c>
      <c r="AA123" s="2">
        <v>6510.4299999999994</v>
      </c>
      <c r="AB123" s="2">
        <v>6531.7899999999991</v>
      </c>
      <c r="AC123" s="2">
        <v>6552.8899999999994</v>
      </c>
      <c r="AD123" s="2">
        <v>6572.73</v>
      </c>
      <c r="AE123" s="2">
        <v>6592.87</v>
      </c>
      <c r="AF123" s="7">
        <v>6614.37</v>
      </c>
      <c r="AG123" s="51">
        <f t="shared" si="4"/>
        <v>6614.37</v>
      </c>
      <c r="AH123" s="44">
        <v>6010.54</v>
      </c>
    </row>
    <row r="124" spans="1:34" ht="15" thickBot="1" x14ac:dyDescent="0.4">
      <c r="A124" s="36" t="s">
        <v>128</v>
      </c>
      <c r="B124" s="20">
        <v>5791.9399999999941</v>
      </c>
      <c r="C124" s="4">
        <v>5813.0199999999941</v>
      </c>
      <c r="D124" s="4">
        <v>5833.9999999999936</v>
      </c>
      <c r="E124" s="4">
        <v>5856.059999999994</v>
      </c>
      <c r="F124" s="4">
        <v>5876.099999999994</v>
      </c>
      <c r="G124" s="4">
        <v>5897.7399999999943</v>
      </c>
      <c r="H124" s="4">
        <v>5918.9599999999946</v>
      </c>
      <c r="I124" s="4">
        <v>5940.9199999999946</v>
      </c>
      <c r="J124" s="4">
        <v>5959.8399999999947</v>
      </c>
      <c r="K124" s="4">
        <v>5980.1299999999947</v>
      </c>
      <c r="L124" s="4">
        <v>6000.3899999999949</v>
      </c>
      <c r="M124" s="4">
        <v>6021.8399999999947</v>
      </c>
      <c r="N124" s="4">
        <v>6043.5099999999948</v>
      </c>
      <c r="O124" s="4">
        <v>6055.7599999999948</v>
      </c>
      <c r="P124" s="4">
        <v>6060.8999999999951</v>
      </c>
      <c r="Q124" s="4">
        <v>6081.8199999999952</v>
      </c>
      <c r="R124" s="4">
        <v>6103.8999999999951</v>
      </c>
      <c r="S124" s="4">
        <v>6122.6799999999948</v>
      </c>
      <c r="T124" s="4">
        <v>6144.729999999995</v>
      </c>
      <c r="U124" s="4">
        <v>6167.0299999999952</v>
      </c>
      <c r="V124" s="4">
        <v>6189.1699999999955</v>
      </c>
      <c r="W124" s="4">
        <v>6203.6799999999957</v>
      </c>
      <c r="X124" s="4">
        <v>6225.0799999999954</v>
      </c>
      <c r="Y124" s="4">
        <v>6241.7899999999954</v>
      </c>
      <c r="Z124" s="4">
        <v>6255.4199999999955</v>
      </c>
      <c r="AA124" s="4">
        <v>6276.2999999999956</v>
      </c>
      <c r="AB124" s="4">
        <v>6297.3799999999956</v>
      </c>
      <c r="AC124" s="4">
        <v>6318.939999999996</v>
      </c>
      <c r="AD124" s="4">
        <v>6338.3499999999958</v>
      </c>
      <c r="AE124" s="4">
        <v>6359.5099999999957</v>
      </c>
      <c r="AF124" s="8">
        <v>6377.7599999999957</v>
      </c>
      <c r="AG124" s="52">
        <f t="shared" si="4"/>
        <v>6377.7599999999957</v>
      </c>
      <c r="AH124" s="44">
        <v>5770.71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45474</v>
      </c>
      <c r="C126" s="46">
        <v>45475</v>
      </c>
      <c r="D126" s="46">
        <v>45476</v>
      </c>
      <c r="E126" s="46">
        <v>45477</v>
      </c>
      <c r="F126" s="46">
        <v>45478</v>
      </c>
      <c r="G126" s="46">
        <v>45479</v>
      </c>
      <c r="H126" s="46">
        <v>45480</v>
      </c>
      <c r="I126" s="46">
        <v>45481</v>
      </c>
      <c r="J126" s="46">
        <v>45482</v>
      </c>
      <c r="K126" s="46">
        <v>45483</v>
      </c>
      <c r="L126" s="46">
        <v>45484</v>
      </c>
      <c r="M126" s="46">
        <v>45485</v>
      </c>
      <c r="N126" s="46">
        <v>45486</v>
      </c>
      <c r="O126" s="46">
        <v>45487</v>
      </c>
      <c r="P126" s="46">
        <v>45488</v>
      </c>
      <c r="Q126" s="46">
        <v>45489</v>
      </c>
      <c r="R126" s="46">
        <v>45490</v>
      </c>
      <c r="S126" s="46">
        <v>45491</v>
      </c>
      <c r="T126" s="46">
        <v>45492</v>
      </c>
      <c r="U126" s="46">
        <v>45493</v>
      </c>
      <c r="V126" s="46">
        <v>45494</v>
      </c>
      <c r="W126" s="46">
        <v>45495</v>
      </c>
      <c r="X126" s="46">
        <v>45496</v>
      </c>
      <c r="Y126" s="46">
        <v>45497</v>
      </c>
      <c r="Z126" s="46">
        <v>45498</v>
      </c>
      <c r="AA126" s="46">
        <v>45499</v>
      </c>
      <c r="AB126" s="46">
        <v>45500</v>
      </c>
      <c r="AC126" s="46">
        <v>45501</v>
      </c>
      <c r="AD126" s="46">
        <v>45502</v>
      </c>
      <c r="AE126" s="46">
        <v>45503</v>
      </c>
      <c r="AF126" s="46">
        <v>45504</v>
      </c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19">
        <v>87652.000000000015</v>
      </c>
      <c r="C127" s="2">
        <v>87652.000000000015</v>
      </c>
      <c r="D127" s="2">
        <v>87652.000000000015</v>
      </c>
      <c r="E127" s="2">
        <v>87652.000000000015</v>
      </c>
      <c r="F127" s="2">
        <v>87652.000000000015</v>
      </c>
      <c r="G127" s="2">
        <v>87652.000000000015</v>
      </c>
      <c r="H127" s="2">
        <v>87652.000000000015</v>
      </c>
      <c r="I127" s="2">
        <v>87652.000000000015</v>
      </c>
      <c r="J127" s="2">
        <v>87652.000000000015</v>
      </c>
      <c r="K127" s="2">
        <v>87652.000000000015</v>
      </c>
      <c r="L127" s="2">
        <v>87652.000000000015</v>
      </c>
      <c r="M127" s="2">
        <v>87652.000000000015</v>
      </c>
      <c r="N127" s="2">
        <v>87652.000000000015</v>
      </c>
      <c r="O127" s="2">
        <v>87652.000000000015</v>
      </c>
      <c r="P127" s="2">
        <v>87652.000000000015</v>
      </c>
      <c r="Q127" s="2">
        <v>87652.000000000015</v>
      </c>
      <c r="R127" s="2">
        <v>87652.000000000015</v>
      </c>
      <c r="S127" s="2">
        <v>87652.000000000015</v>
      </c>
      <c r="T127" s="2">
        <v>87652.000000000015</v>
      </c>
      <c r="U127" s="2">
        <v>87652.000000000015</v>
      </c>
      <c r="V127" s="2">
        <v>87652.000000000015</v>
      </c>
      <c r="W127" s="2">
        <v>87652.000000000015</v>
      </c>
      <c r="X127" s="2">
        <v>87652.000000000015</v>
      </c>
      <c r="Y127" s="2">
        <v>87652.000000000015</v>
      </c>
      <c r="Z127" s="2">
        <v>87652.000000000015</v>
      </c>
      <c r="AA127" s="2">
        <v>87652.000000000015</v>
      </c>
      <c r="AB127" s="2">
        <v>87652.000000000015</v>
      </c>
      <c r="AC127" s="2">
        <v>87652.000000000015</v>
      </c>
      <c r="AD127" s="2">
        <v>87652.000000000015</v>
      </c>
      <c r="AE127" s="2">
        <v>87652.000000000015</v>
      </c>
      <c r="AF127" s="7">
        <v>87652.000000000015</v>
      </c>
      <c r="AG127" s="54">
        <f t="shared" ref="AG127:AG163" si="5">MAX(B127:AF127)</f>
        <v>87652.000000000015</v>
      </c>
      <c r="AH127" s="44">
        <v>87652</v>
      </c>
    </row>
    <row r="128" spans="1:34" x14ac:dyDescent="0.35">
      <c r="A128" s="40" t="s">
        <v>297</v>
      </c>
      <c r="B128" s="18">
        <v>111885.4</v>
      </c>
      <c r="C128" s="14">
        <v>111885.4</v>
      </c>
      <c r="D128" s="14">
        <v>111952.1</v>
      </c>
      <c r="E128" s="14">
        <v>111956</v>
      </c>
      <c r="F128" s="14">
        <v>111956</v>
      </c>
      <c r="G128" s="14">
        <v>111956</v>
      </c>
      <c r="H128" s="14">
        <v>111987.6</v>
      </c>
      <c r="I128" s="14">
        <v>111987.6</v>
      </c>
      <c r="J128" s="14">
        <v>111987.6</v>
      </c>
      <c r="K128" s="14">
        <v>111987.6</v>
      </c>
      <c r="L128" s="14">
        <v>111987.6</v>
      </c>
      <c r="M128" s="14">
        <v>111987.6</v>
      </c>
      <c r="N128" s="14">
        <v>111987.6</v>
      </c>
      <c r="O128" s="14">
        <v>111987.6</v>
      </c>
      <c r="P128" s="14">
        <v>111987.6</v>
      </c>
      <c r="Q128" s="14">
        <v>111987.6</v>
      </c>
      <c r="R128" s="14">
        <v>111987.6</v>
      </c>
      <c r="S128" s="14">
        <v>111987.6</v>
      </c>
      <c r="T128" s="14">
        <v>111987.6</v>
      </c>
      <c r="U128" s="14">
        <v>111987.6</v>
      </c>
      <c r="V128" s="14">
        <v>111987.6</v>
      </c>
      <c r="W128" s="14">
        <v>112051.20000000001</v>
      </c>
      <c r="X128" s="14">
        <v>112076.30000000002</v>
      </c>
      <c r="Y128" s="14">
        <v>112076.30000000002</v>
      </c>
      <c r="Z128" s="14">
        <v>112076.30000000002</v>
      </c>
      <c r="AA128" s="14">
        <v>112076.30000000002</v>
      </c>
      <c r="AB128" s="14">
        <v>112076.30000000002</v>
      </c>
      <c r="AC128" s="14">
        <v>112095.40000000002</v>
      </c>
      <c r="AD128" s="14">
        <v>112105.60000000002</v>
      </c>
      <c r="AE128" s="14">
        <v>112123.60000000002</v>
      </c>
      <c r="AF128" s="22">
        <v>112132.00000000001</v>
      </c>
      <c r="AG128" s="53">
        <f t="shared" si="5"/>
        <v>112132.00000000001</v>
      </c>
      <c r="AH128" s="44">
        <v>111885.4</v>
      </c>
    </row>
    <row r="129" spans="1:34" x14ac:dyDescent="0.35">
      <c r="A129" s="27" t="s">
        <v>271</v>
      </c>
      <c r="B129" s="19">
        <v>104221.5</v>
      </c>
      <c r="C129" s="2">
        <v>104221.5</v>
      </c>
      <c r="D129" s="2">
        <v>104290.2</v>
      </c>
      <c r="E129" s="2">
        <v>104301.5</v>
      </c>
      <c r="F129" s="2">
        <v>104301.5</v>
      </c>
      <c r="G129" s="2">
        <v>104301.5</v>
      </c>
      <c r="H129" s="2">
        <v>104356.5</v>
      </c>
      <c r="I129" s="2">
        <v>104370.3</v>
      </c>
      <c r="J129" s="2">
        <v>104370.3</v>
      </c>
      <c r="K129" s="2">
        <v>104407.5</v>
      </c>
      <c r="L129" s="2">
        <v>104421</v>
      </c>
      <c r="M129" s="2">
        <v>104421</v>
      </c>
      <c r="N129" s="2">
        <v>104421</v>
      </c>
      <c r="O129" s="2">
        <v>104421</v>
      </c>
      <c r="P129" s="2">
        <v>104421</v>
      </c>
      <c r="Q129" s="2">
        <v>104421</v>
      </c>
      <c r="R129" s="2">
        <v>104421</v>
      </c>
      <c r="S129" s="2">
        <v>104421</v>
      </c>
      <c r="T129" s="2">
        <v>104421</v>
      </c>
      <c r="U129" s="2">
        <v>104421</v>
      </c>
      <c r="V129" s="2">
        <v>104421</v>
      </c>
      <c r="W129" s="2">
        <v>104527.5</v>
      </c>
      <c r="X129" s="2">
        <v>104527.5</v>
      </c>
      <c r="Y129" s="2">
        <v>104527.5</v>
      </c>
      <c r="Z129" s="2">
        <v>104540.3</v>
      </c>
      <c r="AA129" s="2">
        <v>104540.3</v>
      </c>
      <c r="AB129" s="2">
        <v>104540.3</v>
      </c>
      <c r="AC129" s="2">
        <v>104564.8</v>
      </c>
      <c r="AD129" s="2">
        <v>104572.1</v>
      </c>
      <c r="AE129" s="2">
        <v>104572.1</v>
      </c>
      <c r="AF129" s="7">
        <v>104572.1</v>
      </c>
      <c r="AG129" s="9">
        <f t="shared" si="5"/>
        <v>104572.1</v>
      </c>
      <c r="AH129" s="44">
        <v>104221.5</v>
      </c>
    </row>
    <row r="130" spans="1:34" x14ac:dyDescent="0.35">
      <c r="A130" s="27" t="s">
        <v>274</v>
      </c>
      <c r="B130" s="19">
        <v>102824.7</v>
      </c>
      <c r="C130" s="19">
        <v>102824.7</v>
      </c>
      <c r="D130" s="19">
        <v>102824.7</v>
      </c>
      <c r="E130" s="19">
        <v>102824.7</v>
      </c>
      <c r="F130" s="19">
        <v>102824.7</v>
      </c>
      <c r="G130" s="19">
        <v>102824.7</v>
      </c>
      <c r="H130" s="19">
        <v>102824.7</v>
      </c>
      <c r="I130" s="19">
        <v>102824.7</v>
      </c>
      <c r="J130" s="19">
        <v>102824.7</v>
      </c>
      <c r="K130" s="19">
        <v>102824.7</v>
      </c>
      <c r="L130" s="19">
        <v>102824.7</v>
      </c>
      <c r="M130" s="19">
        <v>102824.7</v>
      </c>
      <c r="N130" s="19">
        <v>102824.7</v>
      </c>
      <c r="O130" s="19">
        <v>102824.7</v>
      </c>
      <c r="P130" s="19">
        <v>102824.7</v>
      </c>
      <c r="Q130" s="19">
        <v>102824.7</v>
      </c>
      <c r="R130" s="19">
        <v>102824.7</v>
      </c>
      <c r="S130" s="19">
        <v>102824.7</v>
      </c>
      <c r="T130" s="19">
        <v>102824.7</v>
      </c>
      <c r="U130" s="19">
        <v>102824.7</v>
      </c>
      <c r="V130" s="19">
        <v>102824.7</v>
      </c>
      <c r="W130" s="19">
        <v>102824.7</v>
      </c>
      <c r="X130" s="19">
        <v>102824.7</v>
      </c>
      <c r="Y130" s="19">
        <v>102824.7</v>
      </c>
      <c r="Z130" s="19">
        <v>102824.7</v>
      </c>
      <c r="AA130" s="19">
        <v>102824.7</v>
      </c>
      <c r="AB130" s="19">
        <v>102824.7</v>
      </c>
      <c r="AC130" s="19">
        <v>102824.7</v>
      </c>
      <c r="AD130" s="19">
        <v>102824.7</v>
      </c>
      <c r="AE130" s="19">
        <v>102824.7</v>
      </c>
      <c r="AF130" s="19">
        <v>102824.7</v>
      </c>
      <c r="AG130" s="9">
        <f t="shared" si="5"/>
        <v>102824.7</v>
      </c>
      <c r="AH130" s="44">
        <v>102835</v>
      </c>
    </row>
    <row r="131" spans="1:34" x14ac:dyDescent="0.35">
      <c r="A131" s="27" t="s">
        <v>272</v>
      </c>
      <c r="B131" s="19">
        <v>102048.18999999999</v>
      </c>
      <c r="C131" s="2">
        <v>102048.18999999999</v>
      </c>
      <c r="D131" s="2">
        <v>102048.18999999999</v>
      </c>
      <c r="E131" s="2">
        <v>102048.18999999999</v>
      </c>
      <c r="F131" s="2">
        <v>102048.18999999999</v>
      </c>
      <c r="G131" s="2">
        <v>102048.18999999999</v>
      </c>
      <c r="H131" s="2">
        <v>102048.18999999999</v>
      </c>
      <c r="I131" s="2">
        <v>102048.18999999999</v>
      </c>
      <c r="J131" s="2">
        <v>102048.18999999999</v>
      </c>
      <c r="K131" s="2">
        <v>102048.18999999999</v>
      </c>
      <c r="L131" s="2">
        <v>102048.18999999999</v>
      </c>
      <c r="M131" s="2">
        <v>102048.18999999999</v>
      </c>
      <c r="N131" s="2">
        <v>102048.18999999999</v>
      </c>
      <c r="O131" s="2">
        <v>102048.18999999999</v>
      </c>
      <c r="P131" s="2">
        <v>102048.18999999999</v>
      </c>
      <c r="Q131" s="2">
        <v>102048.18999999999</v>
      </c>
      <c r="R131" s="2">
        <v>102048.18999999999</v>
      </c>
      <c r="S131" s="2">
        <v>102048.18999999999</v>
      </c>
      <c r="T131" s="2">
        <v>102048.18999999999</v>
      </c>
      <c r="U131" s="2">
        <v>102048.18999999999</v>
      </c>
      <c r="V131" s="2">
        <v>102048.18999999999</v>
      </c>
      <c r="W131" s="2">
        <v>102054.79</v>
      </c>
      <c r="X131" s="2">
        <v>102054.79</v>
      </c>
      <c r="Y131" s="2">
        <v>102054.79</v>
      </c>
      <c r="Z131" s="2">
        <v>102054.79</v>
      </c>
      <c r="AA131" s="2">
        <v>102054.79</v>
      </c>
      <c r="AB131" s="2">
        <v>102054.79</v>
      </c>
      <c r="AC131" s="2">
        <v>102059.48999999999</v>
      </c>
      <c r="AD131" s="2">
        <v>102059.48999999999</v>
      </c>
      <c r="AE131" s="2">
        <v>102059.48999999999</v>
      </c>
      <c r="AF131" s="2">
        <v>102059.48999999999</v>
      </c>
      <c r="AG131" s="9">
        <f t="shared" si="5"/>
        <v>102059.48999999999</v>
      </c>
      <c r="AH131" s="44">
        <v>102048.19</v>
      </c>
    </row>
    <row r="132" spans="1:34" x14ac:dyDescent="0.35">
      <c r="A132" s="27" t="s">
        <v>285</v>
      </c>
      <c r="B132" s="19">
        <v>101476.09999999999</v>
      </c>
      <c r="C132" s="2">
        <v>101476.09999999999</v>
      </c>
      <c r="D132" s="2">
        <v>101476.09999999999</v>
      </c>
      <c r="E132" s="2">
        <v>101476.09999999999</v>
      </c>
      <c r="F132" s="2">
        <v>101476.09999999999</v>
      </c>
      <c r="G132" s="2">
        <v>101476.09999999999</v>
      </c>
      <c r="H132" s="2">
        <v>101476.09999999999</v>
      </c>
      <c r="I132" s="2">
        <v>101476.09999999999</v>
      </c>
      <c r="J132" s="2">
        <v>101476.09999999999</v>
      </c>
      <c r="K132" s="2">
        <v>101476.09999999999</v>
      </c>
      <c r="L132" s="2">
        <v>101476.09999999999</v>
      </c>
      <c r="M132" s="2">
        <v>101476.09999999999</v>
      </c>
      <c r="N132" s="2">
        <v>101476.09999999999</v>
      </c>
      <c r="O132" s="2">
        <v>101476.09999999999</v>
      </c>
      <c r="P132" s="2">
        <v>101476.09999999999</v>
      </c>
      <c r="Q132" s="2">
        <v>101476.09999999999</v>
      </c>
      <c r="R132" s="2">
        <v>101476.09999999999</v>
      </c>
      <c r="S132" s="2">
        <v>101476.09999999999</v>
      </c>
      <c r="T132" s="2">
        <v>101476.09999999999</v>
      </c>
      <c r="U132" s="2">
        <v>101476.09999999999</v>
      </c>
      <c r="V132" s="2">
        <v>101476.09999999999</v>
      </c>
      <c r="W132" s="2">
        <v>101476.09999999999</v>
      </c>
      <c r="X132" s="2">
        <v>101476.09999999999</v>
      </c>
      <c r="Y132" s="2">
        <v>101476.09999999999</v>
      </c>
      <c r="Z132" s="2">
        <v>101476.09999999999</v>
      </c>
      <c r="AA132" s="2">
        <v>101476.09999999999</v>
      </c>
      <c r="AB132" s="2">
        <v>101476.09999999999</v>
      </c>
      <c r="AC132" s="2">
        <v>101476.09999999999</v>
      </c>
      <c r="AD132" s="2">
        <v>101476.09999999999</v>
      </c>
      <c r="AE132" s="2">
        <v>101476.09999999999</v>
      </c>
      <c r="AF132" s="7">
        <v>101476.09999999999</v>
      </c>
      <c r="AG132" s="9">
        <f t="shared" si="5"/>
        <v>101476.09999999999</v>
      </c>
      <c r="AH132" s="44">
        <v>101476.1</v>
      </c>
    </row>
    <row r="133" spans="1:34" x14ac:dyDescent="0.35">
      <c r="A133" s="27" t="s">
        <v>306</v>
      </c>
      <c r="B133" s="19">
        <v>100866.39000000003</v>
      </c>
      <c r="C133" s="2">
        <v>100866.39000000003</v>
      </c>
      <c r="D133" s="2">
        <v>100866.39000000003</v>
      </c>
      <c r="E133" s="2">
        <v>100866.39000000003</v>
      </c>
      <c r="F133" s="2">
        <v>100866.39000000003</v>
      </c>
      <c r="G133" s="2">
        <v>100866.39000000003</v>
      </c>
      <c r="H133" s="2">
        <v>100866.39000000003</v>
      </c>
      <c r="I133" s="2">
        <v>100866.39000000003</v>
      </c>
      <c r="J133" s="2">
        <v>100866.39000000003</v>
      </c>
      <c r="K133" s="2">
        <v>100866.39000000003</v>
      </c>
      <c r="L133" s="2">
        <v>100866.39000000003</v>
      </c>
      <c r="M133" s="2">
        <v>100866.39000000003</v>
      </c>
      <c r="N133" s="2">
        <v>100866.39000000003</v>
      </c>
      <c r="O133" s="2">
        <v>100866.39000000003</v>
      </c>
      <c r="P133" s="2">
        <v>100866.39000000003</v>
      </c>
      <c r="Q133" s="2">
        <v>100866.39000000003</v>
      </c>
      <c r="R133" s="2">
        <v>100866.39000000003</v>
      </c>
      <c r="S133" s="2">
        <v>100866.39000000003</v>
      </c>
      <c r="T133" s="2">
        <v>100866.39000000003</v>
      </c>
      <c r="U133" s="2">
        <v>100866.39000000003</v>
      </c>
      <c r="V133" s="2">
        <v>100866.39000000003</v>
      </c>
      <c r="W133" s="2">
        <v>100866.39000000003</v>
      </c>
      <c r="X133" s="2">
        <v>100866.39000000003</v>
      </c>
      <c r="Y133" s="2">
        <v>100866.39000000003</v>
      </c>
      <c r="Z133" s="2">
        <v>100866.39000000003</v>
      </c>
      <c r="AA133" s="2">
        <v>100866.39000000003</v>
      </c>
      <c r="AB133" s="2">
        <v>100866.39000000003</v>
      </c>
      <c r="AC133" s="2">
        <v>100866.39000000003</v>
      </c>
      <c r="AD133" s="2">
        <v>100866.39000000003</v>
      </c>
      <c r="AE133" s="2">
        <v>100866.39000000003</v>
      </c>
      <c r="AF133" s="7">
        <v>100866.39000000003</v>
      </c>
      <c r="AG133" s="9">
        <f t="shared" si="5"/>
        <v>100866.39000000003</v>
      </c>
      <c r="AH133" s="44">
        <v>100866.39</v>
      </c>
    </row>
    <row r="134" spans="1:34" x14ac:dyDescent="0.35">
      <c r="A134" s="28" t="s">
        <v>308</v>
      </c>
      <c r="B134" s="23">
        <v>101852.22</v>
      </c>
      <c r="C134" s="24">
        <v>101852.22</v>
      </c>
      <c r="D134" s="24">
        <v>101852.22</v>
      </c>
      <c r="E134" s="24">
        <v>101852.22</v>
      </c>
      <c r="F134" s="24">
        <v>101852.22</v>
      </c>
      <c r="G134" s="24">
        <v>101852.22</v>
      </c>
      <c r="H134" s="24">
        <v>101852.22</v>
      </c>
      <c r="I134" s="24">
        <v>101852.22</v>
      </c>
      <c r="J134" s="24">
        <v>101852.22</v>
      </c>
      <c r="K134" s="24">
        <v>101852.22</v>
      </c>
      <c r="L134" s="24">
        <v>101852.22</v>
      </c>
      <c r="M134" s="24">
        <v>101852.22</v>
      </c>
      <c r="N134" s="24">
        <v>101852.22</v>
      </c>
      <c r="O134" s="24">
        <v>101852.22</v>
      </c>
      <c r="P134" s="24">
        <v>101852.22</v>
      </c>
      <c r="Q134" s="24">
        <v>101852.22</v>
      </c>
      <c r="R134" s="24">
        <v>101852.22</v>
      </c>
      <c r="S134" s="24">
        <v>101852.22</v>
      </c>
      <c r="T134" s="24">
        <v>101852.22</v>
      </c>
      <c r="U134" s="24">
        <v>101852.22</v>
      </c>
      <c r="V134" s="24">
        <v>101852.22</v>
      </c>
      <c r="W134" s="24">
        <v>101852.22</v>
      </c>
      <c r="X134" s="24">
        <v>101852.22</v>
      </c>
      <c r="Y134" s="24">
        <v>101852.22</v>
      </c>
      <c r="Z134" s="24">
        <v>101852.22</v>
      </c>
      <c r="AA134" s="24">
        <v>101852.22</v>
      </c>
      <c r="AB134" s="24">
        <v>101852.22</v>
      </c>
      <c r="AC134" s="24">
        <v>101852.22</v>
      </c>
      <c r="AD134" s="24">
        <v>101852.22</v>
      </c>
      <c r="AE134" s="24">
        <v>101852.22</v>
      </c>
      <c r="AF134" s="25">
        <v>101852.22</v>
      </c>
      <c r="AG134" s="9">
        <f t="shared" si="5"/>
        <v>101852.22</v>
      </c>
      <c r="AH134" s="44">
        <v>101852.22</v>
      </c>
    </row>
    <row r="135" spans="1:34" ht="15" thickBot="1" x14ac:dyDescent="0.4">
      <c r="A135" s="27" t="s">
        <v>307</v>
      </c>
      <c r="B135" s="19">
        <v>102275.73000000001</v>
      </c>
      <c r="C135" s="2">
        <v>102275.73000000001</v>
      </c>
      <c r="D135" s="2">
        <v>102275.73000000001</v>
      </c>
      <c r="E135" s="2">
        <v>102275.73000000001</v>
      </c>
      <c r="F135" s="2">
        <v>102275.73000000001</v>
      </c>
      <c r="G135" s="2">
        <v>102275.73000000001</v>
      </c>
      <c r="H135" s="2">
        <v>102275.73000000001</v>
      </c>
      <c r="I135" s="2">
        <v>102275.73000000001</v>
      </c>
      <c r="J135" s="2">
        <v>102275.73000000001</v>
      </c>
      <c r="K135" s="2">
        <v>102275.73000000001</v>
      </c>
      <c r="L135" s="2">
        <v>102275.73000000001</v>
      </c>
      <c r="M135" s="2">
        <v>102275.73000000001</v>
      </c>
      <c r="N135" s="2">
        <v>102275.73000000001</v>
      </c>
      <c r="O135" s="2">
        <v>102275.73000000001</v>
      </c>
      <c r="P135" s="2">
        <v>102275.73000000001</v>
      </c>
      <c r="Q135" s="2">
        <v>102275.73000000001</v>
      </c>
      <c r="R135" s="2">
        <v>102275.73000000001</v>
      </c>
      <c r="S135" s="2">
        <v>102275.73000000001</v>
      </c>
      <c r="T135" s="2">
        <v>102275.73000000001</v>
      </c>
      <c r="U135" s="2">
        <v>102275.73000000001</v>
      </c>
      <c r="V135" s="2">
        <v>102275.73000000001</v>
      </c>
      <c r="W135" s="2">
        <v>102275.73000000001</v>
      </c>
      <c r="X135" s="2">
        <v>102275.73000000001</v>
      </c>
      <c r="Y135" s="2">
        <v>102275.73000000001</v>
      </c>
      <c r="Z135" s="2">
        <v>102275.73000000001</v>
      </c>
      <c r="AA135" s="2">
        <v>102275.73000000001</v>
      </c>
      <c r="AB135" s="2">
        <v>102275.73000000001</v>
      </c>
      <c r="AC135" s="2">
        <v>102275.73000000001</v>
      </c>
      <c r="AD135" s="2">
        <v>102275.73000000001</v>
      </c>
      <c r="AE135" s="2">
        <v>102275.73000000001</v>
      </c>
      <c r="AF135" s="2">
        <v>102275.73000000001</v>
      </c>
      <c r="AG135" s="16">
        <f t="shared" si="5"/>
        <v>102275.73000000001</v>
      </c>
      <c r="AH135" s="44">
        <v>102275.73</v>
      </c>
    </row>
    <row r="136" spans="1:34" x14ac:dyDescent="0.35">
      <c r="A136" s="29" t="s">
        <v>273</v>
      </c>
      <c r="B136" s="267">
        <v>112344.72</v>
      </c>
      <c r="C136" s="268">
        <v>112344.72</v>
      </c>
      <c r="D136" s="268">
        <v>112344.72</v>
      </c>
      <c r="E136" s="268">
        <v>112344.72</v>
      </c>
      <c r="F136" s="268">
        <v>112344.72</v>
      </c>
      <c r="G136" s="268">
        <v>112344.72</v>
      </c>
      <c r="H136" s="268">
        <v>112344.72</v>
      </c>
      <c r="I136" s="268">
        <v>112344.72</v>
      </c>
      <c r="J136" s="268">
        <v>112344.72</v>
      </c>
      <c r="K136" s="268">
        <v>112344.72</v>
      </c>
      <c r="L136" s="268">
        <v>112344.72</v>
      </c>
      <c r="M136" s="268">
        <v>112344.72</v>
      </c>
      <c r="N136" s="268">
        <v>112344.72</v>
      </c>
      <c r="O136" s="268">
        <v>112344.72</v>
      </c>
      <c r="P136" s="268">
        <v>112344.72</v>
      </c>
      <c r="Q136" s="268">
        <v>112344.72</v>
      </c>
      <c r="R136" s="268">
        <v>112344.72</v>
      </c>
      <c r="S136" s="268">
        <v>112344.72</v>
      </c>
      <c r="T136" s="268">
        <v>112344.72</v>
      </c>
      <c r="U136" s="268">
        <v>112344.72</v>
      </c>
      <c r="V136" s="268">
        <v>112344.72</v>
      </c>
      <c r="W136" s="268">
        <v>112344.72</v>
      </c>
      <c r="X136" s="268">
        <v>112344.72</v>
      </c>
      <c r="Y136" s="268">
        <v>112344.72</v>
      </c>
      <c r="Z136" s="268">
        <v>112344.72</v>
      </c>
      <c r="AA136" s="268">
        <v>112344.72</v>
      </c>
      <c r="AB136" s="268">
        <v>112344.72</v>
      </c>
      <c r="AC136" s="268">
        <v>112344.72</v>
      </c>
      <c r="AD136" s="268">
        <v>112344.72</v>
      </c>
      <c r="AE136" s="268">
        <v>112344.72</v>
      </c>
      <c r="AF136" s="269">
        <v>112344.72</v>
      </c>
      <c r="AG136" s="254">
        <f t="shared" si="5"/>
        <v>112344.72</v>
      </c>
      <c r="AH136" s="44">
        <v>112344.72</v>
      </c>
    </row>
    <row r="137" spans="1:34" x14ac:dyDescent="0.35">
      <c r="A137" s="30" t="s">
        <v>275</v>
      </c>
      <c r="B137" s="270">
        <v>106250.8</v>
      </c>
      <c r="C137" s="271">
        <v>106250.8</v>
      </c>
      <c r="D137" s="271">
        <v>106250.8</v>
      </c>
      <c r="E137" s="271">
        <v>106250.8</v>
      </c>
      <c r="F137" s="271">
        <v>106250.8</v>
      </c>
      <c r="G137" s="271">
        <v>106250.8</v>
      </c>
      <c r="H137" s="271">
        <v>106250.8</v>
      </c>
      <c r="I137" s="271">
        <v>106250.8</v>
      </c>
      <c r="J137" s="271">
        <v>106250.8</v>
      </c>
      <c r="K137" s="271">
        <v>106250.8</v>
      </c>
      <c r="L137" s="271">
        <v>106250.8</v>
      </c>
      <c r="M137" s="271">
        <v>106250.8</v>
      </c>
      <c r="N137" s="271">
        <v>106250.8</v>
      </c>
      <c r="O137" s="271">
        <v>106250.8</v>
      </c>
      <c r="P137" s="271">
        <v>106250.8</v>
      </c>
      <c r="Q137" s="271">
        <v>106250.8</v>
      </c>
      <c r="R137" s="271">
        <v>106250.8</v>
      </c>
      <c r="S137" s="271">
        <v>106250.8</v>
      </c>
      <c r="T137" s="271">
        <v>106250.8</v>
      </c>
      <c r="U137" s="271">
        <v>106250.8</v>
      </c>
      <c r="V137" s="271">
        <v>106250.8</v>
      </c>
      <c r="W137" s="271">
        <v>106250.8</v>
      </c>
      <c r="X137" s="271">
        <v>106250.8</v>
      </c>
      <c r="Y137" s="271">
        <v>106250.8</v>
      </c>
      <c r="Z137" s="271">
        <v>106250.8</v>
      </c>
      <c r="AA137" s="271">
        <v>106250.8</v>
      </c>
      <c r="AB137" s="271">
        <v>106250.8</v>
      </c>
      <c r="AC137" s="271">
        <v>106250.8</v>
      </c>
      <c r="AD137" s="271">
        <v>106250.8</v>
      </c>
      <c r="AE137" s="271">
        <v>106250.8</v>
      </c>
      <c r="AF137" s="272">
        <v>106250.8</v>
      </c>
      <c r="AG137" s="257">
        <f t="shared" si="5"/>
        <v>106250.8</v>
      </c>
      <c r="AH137" s="44">
        <v>106250.8</v>
      </c>
    </row>
    <row r="138" spans="1:34" x14ac:dyDescent="0.35">
      <c r="A138" s="30" t="s">
        <v>276</v>
      </c>
      <c r="B138" s="270">
        <v>440284</v>
      </c>
      <c r="C138" s="271">
        <v>440284</v>
      </c>
      <c r="D138" s="271">
        <v>440284</v>
      </c>
      <c r="E138" s="271">
        <v>440284</v>
      </c>
      <c r="F138" s="271">
        <v>440284</v>
      </c>
      <c r="G138" s="271">
        <v>440284</v>
      </c>
      <c r="H138" s="271">
        <v>440284</v>
      </c>
      <c r="I138" s="271">
        <v>440284</v>
      </c>
      <c r="J138" s="271">
        <v>440284</v>
      </c>
      <c r="K138" s="271">
        <v>440284</v>
      </c>
      <c r="L138" s="271">
        <v>440284</v>
      </c>
      <c r="M138" s="271">
        <v>440284</v>
      </c>
      <c r="N138" s="271">
        <v>440284</v>
      </c>
      <c r="O138" s="271">
        <v>440284</v>
      </c>
      <c r="P138" s="271">
        <v>440284</v>
      </c>
      <c r="Q138" s="271">
        <v>440284</v>
      </c>
      <c r="R138" s="271">
        <v>440284</v>
      </c>
      <c r="S138" s="271">
        <v>440284</v>
      </c>
      <c r="T138" s="271">
        <v>440284</v>
      </c>
      <c r="U138" s="271">
        <v>440284</v>
      </c>
      <c r="V138" s="271">
        <v>440284</v>
      </c>
      <c r="W138" s="271">
        <v>440284</v>
      </c>
      <c r="X138" s="271">
        <v>440284</v>
      </c>
      <c r="Y138" s="271">
        <v>440284</v>
      </c>
      <c r="Z138" s="271">
        <v>440284</v>
      </c>
      <c r="AA138" s="271">
        <v>440284</v>
      </c>
      <c r="AB138" s="271">
        <v>440284</v>
      </c>
      <c r="AC138" s="271">
        <v>440284</v>
      </c>
      <c r="AD138" s="271">
        <v>440284</v>
      </c>
      <c r="AE138" s="271">
        <v>440284</v>
      </c>
      <c r="AF138" s="272">
        <v>440284</v>
      </c>
      <c r="AG138" s="257">
        <f t="shared" si="5"/>
        <v>440284</v>
      </c>
      <c r="AH138" s="44">
        <v>440284</v>
      </c>
    </row>
    <row r="139" spans="1:34" x14ac:dyDescent="0.35">
      <c r="A139" s="30" t="s">
        <v>277</v>
      </c>
      <c r="B139" s="270">
        <v>439431.32</v>
      </c>
      <c r="C139" s="271">
        <v>439431.32</v>
      </c>
      <c r="D139" s="271">
        <v>439431.32</v>
      </c>
      <c r="E139" s="271">
        <v>439431.32</v>
      </c>
      <c r="F139" s="271">
        <v>439431.32</v>
      </c>
      <c r="G139" s="271">
        <v>439431.32</v>
      </c>
      <c r="H139" s="271">
        <v>439431.32</v>
      </c>
      <c r="I139" s="271">
        <v>439431.32</v>
      </c>
      <c r="J139" s="271">
        <v>439431.32</v>
      </c>
      <c r="K139" s="271">
        <v>439431.32</v>
      </c>
      <c r="L139" s="271">
        <v>439431.32</v>
      </c>
      <c r="M139" s="271">
        <v>439431.32</v>
      </c>
      <c r="N139" s="271">
        <v>439431.32</v>
      </c>
      <c r="O139" s="271">
        <v>439431.32</v>
      </c>
      <c r="P139" s="271">
        <v>439431.32</v>
      </c>
      <c r="Q139" s="271">
        <v>439431.32</v>
      </c>
      <c r="R139" s="271">
        <v>439431.32</v>
      </c>
      <c r="S139" s="271">
        <v>439431.32</v>
      </c>
      <c r="T139" s="271">
        <v>439431.32</v>
      </c>
      <c r="U139" s="271">
        <v>439431.32</v>
      </c>
      <c r="V139" s="271">
        <v>439431.32</v>
      </c>
      <c r="W139" s="271">
        <v>439431.32</v>
      </c>
      <c r="X139" s="271">
        <v>439431.32</v>
      </c>
      <c r="Y139" s="271">
        <v>439431.32</v>
      </c>
      <c r="Z139" s="271">
        <v>439431.32</v>
      </c>
      <c r="AA139" s="271">
        <v>439431.32</v>
      </c>
      <c r="AB139" s="271">
        <v>439431.32</v>
      </c>
      <c r="AC139" s="271">
        <v>439431.32</v>
      </c>
      <c r="AD139" s="271">
        <v>439431.32</v>
      </c>
      <c r="AE139" s="271">
        <v>439431.32</v>
      </c>
      <c r="AF139" s="272">
        <v>439431.32</v>
      </c>
      <c r="AG139" s="257">
        <f t="shared" si="5"/>
        <v>439431.32</v>
      </c>
      <c r="AH139" s="44">
        <v>439431.32</v>
      </c>
    </row>
    <row r="140" spans="1:34" x14ac:dyDescent="0.35">
      <c r="A140" s="30" t="s">
        <v>278</v>
      </c>
      <c r="B140" s="270">
        <v>413696</v>
      </c>
      <c r="C140" s="271">
        <v>413696</v>
      </c>
      <c r="D140" s="271">
        <v>413696</v>
      </c>
      <c r="E140" s="271">
        <v>413696</v>
      </c>
      <c r="F140" s="271">
        <v>413696</v>
      </c>
      <c r="G140" s="271">
        <v>413696</v>
      </c>
      <c r="H140" s="271">
        <v>413696</v>
      </c>
      <c r="I140" s="271">
        <v>413696</v>
      </c>
      <c r="J140" s="271">
        <v>413696</v>
      </c>
      <c r="K140" s="271">
        <v>413696</v>
      </c>
      <c r="L140" s="271">
        <v>413696</v>
      </c>
      <c r="M140" s="271">
        <v>413696</v>
      </c>
      <c r="N140" s="271">
        <v>413696</v>
      </c>
      <c r="O140" s="271">
        <v>413696</v>
      </c>
      <c r="P140" s="271">
        <v>413696</v>
      </c>
      <c r="Q140" s="271">
        <v>413696</v>
      </c>
      <c r="R140" s="271">
        <v>413696</v>
      </c>
      <c r="S140" s="271">
        <v>413696</v>
      </c>
      <c r="T140" s="271">
        <v>413696</v>
      </c>
      <c r="U140" s="271">
        <v>413696</v>
      </c>
      <c r="V140" s="271">
        <v>413696</v>
      </c>
      <c r="W140" s="271">
        <v>413696</v>
      </c>
      <c r="X140" s="271">
        <v>413696</v>
      </c>
      <c r="Y140" s="271">
        <v>413696</v>
      </c>
      <c r="Z140" s="271">
        <v>413696</v>
      </c>
      <c r="AA140" s="271">
        <v>413696</v>
      </c>
      <c r="AB140" s="271">
        <v>413696</v>
      </c>
      <c r="AC140" s="271">
        <v>413696</v>
      </c>
      <c r="AD140" s="271">
        <v>413696</v>
      </c>
      <c r="AE140" s="271">
        <v>413696</v>
      </c>
      <c r="AF140" s="272">
        <v>413696</v>
      </c>
      <c r="AG140" s="257">
        <f t="shared" si="5"/>
        <v>413696</v>
      </c>
      <c r="AH140" s="44">
        <v>413696</v>
      </c>
    </row>
    <row r="141" spans="1:34" x14ac:dyDescent="0.35">
      <c r="A141" s="30" t="s">
        <v>279</v>
      </c>
      <c r="B141" s="270">
        <v>427433.6</v>
      </c>
      <c r="C141" s="271">
        <v>427433.6</v>
      </c>
      <c r="D141" s="271">
        <v>427433.6</v>
      </c>
      <c r="E141" s="271">
        <v>427433.6</v>
      </c>
      <c r="F141" s="271">
        <v>427433.6</v>
      </c>
      <c r="G141" s="271">
        <v>427433.6</v>
      </c>
      <c r="H141" s="271">
        <v>427433.6</v>
      </c>
      <c r="I141" s="271">
        <v>427433.6</v>
      </c>
      <c r="J141" s="271">
        <v>427433.6</v>
      </c>
      <c r="K141" s="271">
        <v>427433.6</v>
      </c>
      <c r="L141" s="271">
        <v>427433.6</v>
      </c>
      <c r="M141" s="271">
        <v>427433.6</v>
      </c>
      <c r="N141" s="271">
        <v>427433.6</v>
      </c>
      <c r="O141" s="271">
        <v>427433.6</v>
      </c>
      <c r="P141" s="271">
        <v>427433.6</v>
      </c>
      <c r="Q141" s="271">
        <v>427433.6</v>
      </c>
      <c r="R141" s="271">
        <v>427433.6</v>
      </c>
      <c r="S141" s="271">
        <v>427433.6</v>
      </c>
      <c r="T141" s="271">
        <v>427433.6</v>
      </c>
      <c r="U141" s="271">
        <v>427433.6</v>
      </c>
      <c r="V141" s="271">
        <v>427433.6</v>
      </c>
      <c r="W141" s="271">
        <v>427433.6</v>
      </c>
      <c r="X141" s="271">
        <v>427433.6</v>
      </c>
      <c r="Y141" s="271">
        <v>427433.6</v>
      </c>
      <c r="Z141" s="271">
        <v>427433.6</v>
      </c>
      <c r="AA141" s="271">
        <v>427433.6</v>
      </c>
      <c r="AB141" s="271">
        <v>427433.6</v>
      </c>
      <c r="AC141" s="271">
        <v>427433.6</v>
      </c>
      <c r="AD141" s="271">
        <v>427433.6</v>
      </c>
      <c r="AE141" s="271">
        <v>427433.6</v>
      </c>
      <c r="AF141" s="272">
        <v>427433.6</v>
      </c>
      <c r="AG141" s="257">
        <f t="shared" si="5"/>
        <v>427433.6</v>
      </c>
      <c r="AH141" s="44">
        <v>427433.6</v>
      </c>
    </row>
    <row r="142" spans="1:34" x14ac:dyDescent="0.35">
      <c r="A142" s="30" t="s">
        <v>280</v>
      </c>
      <c r="B142" s="270">
        <v>417240</v>
      </c>
      <c r="C142" s="271">
        <v>417240</v>
      </c>
      <c r="D142" s="271">
        <v>417240</v>
      </c>
      <c r="E142" s="271">
        <v>417240</v>
      </c>
      <c r="F142" s="271">
        <v>417240</v>
      </c>
      <c r="G142" s="271">
        <v>417240</v>
      </c>
      <c r="H142" s="271">
        <v>417240</v>
      </c>
      <c r="I142" s="271">
        <v>417240</v>
      </c>
      <c r="J142" s="271">
        <v>417240</v>
      </c>
      <c r="K142" s="271">
        <v>417240</v>
      </c>
      <c r="L142" s="271">
        <v>417240</v>
      </c>
      <c r="M142" s="271">
        <v>417240</v>
      </c>
      <c r="N142" s="271">
        <v>417240</v>
      </c>
      <c r="O142" s="271">
        <v>417240</v>
      </c>
      <c r="P142" s="271">
        <v>417240</v>
      </c>
      <c r="Q142" s="271">
        <v>417240</v>
      </c>
      <c r="R142" s="271">
        <v>417240</v>
      </c>
      <c r="S142" s="271">
        <v>417240</v>
      </c>
      <c r="T142" s="271">
        <v>417240</v>
      </c>
      <c r="U142" s="271">
        <v>417240</v>
      </c>
      <c r="V142" s="271">
        <v>417240</v>
      </c>
      <c r="W142" s="271">
        <v>417240</v>
      </c>
      <c r="X142" s="271">
        <v>417240</v>
      </c>
      <c r="Y142" s="271">
        <v>417240</v>
      </c>
      <c r="Z142" s="271">
        <v>417240</v>
      </c>
      <c r="AA142" s="271">
        <v>417240</v>
      </c>
      <c r="AB142" s="271">
        <v>417240</v>
      </c>
      <c r="AC142" s="271">
        <v>417240</v>
      </c>
      <c r="AD142" s="271">
        <v>417240</v>
      </c>
      <c r="AE142" s="271">
        <v>417240</v>
      </c>
      <c r="AF142" s="272">
        <v>417240</v>
      </c>
      <c r="AG142" s="257">
        <f t="shared" si="5"/>
        <v>417240</v>
      </c>
      <c r="AH142" s="44">
        <v>417240</v>
      </c>
    </row>
    <row r="143" spans="1:34" x14ac:dyDescent="0.35">
      <c r="A143" s="30" t="s">
        <v>281</v>
      </c>
      <c r="B143" s="270">
        <v>415256</v>
      </c>
      <c r="C143" s="271">
        <v>415256</v>
      </c>
      <c r="D143" s="271">
        <v>415256</v>
      </c>
      <c r="E143" s="271">
        <v>415256</v>
      </c>
      <c r="F143" s="271">
        <v>415256</v>
      </c>
      <c r="G143" s="271">
        <v>415256</v>
      </c>
      <c r="H143" s="271">
        <v>415256</v>
      </c>
      <c r="I143" s="271">
        <v>415256</v>
      </c>
      <c r="J143" s="271">
        <v>415256</v>
      </c>
      <c r="K143" s="271">
        <v>415256</v>
      </c>
      <c r="L143" s="271">
        <v>415256</v>
      </c>
      <c r="M143" s="271">
        <v>415256</v>
      </c>
      <c r="N143" s="271">
        <v>415256</v>
      </c>
      <c r="O143" s="271">
        <v>415256</v>
      </c>
      <c r="P143" s="271">
        <v>415256</v>
      </c>
      <c r="Q143" s="271">
        <v>415256</v>
      </c>
      <c r="R143" s="271">
        <v>415256</v>
      </c>
      <c r="S143" s="271">
        <v>415256</v>
      </c>
      <c r="T143" s="271">
        <v>415256</v>
      </c>
      <c r="U143" s="271">
        <v>415256</v>
      </c>
      <c r="V143" s="271">
        <v>415256</v>
      </c>
      <c r="W143" s="271">
        <v>415256</v>
      </c>
      <c r="X143" s="271">
        <v>415256</v>
      </c>
      <c r="Y143" s="271">
        <v>415256</v>
      </c>
      <c r="Z143" s="271">
        <v>415256</v>
      </c>
      <c r="AA143" s="271">
        <v>415256</v>
      </c>
      <c r="AB143" s="271">
        <v>415256</v>
      </c>
      <c r="AC143" s="271">
        <v>415256</v>
      </c>
      <c r="AD143" s="271">
        <v>415256</v>
      </c>
      <c r="AE143" s="271">
        <v>415256</v>
      </c>
      <c r="AF143" s="272">
        <v>415256</v>
      </c>
      <c r="AG143" s="257">
        <f t="shared" si="5"/>
        <v>415256</v>
      </c>
      <c r="AH143" s="44">
        <v>415256</v>
      </c>
    </row>
    <row r="144" spans="1:34" x14ac:dyDescent="0.35">
      <c r="A144" s="30" t="s">
        <v>282</v>
      </c>
      <c r="B144" s="270">
        <v>398196.04</v>
      </c>
      <c r="C144" s="271">
        <v>398196.04</v>
      </c>
      <c r="D144" s="271">
        <v>398196.04</v>
      </c>
      <c r="E144" s="271">
        <v>398196.04</v>
      </c>
      <c r="F144" s="271">
        <v>398196.04</v>
      </c>
      <c r="G144" s="271">
        <v>398196.04</v>
      </c>
      <c r="H144" s="271">
        <v>398196.04</v>
      </c>
      <c r="I144" s="271">
        <v>398196.04</v>
      </c>
      <c r="J144" s="271">
        <v>398196.04</v>
      </c>
      <c r="K144" s="271">
        <v>398196.04</v>
      </c>
      <c r="L144" s="271">
        <v>398196.04</v>
      </c>
      <c r="M144" s="271">
        <v>398196.04</v>
      </c>
      <c r="N144" s="271">
        <v>398196.04</v>
      </c>
      <c r="O144" s="271">
        <v>398196.04</v>
      </c>
      <c r="P144" s="271">
        <v>398196.04</v>
      </c>
      <c r="Q144" s="271">
        <v>398196.04</v>
      </c>
      <c r="R144" s="271">
        <v>398196.04</v>
      </c>
      <c r="S144" s="271">
        <v>398196.04</v>
      </c>
      <c r="T144" s="271">
        <v>398196.04</v>
      </c>
      <c r="U144" s="271">
        <v>398196.04</v>
      </c>
      <c r="V144" s="271">
        <v>398196.04</v>
      </c>
      <c r="W144" s="271">
        <v>398196.04</v>
      </c>
      <c r="X144" s="271">
        <v>398196.04</v>
      </c>
      <c r="Y144" s="271">
        <v>398196.04</v>
      </c>
      <c r="Z144" s="271">
        <v>398196.04</v>
      </c>
      <c r="AA144" s="271">
        <v>398196.04</v>
      </c>
      <c r="AB144" s="271">
        <v>398196.04</v>
      </c>
      <c r="AC144" s="271">
        <v>398196.04</v>
      </c>
      <c r="AD144" s="271">
        <v>398196.04</v>
      </c>
      <c r="AE144" s="271">
        <v>398196.04</v>
      </c>
      <c r="AF144" s="272">
        <v>398196.04</v>
      </c>
      <c r="AG144" s="257">
        <f t="shared" si="5"/>
        <v>398196.04</v>
      </c>
      <c r="AH144" s="44">
        <v>398196.04</v>
      </c>
    </row>
    <row r="145" spans="1:34" x14ac:dyDescent="0.35">
      <c r="A145" s="30" t="s">
        <v>283</v>
      </c>
      <c r="B145" s="270">
        <v>433469</v>
      </c>
      <c r="C145" s="271">
        <v>433469</v>
      </c>
      <c r="D145" s="271">
        <v>433469</v>
      </c>
      <c r="E145" s="271">
        <v>433469</v>
      </c>
      <c r="F145" s="271">
        <v>433469</v>
      </c>
      <c r="G145" s="271">
        <v>433469</v>
      </c>
      <c r="H145" s="271">
        <v>433469</v>
      </c>
      <c r="I145" s="271">
        <v>433469</v>
      </c>
      <c r="J145" s="271">
        <v>433469</v>
      </c>
      <c r="K145" s="271">
        <v>433469</v>
      </c>
      <c r="L145" s="271">
        <v>433469</v>
      </c>
      <c r="M145" s="271">
        <v>433469</v>
      </c>
      <c r="N145" s="271">
        <v>433469</v>
      </c>
      <c r="O145" s="271">
        <v>433469</v>
      </c>
      <c r="P145" s="271">
        <v>433469</v>
      </c>
      <c r="Q145" s="271">
        <v>433469</v>
      </c>
      <c r="R145" s="271">
        <v>433469</v>
      </c>
      <c r="S145" s="271">
        <v>433469</v>
      </c>
      <c r="T145" s="271">
        <v>433469</v>
      </c>
      <c r="U145" s="271">
        <v>433469</v>
      </c>
      <c r="V145" s="271">
        <v>433469</v>
      </c>
      <c r="W145" s="271">
        <v>433469</v>
      </c>
      <c r="X145" s="271">
        <v>433469</v>
      </c>
      <c r="Y145" s="271">
        <v>433469</v>
      </c>
      <c r="Z145" s="271">
        <v>433469</v>
      </c>
      <c r="AA145" s="271">
        <v>433469</v>
      </c>
      <c r="AB145" s="271">
        <v>433469</v>
      </c>
      <c r="AC145" s="271">
        <v>433469</v>
      </c>
      <c r="AD145" s="271">
        <v>433469</v>
      </c>
      <c r="AE145" s="271">
        <v>433469</v>
      </c>
      <c r="AF145" s="272">
        <v>433469</v>
      </c>
      <c r="AG145" s="257">
        <f t="shared" si="5"/>
        <v>433469</v>
      </c>
      <c r="AH145" s="44">
        <v>433469</v>
      </c>
    </row>
    <row r="146" spans="1:34" x14ac:dyDescent="0.35">
      <c r="A146" s="30" t="s">
        <v>284</v>
      </c>
      <c r="B146" s="270">
        <v>416804</v>
      </c>
      <c r="C146" s="271">
        <v>416804</v>
      </c>
      <c r="D146" s="271">
        <v>416804</v>
      </c>
      <c r="E146" s="271">
        <v>416804</v>
      </c>
      <c r="F146" s="271">
        <v>416804</v>
      </c>
      <c r="G146" s="271">
        <v>416804</v>
      </c>
      <c r="H146" s="271">
        <v>416804</v>
      </c>
      <c r="I146" s="271">
        <v>416804</v>
      </c>
      <c r="J146" s="271">
        <v>416804</v>
      </c>
      <c r="K146" s="271">
        <v>416804</v>
      </c>
      <c r="L146" s="271">
        <v>416804</v>
      </c>
      <c r="M146" s="271">
        <v>416804</v>
      </c>
      <c r="N146" s="271">
        <v>416804</v>
      </c>
      <c r="O146" s="271">
        <v>416804</v>
      </c>
      <c r="P146" s="271">
        <v>416804</v>
      </c>
      <c r="Q146" s="271">
        <v>416804</v>
      </c>
      <c r="R146" s="271">
        <v>416804</v>
      </c>
      <c r="S146" s="271">
        <v>416804</v>
      </c>
      <c r="T146" s="271">
        <v>416804</v>
      </c>
      <c r="U146" s="271">
        <v>416804</v>
      </c>
      <c r="V146" s="271">
        <v>416804</v>
      </c>
      <c r="W146" s="271">
        <v>416804</v>
      </c>
      <c r="X146" s="271">
        <v>416804</v>
      </c>
      <c r="Y146" s="271">
        <v>416804</v>
      </c>
      <c r="Z146" s="271">
        <v>416804</v>
      </c>
      <c r="AA146" s="271">
        <v>416804</v>
      </c>
      <c r="AB146" s="271">
        <v>416804</v>
      </c>
      <c r="AC146" s="271">
        <v>416804</v>
      </c>
      <c r="AD146" s="271">
        <v>416804</v>
      </c>
      <c r="AE146" s="271">
        <v>416804</v>
      </c>
      <c r="AF146" s="272">
        <v>416804</v>
      </c>
      <c r="AG146" s="257">
        <f t="shared" si="5"/>
        <v>416804</v>
      </c>
      <c r="AH146" s="44">
        <v>416804</v>
      </c>
    </row>
    <row r="147" spans="1:34" x14ac:dyDescent="0.35">
      <c r="A147" s="30" t="s">
        <v>286</v>
      </c>
      <c r="B147" s="270">
        <v>407088</v>
      </c>
      <c r="C147" s="271">
        <v>407088</v>
      </c>
      <c r="D147" s="271">
        <v>407088</v>
      </c>
      <c r="E147" s="271">
        <v>407088</v>
      </c>
      <c r="F147" s="271">
        <v>407088</v>
      </c>
      <c r="G147" s="271">
        <v>407088</v>
      </c>
      <c r="H147" s="271">
        <v>407088</v>
      </c>
      <c r="I147" s="271">
        <v>407088</v>
      </c>
      <c r="J147" s="271">
        <v>407088</v>
      </c>
      <c r="K147" s="271">
        <v>407088</v>
      </c>
      <c r="L147" s="271">
        <v>407088</v>
      </c>
      <c r="M147" s="271">
        <v>407088</v>
      </c>
      <c r="N147" s="271">
        <v>407088</v>
      </c>
      <c r="O147" s="271">
        <v>407088</v>
      </c>
      <c r="P147" s="271">
        <v>407088</v>
      </c>
      <c r="Q147" s="271">
        <v>407088</v>
      </c>
      <c r="R147" s="271">
        <v>407088</v>
      </c>
      <c r="S147" s="271">
        <v>407088</v>
      </c>
      <c r="T147" s="271">
        <v>407088</v>
      </c>
      <c r="U147" s="271">
        <v>407088</v>
      </c>
      <c r="V147" s="271">
        <v>407088</v>
      </c>
      <c r="W147" s="271">
        <v>407088</v>
      </c>
      <c r="X147" s="271">
        <v>407088</v>
      </c>
      <c r="Y147" s="271">
        <v>407088</v>
      </c>
      <c r="Z147" s="271">
        <v>407088</v>
      </c>
      <c r="AA147" s="271">
        <v>407088</v>
      </c>
      <c r="AB147" s="271">
        <v>407088</v>
      </c>
      <c r="AC147" s="271">
        <v>407088</v>
      </c>
      <c r="AD147" s="271">
        <v>407088</v>
      </c>
      <c r="AE147" s="271">
        <v>407088</v>
      </c>
      <c r="AF147" s="272">
        <v>407088</v>
      </c>
      <c r="AG147" s="257">
        <f t="shared" si="5"/>
        <v>407088</v>
      </c>
      <c r="AH147" s="44">
        <v>407088</v>
      </c>
    </row>
    <row r="148" spans="1:34" x14ac:dyDescent="0.35">
      <c r="A148" s="30" t="s">
        <v>287</v>
      </c>
      <c r="B148" s="270">
        <v>415152</v>
      </c>
      <c r="C148" s="271">
        <v>415152</v>
      </c>
      <c r="D148" s="271">
        <v>415152</v>
      </c>
      <c r="E148" s="271">
        <v>415152</v>
      </c>
      <c r="F148" s="271">
        <v>415152</v>
      </c>
      <c r="G148" s="271">
        <v>415152</v>
      </c>
      <c r="H148" s="271">
        <v>415152</v>
      </c>
      <c r="I148" s="271">
        <v>415152</v>
      </c>
      <c r="J148" s="271">
        <v>415152</v>
      </c>
      <c r="K148" s="271">
        <v>415152</v>
      </c>
      <c r="L148" s="271">
        <v>415152</v>
      </c>
      <c r="M148" s="271">
        <v>415152</v>
      </c>
      <c r="N148" s="271">
        <v>415152</v>
      </c>
      <c r="O148" s="271">
        <v>415152</v>
      </c>
      <c r="P148" s="271">
        <v>415152</v>
      </c>
      <c r="Q148" s="271">
        <v>415152</v>
      </c>
      <c r="R148" s="271">
        <v>415152</v>
      </c>
      <c r="S148" s="271">
        <v>415152</v>
      </c>
      <c r="T148" s="271">
        <v>415152</v>
      </c>
      <c r="U148" s="271">
        <v>415152</v>
      </c>
      <c r="V148" s="271">
        <v>415152</v>
      </c>
      <c r="W148" s="271">
        <v>415152</v>
      </c>
      <c r="X148" s="271">
        <v>415152</v>
      </c>
      <c r="Y148" s="271">
        <v>415152</v>
      </c>
      <c r="Z148" s="271">
        <v>415152</v>
      </c>
      <c r="AA148" s="271">
        <v>415152</v>
      </c>
      <c r="AB148" s="271">
        <v>415152</v>
      </c>
      <c r="AC148" s="271">
        <v>415152</v>
      </c>
      <c r="AD148" s="271">
        <v>415152</v>
      </c>
      <c r="AE148" s="271">
        <v>415152</v>
      </c>
      <c r="AF148" s="272">
        <v>415152</v>
      </c>
      <c r="AG148" s="257">
        <f t="shared" si="5"/>
        <v>415152</v>
      </c>
      <c r="AH148" s="44">
        <v>415152</v>
      </c>
    </row>
    <row r="149" spans="1:34" x14ac:dyDescent="0.35">
      <c r="A149" s="30" t="s">
        <v>288</v>
      </c>
      <c r="B149" s="270">
        <v>410628</v>
      </c>
      <c r="C149" s="271">
        <v>410628</v>
      </c>
      <c r="D149" s="271">
        <v>410628</v>
      </c>
      <c r="E149" s="271">
        <v>410628</v>
      </c>
      <c r="F149" s="271">
        <v>410628</v>
      </c>
      <c r="G149" s="271">
        <v>410628</v>
      </c>
      <c r="H149" s="271">
        <v>410628</v>
      </c>
      <c r="I149" s="271">
        <v>410628</v>
      </c>
      <c r="J149" s="271">
        <v>410628</v>
      </c>
      <c r="K149" s="271">
        <v>410628</v>
      </c>
      <c r="L149" s="271">
        <v>410628</v>
      </c>
      <c r="M149" s="271">
        <v>410628</v>
      </c>
      <c r="N149" s="271">
        <v>410628</v>
      </c>
      <c r="O149" s="271">
        <v>410628</v>
      </c>
      <c r="P149" s="271">
        <v>410628</v>
      </c>
      <c r="Q149" s="271">
        <v>410628</v>
      </c>
      <c r="R149" s="271">
        <v>410628</v>
      </c>
      <c r="S149" s="271">
        <v>410628</v>
      </c>
      <c r="T149" s="271">
        <v>410628</v>
      </c>
      <c r="U149" s="271">
        <v>410628</v>
      </c>
      <c r="V149" s="271">
        <v>410628</v>
      </c>
      <c r="W149" s="271">
        <v>410628</v>
      </c>
      <c r="X149" s="271">
        <v>410628</v>
      </c>
      <c r="Y149" s="271">
        <v>410628</v>
      </c>
      <c r="Z149" s="271">
        <v>410628</v>
      </c>
      <c r="AA149" s="271">
        <v>410628</v>
      </c>
      <c r="AB149" s="271">
        <v>410628</v>
      </c>
      <c r="AC149" s="271">
        <v>410628</v>
      </c>
      <c r="AD149" s="271">
        <v>410628</v>
      </c>
      <c r="AE149" s="271">
        <v>410628</v>
      </c>
      <c r="AF149" s="272">
        <v>410628</v>
      </c>
      <c r="AG149" s="257">
        <f t="shared" si="5"/>
        <v>410628</v>
      </c>
      <c r="AH149" s="44">
        <v>410628</v>
      </c>
    </row>
    <row r="150" spans="1:34" x14ac:dyDescent="0.35">
      <c r="A150" s="30" t="s">
        <v>289</v>
      </c>
      <c r="B150" s="270">
        <v>430174.36</v>
      </c>
      <c r="C150" s="271">
        <v>430174.36</v>
      </c>
      <c r="D150" s="271">
        <v>430174.36</v>
      </c>
      <c r="E150" s="271">
        <v>430174.36</v>
      </c>
      <c r="F150" s="271">
        <v>430174.36</v>
      </c>
      <c r="G150" s="271">
        <v>430174.36</v>
      </c>
      <c r="H150" s="271">
        <v>430174.36</v>
      </c>
      <c r="I150" s="271">
        <v>430174.36</v>
      </c>
      <c r="J150" s="271">
        <v>430174.36</v>
      </c>
      <c r="K150" s="271">
        <v>430174.36</v>
      </c>
      <c r="L150" s="271">
        <v>430174.36</v>
      </c>
      <c r="M150" s="271">
        <v>430174.36</v>
      </c>
      <c r="N150" s="271">
        <v>430174.36</v>
      </c>
      <c r="O150" s="271">
        <v>430174.36</v>
      </c>
      <c r="P150" s="271">
        <v>430174.36</v>
      </c>
      <c r="Q150" s="271">
        <v>430174.36</v>
      </c>
      <c r="R150" s="271">
        <v>430174.36</v>
      </c>
      <c r="S150" s="271">
        <v>430174.36</v>
      </c>
      <c r="T150" s="271">
        <v>430174.36</v>
      </c>
      <c r="U150" s="271">
        <v>430174.36</v>
      </c>
      <c r="V150" s="271">
        <v>430174.36</v>
      </c>
      <c r="W150" s="271">
        <v>430174.36</v>
      </c>
      <c r="X150" s="271">
        <v>430174.36</v>
      </c>
      <c r="Y150" s="271">
        <v>430174.36</v>
      </c>
      <c r="Z150" s="271">
        <v>430174.36</v>
      </c>
      <c r="AA150" s="271">
        <v>430174.36</v>
      </c>
      <c r="AB150" s="271">
        <v>430174.36</v>
      </c>
      <c r="AC150" s="271">
        <v>430174.36</v>
      </c>
      <c r="AD150" s="271">
        <v>430174.36</v>
      </c>
      <c r="AE150" s="271">
        <v>430174.36</v>
      </c>
      <c r="AF150" s="272">
        <v>430174.36</v>
      </c>
      <c r="AG150" s="257">
        <f t="shared" si="5"/>
        <v>430174.36</v>
      </c>
      <c r="AH150" s="44">
        <v>430174.36</v>
      </c>
    </row>
    <row r="151" spans="1:34" x14ac:dyDescent="0.35">
      <c r="A151" s="30" t="s">
        <v>290</v>
      </c>
      <c r="B151" s="270">
        <v>410516</v>
      </c>
      <c r="C151" s="271">
        <v>410516</v>
      </c>
      <c r="D151" s="271">
        <v>410516</v>
      </c>
      <c r="E151" s="271">
        <v>410516</v>
      </c>
      <c r="F151" s="271">
        <v>410516</v>
      </c>
      <c r="G151" s="271">
        <v>410516</v>
      </c>
      <c r="H151" s="271">
        <v>410516</v>
      </c>
      <c r="I151" s="271">
        <v>410516</v>
      </c>
      <c r="J151" s="271">
        <v>410516</v>
      </c>
      <c r="K151" s="271">
        <v>410516</v>
      </c>
      <c r="L151" s="271">
        <v>410516</v>
      </c>
      <c r="M151" s="271">
        <v>410516</v>
      </c>
      <c r="N151" s="271">
        <v>410516</v>
      </c>
      <c r="O151" s="271">
        <v>410516</v>
      </c>
      <c r="P151" s="271">
        <v>410516</v>
      </c>
      <c r="Q151" s="271">
        <v>410516</v>
      </c>
      <c r="R151" s="271">
        <v>410516</v>
      </c>
      <c r="S151" s="271">
        <v>410516</v>
      </c>
      <c r="T151" s="271">
        <v>410516</v>
      </c>
      <c r="U151" s="271">
        <v>410516</v>
      </c>
      <c r="V151" s="271">
        <v>410516</v>
      </c>
      <c r="W151" s="271">
        <v>410516</v>
      </c>
      <c r="X151" s="271">
        <v>410516</v>
      </c>
      <c r="Y151" s="271">
        <v>410516</v>
      </c>
      <c r="Z151" s="271">
        <v>410516</v>
      </c>
      <c r="AA151" s="271">
        <v>410516</v>
      </c>
      <c r="AB151" s="271">
        <v>410516</v>
      </c>
      <c r="AC151" s="271">
        <v>410516</v>
      </c>
      <c r="AD151" s="271">
        <v>410516</v>
      </c>
      <c r="AE151" s="271">
        <v>410516</v>
      </c>
      <c r="AF151" s="272">
        <v>410516</v>
      </c>
      <c r="AG151" s="257">
        <f t="shared" si="5"/>
        <v>410516</v>
      </c>
      <c r="AH151" s="44">
        <v>410516</v>
      </c>
    </row>
    <row r="152" spans="1:34" x14ac:dyDescent="0.35">
      <c r="A152" s="30" t="s">
        <v>291</v>
      </c>
      <c r="B152" s="270">
        <v>404897.6</v>
      </c>
      <c r="C152" s="271">
        <v>404897.6</v>
      </c>
      <c r="D152" s="271">
        <v>404897.6</v>
      </c>
      <c r="E152" s="271">
        <v>404897.6</v>
      </c>
      <c r="F152" s="271">
        <v>404897.6</v>
      </c>
      <c r="G152" s="271">
        <v>404897.6</v>
      </c>
      <c r="H152" s="271">
        <v>404897.6</v>
      </c>
      <c r="I152" s="271">
        <v>404897.6</v>
      </c>
      <c r="J152" s="271">
        <v>404897.6</v>
      </c>
      <c r="K152" s="271">
        <v>404897.6</v>
      </c>
      <c r="L152" s="271">
        <v>404897.6</v>
      </c>
      <c r="M152" s="271">
        <v>404897.6</v>
      </c>
      <c r="N152" s="271">
        <v>404897.6</v>
      </c>
      <c r="O152" s="271">
        <v>404897.6</v>
      </c>
      <c r="P152" s="271">
        <v>404897.6</v>
      </c>
      <c r="Q152" s="271">
        <v>404897.6</v>
      </c>
      <c r="R152" s="271">
        <v>404897.6</v>
      </c>
      <c r="S152" s="271">
        <v>404897.6</v>
      </c>
      <c r="T152" s="271">
        <v>404897.6</v>
      </c>
      <c r="U152" s="271">
        <v>404897.6</v>
      </c>
      <c r="V152" s="271">
        <v>404897.6</v>
      </c>
      <c r="W152" s="271">
        <v>404897.6</v>
      </c>
      <c r="X152" s="271">
        <v>404897.6</v>
      </c>
      <c r="Y152" s="271">
        <v>404897.6</v>
      </c>
      <c r="Z152" s="271">
        <v>404897.6</v>
      </c>
      <c r="AA152" s="271">
        <v>404897.6</v>
      </c>
      <c r="AB152" s="271">
        <v>404897.6</v>
      </c>
      <c r="AC152" s="271">
        <v>404897.6</v>
      </c>
      <c r="AD152" s="271">
        <v>404897.6</v>
      </c>
      <c r="AE152" s="271">
        <v>404897.6</v>
      </c>
      <c r="AF152" s="272">
        <v>404897.6</v>
      </c>
      <c r="AG152" s="257">
        <f t="shared" si="5"/>
        <v>404897.6</v>
      </c>
      <c r="AH152" s="44">
        <v>404897.6</v>
      </c>
    </row>
    <row r="153" spans="1:34" x14ac:dyDescent="0.35">
      <c r="A153" s="30" t="s">
        <v>292</v>
      </c>
      <c r="B153" s="270">
        <v>427666.8</v>
      </c>
      <c r="C153" s="271">
        <v>427666.8</v>
      </c>
      <c r="D153" s="271">
        <v>427666.8</v>
      </c>
      <c r="E153" s="271">
        <v>427666.8</v>
      </c>
      <c r="F153" s="271">
        <v>427666.8</v>
      </c>
      <c r="G153" s="271">
        <v>427666.8</v>
      </c>
      <c r="H153" s="271">
        <v>427666.8</v>
      </c>
      <c r="I153" s="271">
        <v>427666.8</v>
      </c>
      <c r="J153" s="271">
        <v>427666.8</v>
      </c>
      <c r="K153" s="271">
        <v>427666.8</v>
      </c>
      <c r="L153" s="271">
        <v>427666.8</v>
      </c>
      <c r="M153" s="271">
        <v>427666.8</v>
      </c>
      <c r="N153" s="271">
        <v>427666.8</v>
      </c>
      <c r="O153" s="271">
        <v>427666.8</v>
      </c>
      <c r="P153" s="271">
        <v>427666.8</v>
      </c>
      <c r="Q153" s="271">
        <v>427666.8</v>
      </c>
      <c r="R153" s="271">
        <v>427666.8</v>
      </c>
      <c r="S153" s="271">
        <v>427666.8</v>
      </c>
      <c r="T153" s="271">
        <v>427666.8</v>
      </c>
      <c r="U153" s="271">
        <v>427666.8</v>
      </c>
      <c r="V153" s="271">
        <v>427666.8</v>
      </c>
      <c r="W153" s="271">
        <v>427666.8</v>
      </c>
      <c r="X153" s="271">
        <v>427666.8</v>
      </c>
      <c r="Y153" s="271">
        <v>427666.8</v>
      </c>
      <c r="Z153" s="271">
        <v>427666.8</v>
      </c>
      <c r="AA153" s="271">
        <v>427666.8</v>
      </c>
      <c r="AB153" s="271">
        <v>427666.8</v>
      </c>
      <c r="AC153" s="271">
        <v>427666.8</v>
      </c>
      <c r="AD153" s="271">
        <v>427666.8</v>
      </c>
      <c r="AE153" s="271">
        <v>427666.8</v>
      </c>
      <c r="AF153" s="272">
        <v>427666.8</v>
      </c>
      <c r="AG153" s="257">
        <f t="shared" si="5"/>
        <v>427666.8</v>
      </c>
      <c r="AH153" s="44">
        <v>427666.8</v>
      </c>
    </row>
    <row r="154" spans="1:34" x14ac:dyDescent="0.35">
      <c r="A154" s="30" t="s">
        <v>293</v>
      </c>
      <c r="B154" s="270">
        <v>425478.95999999996</v>
      </c>
      <c r="C154" s="271">
        <v>425478.95999999996</v>
      </c>
      <c r="D154" s="271">
        <v>425478.95999999996</v>
      </c>
      <c r="E154" s="271">
        <v>425478.95999999996</v>
      </c>
      <c r="F154" s="271">
        <v>425478.95999999996</v>
      </c>
      <c r="G154" s="271">
        <v>425478.95999999996</v>
      </c>
      <c r="H154" s="271">
        <v>425478.95999999996</v>
      </c>
      <c r="I154" s="271">
        <v>425478.95999999996</v>
      </c>
      <c r="J154" s="271">
        <v>425478.95999999996</v>
      </c>
      <c r="K154" s="271">
        <v>425478.95999999996</v>
      </c>
      <c r="L154" s="271">
        <v>425478.95999999996</v>
      </c>
      <c r="M154" s="271">
        <v>425478.95999999996</v>
      </c>
      <c r="N154" s="271">
        <v>425478.95999999996</v>
      </c>
      <c r="O154" s="271">
        <v>425478.95999999996</v>
      </c>
      <c r="P154" s="271">
        <v>425478.95999999996</v>
      </c>
      <c r="Q154" s="271">
        <v>425478.95999999996</v>
      </c>
      <c r="R154" s="271">
        <v>425478.95999999996</v>
      </c>
      <c r="S154" s="271">
        <v>425478.95999999996</v>
      </c>
      <c r="T154" s="271">
        <v>425478.95999999996</v>
      </c>
      <c r="U154" s="271">
        <v>425478.95999999996</v>
      </c>
      <c r="V154" s="271">
        <v>425478.95999999996</v>
      </c>
      <c r="W154" s="271">
        <v>425478.95999999996</v>
      </c>
      <c r="X154" s="271">
        <v>425478.95999999996</v>
      </c>
      <c r="Y154" s="271">
        <v>425478.95999999996</v>
      </c>
      <c r="Z154" s="271">
        <v>425478.95999999996</v>
      </c>
      <c r="AA154" s="271">
        <v>425478.95999999996</v>
      </c>
      <c r="AB154" s="271">
        <v>425478.95999999996</v>
      </c>
      <c r="AC154" s="271">
        <v>425478.95999999996</v>
      </c>
      <c r="AD154" s="271">
        <v>425478.95999999996</v>
      </c>
      <c r="AE154" s="271">
        <v>425478.95999999996</v>
      </c>
      <c r="AF154" s="272">
        <v>425478.95999999996</v>
      </c>
      <c r="AG154" s="257">
        <f t="shared" si="5"/>
        <v>425478.95999999996</v>
      </c>
      <c r="AH154" s="44">
        <v>425478.96</v>
      </c>
    </row>
    <row r="155" spans="1:34" x14ac:dyDescent="0.35">
      <c r="A155" s="30" t="s">
        <v>294</v>
      </c>
      <c r="B155" s="270">
        <v>394108</v>
      </c>
      <c r="C155" s="271">
        <v>394108</v>
      </c>
      <c r="D155" s="271">
        <v>394108</v>
      </c>
      <c r="E155" s="271">
        <v>394108</v>
      </c>
      <c r="F155" s="271">
        <v>394108</v>
      </c>
      <c r="G155" s="271">
        <v>394108</v>
      </c>
      <c r="H155" s="271">
        <v>394108</v>
      </c>
      <c r="I155" s="271">
        <v>394108</v>
      </c>
      <c r="J155" s="271">
        <v>394108</v>
      </c>
      <c r="K155" s="271">
        <v>394108</v>
      </c>
      <c r="L155" s="271">
        <v>394108</v>
      </c>
      <c r="M155" s="271">
        <v>394108</v>
      </c>
      <c r="N155" s="271">
        <v>394108</v>
      </c>
      <c r="O155" s="271">
        <v>394108</v>
      </c>
      <c r="P155" s="271">
        <v>394108</v>
      </c>
      <c r="Q155" s="271">
        <v>394108</v>
      </c>
      <c r="R155" s="271">
        <v>394108</v>
      </c>
      <c r="S155" s="271">
        <v>394108</v>
      </c>
      <c r="T155" s="271">
        <v>394108</v>
      </c>
      <c r="U155" s="271">
        <v>394108</v>
      </c>
      <c r="V155" s="271">
        <v>394108</v>
      </c>
      <c r="W155" s="271">
        <v>394108</v>
      </c>
      <c r="X155" s="271">
        <v>394108</v>
      </c>
      <c r="Y155" s="271">
        <v>394108</v>
      </c>
      <c r="Z155" s="271">
        <v>394108</v>
      </c>
      <c r="AA155" s="271">
        <v>394108</v>
      </c>
      <c r="AB155" s="271">
        <v>394108</v>
      </c>
      <c r="AC155" s="271">
        <v>394108</v>
      </c>
      <c r="AD155" s="271">
        <v>394108</v>
      </c>
      <c r="AE155" s="271">
        <v>394108</v>
      </c>
      <c r="AF155" s="272">
        <v>394108</v>
      </c>
      <c r="AG155" s="257">
        <f t="shared" si="5"/>
        <v>394108</v>
      </c>
      <c r="AH155" s="44">
        <v>394108</v>
      </c>
    </row>
    <row r="156" spans="1:34" x14ac:dyDescent="0.35">
      <c r="A156" s="30" t="s">
        <v>295</v>
      </c>
      <c r="B156" s="270">
        <v>406138.17</v>
      </c>
      <c r="C156" s="271">
        <v>406138.17</v>
      </c>
      <c r="D156" s="271">
        <v>406138.17</v>
      </c>
      <c r="E156" s="271">
        <v>406138.17</v>
      </c>
      <c r="F156" s="271">
        <v>406138.17</v>
      </c>
      <c r="G156" s="271">
        <v>406138.17</v>
      </c>
      <c r="H156" s="271">
        <v>406138.17</v>
      </c>
      <c r="I156" s="271">
        <v>406138.17</v>
      </c>
      <c r="J156" s="271">
        <v>406138.17</v>
      </c>
      <c r="K156" s="271">
        <v>406138.17</v>
      </c>
      <c r="L156" s="271">
        <v>406138.17</v>
      </c>
      <c r="M156" s="271">
        <v>406138.17</v>
      </c>
      <c r="N156" s="271">
        <v>406138.17</v>
      </c>
      <c r="O156" s="271">
        <v>406138.17</v>
      </c>
      <c r="P156" s="271">
        <v>406138.17</v>
      </c>
      <c r="Q156" s="271">
        <v>406138.17</v>
      </c>
      <c r="R156" s="271">
        <v>406138.17</v>
      </c>
      <c r="S156" s="271">
        <v>406138.17</v>
      </c>
      <c r="T156" s="271">
        <v>406138.17</v>
      </c>
      <c r="U156" s="271">
        <v>406138.17</v>
      </c>
      <c r="V156" s="271">
        <v>406138.17</v>
      </c>
      <c r="W156" s="271">
        <v>406138.17</v>
      </c>
      <c r="X156" s="271">
        <v>406138.17</v>
      </c>
      <c r="Y156" s="271">
        <v>406138.17</v>
      </c>
      <c r="Z156" s="271">
        <v>406138.17</v>
      </c>
      <c r="AA156" s="271">
        <v>406138.17</v>
      </c>
      <c r="AB156" s="271">
        <v>406138.17</v>
      </c>
      <c r="AC156" s="271">
        <v>406138.17</v>
      </c>
      <c r="AD156" s="271">
        <v>406138.17</v>
      </c>
      <c r="AE156" s="271">
        <v>406138.17</v>
      </c>
      <c r="AF156" s="272">
        <v>406138.17</v>
      </c>
      <c r="AG156" s="257">
        <f t="shared" si="5"/>
        <v>406138.17</v>
      </c>
      <c r="AH156" s="44">
        <v>406138.17</v>
      </c>
    </row>
    <row r="157" spans="1:34" x14ac:dyDescent="0.35">
      <c r="A157" s="30" t="s">
        <v>296</v>
      </c>
      <c r="B157" s="270">
        <v>403044</v>
      </c>
      <c r="C157" s="271">
        <v>403044</v>
      </c>
      <c r="D157" s="271">
        <v>403044</v>
      </c>
      <c r="E157" s="271">
        <v>403044</v>
      </c>
      <c r="F157" s="271">
        <v>403044</v>
      </c>
      <c r="G157" s="271">
        <v>403044</v>
      </c>
      <c r="H157" s="271">
        <v>403044</v>
      </c>
      <c r="I157" s="271">
        <v>403044</v>
      </c>
      <c r="J157" s="271">
        <v>403044</v>
      </c>
      <c r="K157" s="271">
        <v>403044</v>
      </c>
      <c r="L157" s="271">
        <v>403044</v>
      </c>
      <c r="M157" s="271">
        <v>403044</v>
      </c>
      <c r="N157" s="271">
        <v>403044</v>
      </c>
      <c r="O157" s="271">
        <v>403044</v>
      </c>
      <c r="P157" s="271">
        <v>403044</v>
      </c>
      <c r="Q157" s="271">
        <v>403044</v>
      </c>
      <c r="R157" s="271">
        <v>403044</v>
      </c>
      <c r="S157" s="271">
        <v>403044</v>
      </c>
      <c r="T157" s="271">
        <v>403044</v>
      </c>
      <c r="U157" s="271">
        <v>403044</v>
      </c>
      <c r="V157" s="271">
        <v>403044</v>
      </c>
      <c r="W157" s="271">
        <v>403044</v>
      </c>
      <c r="X157" s="271">
        <v>403044</v>
      </c>
      <c r="Y157" s="271">
        <v>403044</v>
      </c>
      <c r="Z157" s="271">
        <v>403044</v>
      </c>
      <c r="AA157" s="271">
        <v>403044</v>
      </c>
      <c r="AB157" s="271">
        <v>403044</v>
      </c>
      <c r="AC157" s="271">
        <v>403044</v>
      </c>
      <c r="AD157" s="271">
        <v>403044</v>
      </c>
      <c r="AE157" s="271">
        <v>403044</v>
      </c>
      <c r="AF157" s="272">
        <v>403044</v>
      </c>
      <c r="AG157" s="257">
        <f t="shared" si="5"/>
        <v>403044</v>
      </c>
      <c r="AH157" s="44">
        <v>403044</v>
      </c>
    </row>
    <row r="158" spans="1:34" x14ac:dyDescent="0.35">
      <c r="A158" s="30" t="s">
        <v>298</v>
      </c>
      <c r="B158" s="270">
        <v>292029.59999999998</v>
      </c>
      <c r="C158" s="271">
        <v>292029.59999999998</v>
      </c>
      <c r="D158" s="271">
        <v>292029.59999999998</v>
      </c>
      <c r="E158" s="271">
        <v>292029.59999999998</v>
      </c>
      <c r="F158" s="271">
        <v>292029.59999999998</v>
      </c>
      <c r="G158" s="271">
        <v>292029.59999999998</v>
      </c>
      <c r="H158" s="271">
        <v>292029.59999999998</v>
      </c>
      <c r="I158" s="271">
        <v>292029.59999999998</v>
      </c>
      <c r="J158" s="271">
        <v>292029.59999999998</v>
      </c>
      <c r="K158" s="271">
        <v>292029.59999999998</v>
      </c>
      <c r="L158" s="271">
        <v>292029.59999999998</v>
      </c>
      <c r="M158" s="271">
        <v>292029.59999999998</v>
      </c>
      <c r="N158" s="271">
        <v>292029.59999999998</v>
      </c>
      <c r="O158" s="271">
        <v>292029.59999999998</v>
      </c>
      <c r="P158" s="271">
        <v>292029.59999999998</v>
      </c>
      <c r="Q158" s="271">
        <v>292029.59999999998</v>
      </c>
      <c r="R158" s="271">
        <v>292029.59999999998</v>
      </c>
      <c r="S158" s="271">
        <v>292029.59999999998</v>
      </c>
      <c r="T158" s="271">
        <v>292029.59999999998</v>
      </c>
      <c r="U158" s="271">
        <v>292029.59999999998</v>
      </c>
      <c r="V158" s="271">
        <v>292029.59999999998</v>
      </c>
      <c r="W158" s="271">
        <v>292029.59999999998</v>
      </c>
      <c r="X158" s="271">
        <v>292029.59999999998</v>
      </c>
      <c r="Y158" s="271">
        <v>292029.59999999998</v>
      </c>
      <c r="Z158" s="271">
        <v>292029.59999999998</v>
      </c>
      <c r="AA158" s="271">
        <v>292029.59999999998</v>
      </c>
      <c r="AB158" s="271">
        <v>292029.59999999998</v>
      </c>
      <c r="AC158" s="271">
        <v>292029.59999999998</v>
      </c>
      <c r="AD158" s="271">
        <v>292029.59999999998</v>
      </c>
      <c r="AE158" s="271">
        <v>292029.59999999998</v>
      </c>
      <c r="AF158" s="272">
        <v>292029.59999999998</v>
      </c>
      <c r="AG158" s="257">
        <f t="shared" si="5"/>
        <v>292029.59999999998</v>
      </c>
      <c r="AH158" s="44">
        <v>292029.59999999998</v>
      </c>
    </row>
    <row r="159" spans="1:34" x14ac:dyDescent="0.35">
      <c r="A159" s="30" t="s">
        <v>299</v>
      </c>
      <c r="B159" s="270">
        <v>389484</v>
      </c>
      <c r="C159" s="271">
        <v>389484</v>
      </c>
      <c r="D159" s="271">
        <v>389484</v>
      </c>
      <c r="E159" s="271">
        <v>389484</v>
      </c>
      <c r="F159" s="271">
        <v>389484</v>
      </c>
      <c r="G159" s="271">
        <v>389484</v>
      </c>
      <c r="H159" s="271">
        <v>389484</v>
      </c>
      <c r="I159" s="271">
        <v>389484</v>
      </c>
      <c r="J159" s="271">
        <v>389484</v>
      </c>
      <c r="K159" s="271">
        <v>389484</v>
      </c>
      <c r="L159" s="271">
        <v>389484</v>
      </c>
      <c r="M159" s="271">
        <v>389484</v>
      </c>
      <c r="N159" s="271">
        <v>389484</v>
      </c>
      <c r="O159" s="271">
        <v>389484</v>
      </c>
      <c r="P159" s="271">
        <v>389484</v>
      </c>
      <c r="Q159" s="271">
        <v>389484</v>
      </c>
      <c r="R159" s="271">
        <v>389484</v>
      </c>
      <c r="S159" s="271">
        <v>389484</v>
      </c>
      <c r="T159" s="271">
        <v>389484</v>
      </c>
      <c r="U159" s="271">
        <v>389484</v>
      </c>
      <c r="V159" s="271">
        <v>389484</v>
      </c>
      <c r="W159" s="271">
        <v>389484</v>
      </c>
      <c r="X159" s="271">
        <v>389484</v>
      </c>
      <c r="Y159" s="271">
        <v>389484</v>
      </c>
      <c r="Z159" s="271">
        <v>389484</v>
      </c>
      <c r="AA159" s="271">
        <v>389484</v>
      </c>
      <c r="AB159" s="271">
        <v>389484</v>
      </c>
      <c r="AC159" s="271">
        <v>389484</v>
      </c>
      <c r="AD159" s="271">
        <v>389484</v>
      </c>
      <c r="AE159" s="271">
        <v>389484</v>
      </c>
      <c r="AF159" s="272">
        <v>389484</v>
      </c>
      <c r="AG159" s="257">
        <f t="shared" si="5"/>
        <v>389484</v>
      </c>
      <c r="AH159" s="44">
        <v>389484</v>
      </c>
    </row>
    <row r="160" spans="1:34" x14ac:dyDescent="0.35">
      <c r="A160" s="30" t="s">
        <v>300</v>
      </c>
      <c r="B160" s="270">
        <v>336559.6</v>
      </c>
      <c r="C160" s="271">
        <v>336559.6</v>
      </c>
      <c r="D160" s="271">
        <v>336559.6</v>
      </c>
      <c r="E160" s="271">
        <v>336559.6</v>
      </c>
      <c r="F160" s="271">
        <v>336559.6</v>
      </c>
      <c r="G160" s="271">
        <v>336559.6</v>
      </c>
      <c r="H160" s="271">
        <v>336559.6</v>
      </c>
      <c r="I160" s="271">
        <v>336559.6</v>
      </c>
      <c r="J160" s="271">
        <v>336559.6</v>
      </c>
      <c r="K160" s="271">
        <v>336559.6</v>
      </c>
      <c r="L160" s="271">
        <v>336559.6</v>
      </c>
      <c r="M160" s="271">
        <v>336559.6</v>
      </c>
      <c r="N160" s="271">
        <v>336559.6</v>
      </c>
      <c r="O160" s="271">
        <v>336559.6</v>
      </c>
      <c r="P160" s="271">
        <v>336559.6</v>
      </c>
      <c r="Q160" s="271">
        <v>336559.6</v>
      </c>
      <c r="R160" s="271">
        <v>336559.6</v>
      </c>
      <c r="S160" s="271">
        <v>336559.6</v>
      </c>
      <c r="T160" s="271">
        <v>336559.6</v>
      </c>
      <c r="U160" s="271">
        <v>336559.6</v>
      </c>
      <c r="V160" s="271">
        <v>336559.6</v>
      </c>
      <c r="W160" s="271">
        <v>336559.6</v>
      </c>
      <c r="X160" s="271">
        <v>336559.6</v>
      </c>
      <c r="Y160" s="271">
        <v>336559.6</v>
      </c>
      <c r="Z160" s="271">
        <v>336559.6</v>
      </c>
      <c r="AA160" s="271">
        <v>336559.6</v>
      </c>
      <c r="AB160" s="271">
        <v>336559.6</v>
      </c>
      <c r="AC160" s="271">
        <v>336559.6</v>
      </c>
      <c r="AD160" s="271">
        <v>336559.6</v>
      </c>
      <c r="AE160" s="271">
        <v>336559.6</v>
      </c>
      <c r="AF160" s="272">
        <v>336559.6</v>
      </c>
      <c r="AG160" s="257">
        <f t="shared" si="5"/>
        <v>336559.6</v>
      </c>
      <c r="AH160" s="44">
        <v>336559.6</v>
      </c>
    </row>
    <row r="161" spans="1:34" x14ac:dyDescent="0.35">
      <c r="A161" s="30" t="s">
        <v>301</v>
      </c>
      <c r="B161" s="270">
        <v>374428</v>
      </c>
      <c r="C161" s="271">
        <v>374428</v>
      </c>
      <c r="D161" s="271">
        <v>374428</v>
      </c>
      <c r="E161" s="271">
        <v>374428</v>
      </c>
      <c r="F161" s="271">
        <v>374428</v>
      </c>
      <c r="G161" s="271">
        <v>374428</v>
      </c>
      <c r="H161" s="271">
        <v>374428</v>
      </c>
      <c r="I161" s="271">
        <v>374428</v>
      </c>
      <c r="J161" s="271">
        <v>374428</v>
      </c>
      <c r="K161" s="271">
        <v>374428</v>
      </c>
      <c r="L161" s="271">
        <v>374428</v>
      </c>
      <c r="M161" s="271">
        <v>374428</v>
      </c>
      <c r="N161" s="271">
        <v>374428</v>
      </c>
      <c r="O161" s="271">
        <v>374428</v>
      </c>
      <c r="P161" s="271">
        <v>374428</v>
      </c>
      <c r="Q161" s="271">
        <v>374428</v>
      </c>
      <c r="R161" s="271">
        <v>374428</v>
      </c>
      <c r="S161" s="271">
        <v>374428</v>
      </c>
      <c r="T161" s="271">
        <v>374428</v>
      </c>
      <c r="U161" s="271">
        <v>374428</v>
      </c>
      <c r="V161" s="271">
        <v>374428</v>
      </c>
      <c r="W161" s="271">
        <v>374428</v>
      </c>
      <c r="X161" s="271">
        <v>374428</v>
      </c>
      <c r="Y161" s="271">
        <v>374428</v>
      </c>
      <c r="Z161" s="271">
        <v>374428</v>
      </c>
      <c r="AA161" s="271">
        <v>374428</v>
      </c>
      <c r="AB161" s="271">
        <v>374428</v>
      </c>
      <c r="AC161" s="271">
        <v>374428</v>
      </c>
      <c r="AD161" s="271">
        <v>374428</v>
      </c>
      <c r="AE161" s="271">
        <v>374428</v>
      </c>
      <c r="AF161" s="272">
        <v>374428</v>
      </c>
      <c r="AG161" s="257">
        <f t="shared" si="5"/>
        <v>374428</v>
      </c>
      <c r="AH161" s="44">
        <v>374428</v>
      </c>
    </row>
    <row r="162" spans="1:34" x14ac:dyDescent="0.35">
      <c r="A162" s="30" t="s">
        <v>302</v>
      </c>
      <c r="B162" s="270">
        <v>0</v>
      </c>
      <c r="C162" s="271">
        <v>0</v>
      </c>
      <c r="D162" s="271">
        <v>0</v>
      </c>
      <c r="E162" s="271">
        <v>0</v>
      </c>
      <c r="F162" s="271">
        <v>0</v>
      </c>
      <c r="G162" s="271">
        <v>0</v>
      </c>
      <c r="H162" s="271">
        <v>0</v>
      </c>
      <c r="I162" s="271">
        <v>0</v>
      </c>
      <c r="J162" s="271">
        <v>0</v>
      </c>
      <c r="K162" s="271">
        <v>0</v>
      </c>
      <c r="L162" s="271">
        <v>0</v>
      </c>
      <c r="M162" s="271">
        <v>0</v>
      </c>
      <c r="N162" s="271">
        <v>0</v>
      </c>
      <c r="O162" s="271">
        <v>0</v>
      </c>
      <c r="P162" s="271">
        <v>0</v>
      </c>
      <c r="Q162" s="271">
        <v>0</v>
      </c>
      <c r="R162" s="271">
        <v>0</v>
      </c>
      <c r="S162" s="271">
        <v>0</v>
      </c>
      <c r="T162" s="271">
        <v>0</v>
      </c>
      <c r="U162" s="271">
        <v>0</v>
      </c>
      <c r="V162" s="271">
        <v>0</v>
      </c>
      <c r="W162" s="271">
        <v>0</v>
      </c>
      <c r="X162" s="271">
        <v>0</v>
      </c>
      <c r="Y162" s="271">
        <v>0</v>
      </c>
      <c r="Z162" s="271">
        <v>0</v>
      </c>
      <c r="AA162" s="271">
        <v>0</v>
      </c>
      <c r="AB162" s="271">
        <v>0</v>
      </c>
      <c r="AC162" s="271">
        <v>0</v>
      </c>
      <c r="AD162" s="271">
        <v>0</v>
      </c>
      <c r="AE162" s="271">
        <v>0</v>
      </c>
      <c r="AF162" s="272">
        <v>0</v>
      </c>
      <c r="AG162" s="257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73">
        <v>0</v>
      </c>
      <c r="C163" s="274">
        <v>0</v>
      </c>
      <c r="D163" s="274">
        <v>0</v>
      </c>
      <c r="E163" s="274">
        <v>0</v>
      </c>
      <c r="F163" s="274">
        <v>0</v>
      </c>
      <c r="G163" s="274">
        <v>0</v>
      </c>
      <c r="H163" s="274">
        <v>0</v>
      </c>
      <c r="I163" s="274">
        <v>0</v>
      </c>
      <c r="J163" s="274">
        <v>0</v>
      </c>
      <c r="K163" s="274">
        <v>0</v>
      </c>
      <c r="L163" s="274">
        <v>0</v>
      </c>
      <c r="M163" s="274">
        <v>0</v>
      </c>
      <c r="N163" s="274">
        <v>0</v>
      </c>
      <c r="O163" s="274">
        <v>0</v>
      </c>
      <c r="P163" s="274">
        <v>0</v>
      </c>
      <c r="Q163" s="274">
        <v>0</v>
      </c>
      <c r="R163" s="274">
        <v>0</v>
      </c>
      <c r="S163" s="274">
        <v>0</v>
      </c>
      <c r="T163" s="274">
        <v>0</v>
      </c>
      <c r="U163" s="274">
        <v>0</v>
      </c>
      <c r="V163" s="274">
        <v>0</v>
      </c>
      <c r="W163" s="274">
        <v>0</v>
      </c>
      <c r="X163" s="274">
        <v>0</v>
      </c>
      <c r="Y163" s="274">
        <v>0</v>
      </c>
      <c r="Z163" s="274">
        <v>0</v>
      </c>
      <c r="AA163" s="274">
        <v>0</v>
      </c>
      <c r="AB163" s="274">
        <v>0</v>
      </c>
      <c r="AC163" s="274">
        <v>0</v>
      </c>
      <c r="AD163" s="274">
        <v>0</v>
      </c>
      <c r="AE163" s="274">
        <v>0</v>
      </c>
      <c r="AF163" s="275">
        <v>0</v>
      </c>
      <c r="AG163" s="263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A8BEB-D1E5-4734-8759-74EC99458B8C}">
  <sheetPr codeName="Hoja6"/>
  <dimension ref="A1:AH163"/>
  <sheetViews>
    <sheetView showGridLines="0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" sqref="C1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>
        <v>45444</v>
      </c>
      <c r="B1" s="6" t="s">
        <v>0</v>
      </c>
      <c r="G1" s="39"/>
      <c r="L1" s="39"/>
    </row>
    <row r="2" spans="1:34" ht="15" thickBot="1" x14ac:dyDescent="0.4">
      <c r="AG2" s="39"/>
    </row>
    <row r="3" spans="1:34" ht="15" thickBot="1" x14ac:dyDescent="0.4">
      <c r="A3" s="17" t="s">
        <v>270</v>
      </c>
      <c r="B3" s="45">
        <v>45444</v>
      </c>
      <c r="C3" s="46">
        <v>45445</v>
      </c>
      <c r="D3" s="46">
        <v>45446</v>
      </c>
      <c r="E3" s="46">
        <v>45447</v>
      </c>
      <c r="F3" s="46">
        <v>45448</v>
      </c>
      <c r="G3" s="46">
        <v>45449</v>
      </c>
      <c r="H3" s="46">
        <v>45450</v>
      </c>
      <c r="I3" s="46">
        <v>45451</v>
      </c>
      <c r="J3" s="46">
        <v>45452</v>
      </c>
      <c r="K3" s="46">
        <v>45453</v>
      </c>
      <c r="L3" s="46">
        <v>45454</v>
      </c>
      <c r="M3" s="46">
        <v>45455</v>
      </c>
      <c r="N3" s="46">
        <v>45456</v>
      </c>
      <c r="O3" s="46">
        <v>45457</v>
      </c>
      <c r="P3" s="46">
        <v>45458</v>
      </c>
      <c r="Q3" s="46">
        <v>45459</v>
      </c>
      <c r="R3" s="46">
        <v>45460</v>
      </c>
      <c r="S3" s="46">
        <v>45461</v>
      </c>
      <c r="T3" s="46">
        <v>45462</v>
      </c>
      <c r="U3" s="46">
        <v>45463</v>
      </c>
      <c r="V3" s="46">
        <v>45464</v>
      </c>
      <c r="W3" s="46">
        <v>45465</v>
      </c>
      <c r="X3" s="46">
        <v>45466</v>
      </c>
      <c r="Y3" s="46">
        <v>45467</v>
      </c>
      <c r="Z3" s="46">
        <v>45468</v>
      </c>
      <c r="AA3" s="46">
        <v>45469</v>
      </c>
      <c r="AB3" s="46">
        <v>45470</v>
      </c>
      <c r="AC3" s="46">
        <v>45471</v>
      </c>
      <c r="AD3" s="46">
        <v>45472</v>
      </c>
      <c r="AE3" s="46">
        <v>45473</v>
      </c>
      <c r="AF3" s="48"/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13">
        <v>81298.980000000098</v>
      </c>
      <c r="C4" s="14">
        <v>81319.710000000079</v>
      </c>
      <c r="D4" s="14">
        <v>81341.340000000084</v>
      </c>
      <c r="E4" s="14">
        <v>81362.630000000077</v>
      </c>
      <c r="F4" s="14">
        <v>81384.040000000081</v>
      </c>
      <c r="G4" s="14">
        <v>81405.500000000087</v>
      </c>
      <c r="H4" s="14">
        <v>81427.010000000082</v>
      </c>
      <c r="I4" s="14">
        <v>81448.670000000086</v>
      </c>
      <c r="J4" s="14">
        <v>81470.580000000089</v>
      </c>
      <c r="K4" s="14">
        <v>81492.130000000092</v>
      </c>
      <c r="L4" s="14">
        <v>81512.310000000085</v>
      </c>
      <c r="M4" s="14">
        <v>81533.870000000083</v>
      </c>
      <c r="N4" s="14">
        <v>81549.640000000087</v>
      </c>
      <c r="O4" s="14">
        <v>81571.080000000089</v>
      </c>
      <c r="P4" s="14">
        <v>81592.620000000083</v>
      </c>
      <c r="Q4" s="14">
        <v>81613.470000000088</v>
      </c>
      <c r="R4" s="14">
        <v>81634.660000000091</v>
      </c>
      <c r="S4" s="14">
        <v>81651.420000000086</v>
      </c>
      <c r="T4" s="14">
        <v>81665.280000000086</v>
      </c>
      <c r="U4" s="14">
        <v>81685.990000000093</v>
      </c>
      <c r="V4" s="14">
        <v>81707.340000000098</v>
      </c>
      <c r="W4" s="14">
        <v>81728.900000000096</v>
      </c>
      <c r="X4" s="14">
        <v>81748.960000000094</v>
      </c>
      <c r="Y4" s="14">
        <v>81769.870000000097</v>
      </c>
      <c r="Z4" s="14">
        <v>81789.250000000102</v>
      </c>
      <c r="AA4" s="14">
        <v>81806.570000000109</v>
      </c>
      <c r="AB4" s="14">
        <v>81823.170000000115</v>
      </c>
      <c r="AC4" s="14">
        <v>81829.580000000118</v>
      </c>
      <c r="AD4" s="14">
        <v>81847.040000000125</v>
      </c>
      <c r="AE4" s="14">
        <v>81861.500000000131</v>
      </c>
      <c r="AF4" s="15"/>
      <c r="AG4" s="51">
        <f t="shared" ref="AG4:AG35" si="0">MAX(B4:AF4)</f>
        <v>81861.500000000131</v>
      </c>
      <c r="AH4" s="44">
        <v>81277.83</v>
      </c>
    </row>
    <row r="5" spans="1:34" x14ac:dyDescent="0.35">
      <c r="A5" s="33" t="s">
        <v>11</v>
      </c>
      <c r="B5" s="10">
        <v>81809.43000000027</v>
      </c>
      <c r="C5" s="2">
        <v>81809.43000000027</v>
      </c>
      <c r="D5" s="2">
        <v>81809.43000000027</v>
      </c>
      <c r="E5" s="2">
        <v>81809.43000000027</v>
      </c>
      <c r="F5" s="2">
        <v>81824.470000000263</v>
      </c>
      <c r="G5" s="2">
        <v>81827.070000000269</v>
      </c>
      <c r="H5" s="2">
        <v>81838.530000000275</v>
      </c>
      <c r="I5" s="2">
        <v>81848.090000000273</v>
      </c>
      <c r="J5" s="2">
        <v>81859.110000000277</v>
      </c>
      <c r="K5" s="2">
        <v>81859.110000000277</v>
      </c>
      <c r="L5" s="2">
        <v>81876.510000000271</v>
      </c>
      <c r="M5" s="2">
        <v>81890.54000000027</v>
      </c>
      <c r="N5" s="2">
        <v>81903.140000000276</v>
      </c>
      <c r="O5" s="2">
        <v>81906.890000000276</v>
      </c>
      <c r="P5" s="2">
        <v>81906.890000000276</v>
      </c>
      <c r="Q5" s="2">
        <v>81917.900000000271</v>
      </c>
      <c r="R5" s="2">
        <v>81935.700000000274</v>
      </c>
      <c r="S5" s="2">
        <v>81951.150000000271</v>
      </c>
      <c r="T5" s="2">
        <v>81970.990000000267</v>
      </c>
      <c r="U5" s="2">
        <v>81992.54000000027</v>
      </c>
      <c r="V5" s="2">
        <v>82007.490000000267</v>
      </c>
      <c r="W5" s="2">
        <v>82029.650000000271</v>
      </c>
      <c r="X5" s="2">
        <v>82051.160000000265</v>
      </c>
      <c r="Y5" s="2">
        <v>82064.260000000271</v>
      </c>
      <c r="Z5" s="2">
        <v>82085.440000000264</v>
      </c>
      <c r="AA5" s="2">
        <v>82094.890000000261</v>
      </c>
      <c r="AB5" s="2">
        <v>82114.470000000263</v>
      </c>
      <c r="AC5" s="2">
        <v>82120.68000000027</v>
      </c>
      <c r="AD5" s="2">
        <v>82142.200000000274</v>
      </c>
      <c r="AE5" s="2">
        <v>82163.010000000271</v>
      </c>
      <c r="AF5" s="3"/>
      <c r="AG5" s="51">
        <f t="shared" si="0"/>
        <v>82163.010000000271</v>
      </c>
      <c r="AH5" s="44">
        <v>81809.429999999993</v>
      </c>
    </row>
    <row r="6" spans="1:34" x14ac:dyDescent="0.35">
      <c r="A6" s="33" t="s">
        <v>12</v>
      </c>
      <c r="B6" s="10">
        <v>81789.729999999909</v>
      </c>
      <c r="C6" s="2">
        <v>81810.279999999912</v>
      </c>
      <c r="D6" s="2">
        <v>81828.929999999906</v>
      </c>
      <c r="E6" s="2">
        <v>81849.999999999913</v>
      </c>
      <c r="F6" s="2">
        <v>81862.709999999919</v>
      </c>
      <c r="G6" s="2">
        <v>81880.389999999912</v>
      </c>
      <c r="H6" s="2">
        <v>81902.009999999907</v>
      </c>
      <c r="I6" s="2">
        <v>81918.94999999991</v>
      </c>
      <c r="J6" s="2">
        <v>81939.609999999913</v>
      </c>
      <c r="K6" s="2">
        <v>81958.039999999906</v>
      </c>
      <c r="L6" s="2">
        <v>81977.219999999899</v>
      </c>
      <c r="M6" s="2">
        <v>81998.619999999893</v>
      </c>
      <c r="N6" s="2">
        <v>82020.3299999999</v>
      </c>
      <c r="O6" s="2">
        <v>82041.659999999902</v>
      </c>
      <c r="P6" s="2">
        <v>82063.059999999896</v>
      </c>
      <c r="Q6" s="2">
        <v>82068.399999999892</v>
      </c>
      <c r="R6" s="2">
        <v>82089.629999999888</v>
      </c>
      <c r="S6" s="2">
        <v>82110.849999999889</v>
      </c>
      <c r="T6" s="2">
        <v>82132.609999999884</v>
      </c>
      <c r="U6" s="2">
        <v>82154.799999999886</v>
      </c>
      <c r="V6" s="2">
        <v>82176.45999999989</v>
      </c>
      <c r="W6" s="2">
        <v>82197.949999999895</v>
      </c>
      <c r="X6" s="2">
        <v>82219.799999999901</v>
      </c>
      <c r="Y6" s="2">
        <v>82239.319999999905</v>
      </c>
      <c r="Z6" s="2">
        <v>82248.769999999902</v>
      </c>
      <c r="AA6" s="2">
        <v>82269.799999999901</v>
      </c>
      <c r="AB6" s="2">
        <v>82288.659999999902</v>
      </c>
      <c r="AC6" s="2">
        <v>82289.879999999903</v>
      </c>
      <c r="AD6" s="2">
        <v>82309.499999999898</v>
      </c>
      <c r="AE6" s="2">
        <v>82330.289999999892</v>
      </c>
      <c r="AF6" s="3"/>
      <c r="AG6" s="51">
        <f t="shared" si="0"/>
        <v>82330.289999999892</v>
      </c>
      <c r="AH6" s="44">
        <v>81772.460000000006</v>
      </c>
    </row>
    <row r="7" spans="1:34" x14ac:dyDescent="0.35">
      <c r="A7" s="33" t="s">
        <v>13</v>
      </c>
      <c r="B7" s="10">
        <v>82402.089999999982</v>
      </c>
      <c r="C7" s="2">
        <v>82420.639999999985</v>
      </c>
      <c r="D7" s="2">
        <v>82438.569999999978</v>
      </c>
      <c r="E7" s="2">
        <v>82457.179999999978</v>
      </c>
      <c r="F7" s="2">
        <v>82475.299999999974</v>
      </c>
      <c r="G7" s="2">
        <v>82477.64999999998</v>
      </c>
      <c r="H7" s="2">
        <v>82496.439999999973</v>
      </c>
      <c r="I7" s="2">
        <v>82516.749999999971</v>
      </c>
      <c r="J7" s="2">
        <v>82534.829999999973</v>
      </c>
      <c r="K7" s="2">
        <v>82556.309999999969</v>
      </c>
      <c r="L7" s="2">
        <v>82577.929999999964</v>
      </c>
      <c r="M7" s="2">
        <v>82591.419999999969</v>
      </c>
      <c r="N7" s="2">
        <v>82607.209999999963</v>
      </c>
      <c r="O7" s="2">
        <v>82624.719999999958</v>
      </c>
      <c r="P7" s="2">
        <v>82645.90999999996</v>
      </c>
      <c r="Q7" s="2">
        <v>82666.489999999962</v>
      </c>
      <c r="R7" s="2">
        <v>82667.15999999996</v>
      </c>
      <c r="S7" s="2">
        <v>82667.15999999996</v>
      </c>
      <c r="T7" s="2">
        <v>82667.15999999996</v>
      </c>
      <c r="U7" s="2">
        <v>82678.799999999959</v>
      </c>
      <c r="V7" s="2">
        <v>82698.549999999959</v>
      </c>
      <c r="W7" s="2">
        <v>82719.639999999956</v>
      </c>
      <c r="X7" s="2">
        <v>82741.559999999954</v>
      </c>
      <c r="Y7" s="2">
        <v>82757.28999999995</v>
      </c>
      <c r="Z7" s="2">
        <v>82779.709999999948</v>
      </c>
      <c r="AA7" s="2">
        <v>82800.739999999947</v>
      </c>
      <c r="AB7" s="2">
        <v>82822.409999999945</v>
      </c>
      <c r="AC7" s="2">
        <v>82822.819999999949</v>
      </c>
      <c r="AD7" s="2">
        <v>82830.899999999951</v>
      </c>
      <c r="AE7" s="2">
        <v>82834.769999999946</v>
      </c>
      <c r="AF7" s="3"/>
      <c r="AG7" s="51">
        <f t="shared" si="0"/>
        <v>82834.769999999946</v>
      </c>
      <c r="AH7" s="44">
        <v>82380.92</v>
      </c>
    </row>
    <row r="8" spans="1:34" x14ac:dyDescent="0.35">
      <c r="A8" s="33" t="s">
        <v>14</v>
      </c>
      <c r="B8" s="10">
        <v>77653.780000000057</v>
      </c>
      <c r="C8" s="2">
        <v>77675.560000000056</v>
      </c>
      <c r="D8" s="2">
        <v>77695.96000000005</v>
      </c>
      <c r="E8" s="2">
        <v>77711.280000000057</v>
      </c>
      <c r="F8" s="2">
        <v>77731.250000000058</v>
      </c>
      <c r="G8" s="2">
        <v>77752.880000000063</v>
      </c>
      <c r="H8" s="2">
        <v>77774.590000000069</v>
      </c>
      <c r="I8" s="2">
        <v>77796.320000000065</v>
      </c>
      <c r="J8" s="2">
        <v>77815.180000000066</v>
      </c>
      <c r="K8" s="2">
        <v>77836.960000000065</v>
      </c>
      <c r="L8" s="2">
        <v>77857.280000000072</v>
      </c>
      <c r="M8" s="2">
        <v>77875.980000000069</v>
      </c>
      <c r="N8" s="2">
        <v>77896.400000000067</v>
      </c>
      <c r="O8" s="2">
        <v>77917.500000000073</v>
      </c>
      <c r="P8" s="2">
        <v>77936.140000000072</v>
      </c>
      <c r="Q8" s="2">
        <v>77957.790000000066</v>
      </c>
      <c r="R8" s="2">
        <v>77978.890000000072</v>
      </c>
      <c r="S8" s="2">
        <v>78000.640000000072</v>
      </c>
      <c r="T8" s="2">
        <v>78019.350000000079</v>
      </c>
      <c r="U8" s="2">
        <v>78037.520000000077</v>
      </c>
      <c r="V8" s="2">
        <v>78050.260000000082</v>
      </c>
      <c r="W8" s="2">
        <v>78068.010000000082</v>
      </c>
      <c r="X8" s="2">
        <v>78088.810000000085</v>
      </c>
      <c r="Y8" s="2">
        <v>78110.670000000086</v>
      </c>
      <c r="Z8" s="2">
        <v>78132.740000000093</v>
      </c>
      <c r="AA8" s="2">
        <v>78154.170000000086</v>
      </c>
      <c r="AB8" s="2">
        <v>78175.170000000086</v>
      </c>
      <c r="AC8" s="2">
        <v>78176.060000000085</v>
      </c>
      <c r="AD8" s="2">
        <v>78197.340000000084</v>
      </c>
      <c r="AE8" s="2">
        <v>78218.100000000079</v>
      </c>
      <c r="AF8" s="3"/>
      <c r="AG8" s="51">
        <f t="shared" si="0"/>
        <v>78218.100000000079</v>
      </c>
      <c r="AH8" s="44">
        <v>77632.88</v>
      </c>
    </row>
    <row r="9" spans="1:34" x14ac:dyDescent="0.35">
      <c r="A9" s="33" t="s">
        <v>15</v>
      </c>
      <c r="B9" s="10">
        <v>79877.250000000015</v>
      </c>
      <c r="C9" s="2">
        <v>79877.250000000015</v>
      </c>
      <c r="D9" s="2">
        <v>79877.250000000015</v>
      </c>
      <c r="E9" s="2">
        <v>79877.250000000015</v>
      </c>
      <c r="F9" s="2">
        <v>79877.250000000015</v>
      </c>
      <c r="G9" s="2">
        <v>79897.260000000009</v>
      </c>
      <c r="H9" s="2">
        <v>79916.970000000016</v>
      </c>
      <c r="I9" s="2">
        <v>79936.460000000021</v>
      </c>
      <c r="J9" s="2">
        <v>79950.610000000015</v>
      </c>
      <c r="K9" s="2">
        <v>79970.520000000019</v>
      </c>
      <c r="L9" s="2">
        <v>79992.010000000024</v>
      </c>
      <c r="M9" s="2">
        <v>80013.330000000031</v>
      </c>
      <c r="N9" s="2">
        <v>80034.72000000003</v>
      </c>
      <c r="O9" s="2">
        <v>80056.240000000034</v>
      </c>
      <c r="P9" s="2">
        <v>80073.930000000037</v>
      </c>
      <c r="Q9" s="2">
        <v>80095.050000000032</v>
      </c>
      <c r="R9" s="2">
        <v>80105.170000000027</v>
      </c>
      <c r="S9" s="2">
        <v>80105.170000000027</v>
      </c>
      <c r="T9" s="2">
        <v>80105.170000000027</v>
      </c>
      <c r="U9" s="2">
        <v>80105.170000000027</v>
      </c>
      <c r="V9" s="2">
        <v>80121.040000000023</v>
      </c>
      <c r="W9" s="2">
        <v>80142.430000000022</v>
      </c>
      <c r="X9" s="2">
        <v>80163.49000000002</v>
      </c>
      <c r="Y9" s="2">
        <v>80184.370000000024</v>
      </c>
      <c r="Z9" s="2">
        <v>80196.940000000031</v>
      </c>
      <c r="AA9" s="2">
        <v>80214.480000000025</v>
      </c>
      <c r="AB9" s="2">
        <v>80215.580000000031</v>
      </c>
      <c r="AC9" s="2">
        <v>80221.160000000033</v>
      </c>
      <c r="AD9" s="2">
        <v>80232.020000000033</v>
      </c>
      <c r="AE9" s="2">
        <v>80252.450000000026</v>
      </c>
      <c r="AF9" s="3"/>
      <c r="AG9" s="51">
        <f t="shared" si="0"/>
        <v>80252.450000000026</v>
      </c>
      <c r="AH9" s="44">
        <v>79871.070000000007</v>
      </c>
    </row>
    <row r="10" spans="1:34" x14ac:dyDescent="0.35">
      <c r="A10" s="33" t="s">
        <v>16</v>
      </c>
      <c r="B10" s="10">
        <v>79253.52000000012</v>
      </c>
      <c r="C10" s="2">
        <v>79274.250000000116</v>
      </c>
      <c r="D10" s="2">
        <v>79285.080000000118</v>
      </c>
      <c r="E10" s="2">
        <v>79304.060000000114</v>
      </c>
      <c r="F10" s="2">
        <v>79324.920000000115</v>
      </c>
      <c r="G10" s="2">
        <v>79344.010000000111</v>
      </c>
      <c r="H10" s="2">
        <v>79352.300000000105</v>
      </c>
      <c r="I10" s="2">
        <v>79373.080000000104</v>
      </c>
      <c r="J10" s="2">
        <v>79392.010000000097</v>
      </c>
      <c r="K10" s="2">
        <v>79405.200000000099</v>
      </c>
      <c r="L10" s="2">
        <v>79426.300000000105</v>
      </c>
      <c r="M10" s="2">
        <v>79447.870000000112</v>
      </c>
      <c r="N10" s="2">
        <v>79468.170000000115</v>
      </c>
      <c r="O10" s="2">
        <v>79475.030000000115</v>
      </c>
      <c r="P10" s="2">
        <v>79491.320000000109</v>
      </c>
      <c r="Q10" s="2">
        <v>79491.320000000109</v>
      </c>
      <c r="R10" s="2">
        <v>79491.320000000109</v>
      </c>
      <c r="S10" s="2">
        <v>79491.320000000109</v>
      </c>
      <c r="T10" s="2">
        <v>79503.990000000107</v>
      </c>
      <c r="U10" s="2">
        <v>79525.430000000109</v>
      </c>
      <c r="V10" s="2">
        <v>79546.580000000104</v>
      </c>
      <c r="W10" s="2">
        <v>79564.440000000104</v>
      </c>
      <c r="X10" s="2">
        <v>79585.380000000107</v>
      </c>
      <c r="Y10" s="2">
        <v>79606.840000000113</v>
      </c>
      <c r="Z10" s="2">
        <v>79626.04000000011</v>
      </c>
      <c r="AA10" s="2">
        <v>79639.230000000112</v>
      </c>
      <c r="AB10" s="2">
        <v>79654.520000000106</v>
      </c>
      <c r="AC10" s="2">
        <v>79655.770000000106</v>
      </c>
      <c r="AD10" s="2">
        <v>79676.890000000101</v>
      </c>
      <c r="AE10" s="2">
        <v>79698.790000000095</v>
      </c>
      <c r="AF10" s="3"/>
      <c r="AG10" s="51">
        <f t="shared" si="0"/>
        <v>79698.790000000095</v>
      </c>
      <c r="AH10" s="44">
        <v>79231.81</v>
      </c>
    </row>
    <row r="11" spans="1:34" x14ac:dyDescent="0.35">
      <c r="A11" s="33" t="s">
        <v>17</v>
      </c>
      <c r="B11" s="10">
        <v>77526.640000000465</v>
      </c>
      <c r="C11" s="2">
        <v>77542.830000000467</v>
      </c>
      <c r="D11" s="2">
        <v>77542.830000000467</v>
      </c>
      <c r="E11" s="2">
        <v>77561.690000000468</v>
      </c>
      <c r="F11" s="2">
        <v>77581.170000000464</v>
      </c>
      <c r="G11" s="2">
        <v>77602.350000000457</v>
      </c>
      <c r="H11" s="2">
        <v>77623.340000000462</v>
      </c>
      <c r="I11" s="2">
        <v>77640.770000000455</v>
      </c>
      <c r="J11" s="2">
        <v>77657.770000000455</v>
      </c>
      <c r="K11" s="2">
        <v>77678.51000000046</v>
      </c>
      <c r="L11" s="2">
        <v>77699.990000000456</v>
      </c>
      <c r="M11" s="2">
        <v>77721.430000000459</v>
      </c>
      <c r="N11" s="2">
        <v>77742.190000000453</v>
      </c>
      <c r="O11" s="2">
        <v>77763.520000000455</v>
      </c>
      <c r="P11" s="2">
        <v>77785.01000000046</v>
      </c>
      <c r="Q11" s="2">
        <v>77806.340000000462</v>
      </c>
      <c r="R11" s="2">
        <v>77828.01000000046</v>
      </c>
      <c r="S11" s="2">
        <v>77849.380000000456</v>
      </c>
      <c r="T11" s="2">
        <v>77869.870000000461</v>
      </c>
      <c r="U11" s="2">
        <v>77890.940000000468</v>
      </c>
      <c r="V11" s="2">
        <v>77912.490000000471</v>
      </c>
      <c r="W11" s="2">
        <v>77930.550000000469</v>
      </c>
      <c r="X11" s="2">
        <v>77951.090000000462</v>
      </c>
      <c r="Y11" s="2">
        <v>77971.800000000469</v>
      </c>
      <c r="Z11" s="2">
        <v>77993.240000000471</v>
      </c>
      <c r="AA11" s="2">
        <v>78010.320000000473</v>
      </c>
      <c r="AB11" s="2">
        <v>78031.700000000477</v>
      </c>
      <c r="AC11" s="2">
        <v>78034.350000000471</v>
      </c>
      <c r="AD11" s="2">
        <v>78053.290000000474</v>
      </c>
      <c r="AE11" s="2">
        <v>78063.260000000475</v>
      </c>
      <c r="AF11" s="3"/>
      <c r="AG11" s="51">
        <f t="shared" si="0"/>
        <v>78063.260000000475</v>
      </c>
      <c r="AH11" s="44">
        <v>77504.84</v>
      </c>
    </row>
    <row r="12" spans="1:34" x14ac:dyDescent="0.35">
      <c r="A12" s="33" t="s">
        <v>18</v>
      </c>
      <c r="B12" s="10">
        <v>77819.049999999799</v>
      </c>
      <c r="C12" s="2">
        <v>77836.129999999801</v>
      </c>
      <c r="D12" s="2">
        <v>77849.139999999796</v>
      </c>
      <c r="E12" s="2">
        <v>77871.049999999799</v>
      </c>
      <c r="F12" s="2">
        <v>77890.249999999796</v>
      </c>
      <c r="G12" s="2">
        <v>77905.7699999998</v>
      </c>
      <c r="H12" s="2">
        <v>77919.309999999794</v>
      </c>
      <c r="I12" s="2">
        <v>77941.099999999788</v>
      </c>
      <c r="J12" s="2">
        <v>77959.339999999793</v>
      </c>
      <c r="K12" s="2">
        <v>77979.329999999798</v>
      </c>
      <c r="L12" s="2">
        <v>77993.319999999803</v>
      </c>
      <c r="M12" s="2">
        <v>78011.009999999806</v>
      </c>
      <c r="N12" s="2">
        <v>78011.009999999806</v>
      </c>
      <c r="O12" s="2">
        <v>78021.369999999806</v>
      </c>
      <c r="P12" s="2">
        <v>78029.469999999812</v>
      </c>
      <c r="Q12" s="2">
        <v>78050.759999999806</v>
      </c>
      <c r="R12" s="2">
        <v>78071.4099999998</v>
      </c>
      <c r="S12" s="2">
        <v>78093.099999999802</v>
      </c>
      <c r="T12" s="2">
        <v>78100.979999999807</v>
      </c>
      <c r="U12" s="2">
        <v>78100.979999999807</v>
      </c>
      <c r="V12" s="2">
        <v>78100.979999999807</v>
      </c>
      <c r="W12" s="2">
        <v>78100.979999999807</v>
      </c>
      <c r="X12" s="2">
        <v>78100.979999999807</v>
      </c>
      <c r="Y12" s="2">
        <v>78119.709999999803</v>
      </c>
      <c r="Z12" s="2">
        <v>78141.439999999799</v>
      </c>
      <c r="AA12" s="2">
        <v>78156.889999999796</v>
      </c>
      <c r="AB12" s="2">
        <v>78177.749999999796</v>
      </c>
      <c r="AC12" s="2">
        <v>78178.4099999998</v>
      </c>
      <c r="AD12" s="2">
        <v>78198.549999999799</v>
      </c>
      <c r="AE12" s="2">
        <v>78217.919999999795</v>
      </c>
      <c r="AF12" s="3"/>
      <c r="AG12" s="51">
        <f t="shared" si="0"/>
        <v>78217.919999999795</v>
      </c>
      <c r="AH12" s="44">
        <v>77801.759999999995</v>
      </c>
    </row>
    <row r="13" spans="1:34" x14ac:dyDescent="0.35">
      <c r="A13" s="33" t="s">
        <v>19</v>
      </c>
      <c r="B13" s="10">
        <v>74444.490000000005</v>
      </c>
      <c r="C13" s="2">
        <v>74463.28</v>
      </c>
      <c r="D13" s="2">
        <v>74483.48</v>
      </c>
      <c r="E13" s="2">
        <v>74505.17</v>
      </c>
      <c r="F13" s="2">
        <v>74522.03</v>
      </c>
      <c r="G13" s="2">
        <v>74534.94</v>
      </c>
      <c r="H13" s="2">
        <v>74555.44</v>
      </c>
      <c r="I13" s="2">
        <v>74577.17</v>
      </c>
      <c r="J13" s="2">
        <v>74598.84</v>
      </c>
      <c r="K13" s="2">
        <v>74620.789999999994</v>
      </c>
      <c r="L13" s="2">
        <v>74639.899999999994</v>
      </c>
      <c r="M13" s="2">
        <v>74660.25</v>
      </c>
      <c r="N13" s="2">
        <v>74679.850000000006</v>
      </c>
      <c r="O13" s="2">
        <v>74693.83</v>
      </c>
      <c r="P13" s="2">
        <v>74715.22</v>
      </c>
      <c r="Q13" s="2">
        <v>74717.149999999994</v>
      </c>
      <c r="R13" s="2">
        <v>74717.149999999994</v>
      </c>
      <c r="S13" s="2">
        <v>74731.929999999993</v>
      </c>
      <c r="T13" s="2">
        <v>74753.179999999993</v>
      </c>
      <c r="U13" s="2">
        <v>74774.559999999998</v>
      </c>
      <c r="V13" s="2">
        <v>74795.989999999991</v>
      </c>
      <c r="W13" s="2">
        <v>74813.7</v>
      </c>
      <c r="X13" s="2">
        <v>74832.209999999992</v>
      </c>
      <c r="Y13" s="2">
        <v>74843.899999999994</v>
      </c>
      <c r="Z13" s="2">
        <v>74854.179999999993</v>
      </c>
      <c r="AA13" s="2">
        <v>74868.81</v>
      </c>
      <c r="AB13" s="2">
        <v>74889.83</v>
      </c>
      <c r="AC13" s="2">
        <v>74892.820000000007</v>
      </c>
      <c r="AD13" s="2">
        <v>74914.02</v>
      </c>
      <c r="AE13" s="2">
        <v>74934.48000000001</v>
      </c>
      <c r="AF13" s="3"/>
      <c r="AG13" s="51">
        <f t="shared" si="0"/>
        <v>74934.48000000001</v>
      </c>
      <c r="AH13" s="44">
        <v>74440.22</v>
      </c>
    </row>
    <row r="14" spans="1:34" x14ac:dyDescent="0.35">
      <c r="A14" s="33" t="s">
        <v>20</v>
      </c>
      <c r="B14" s="10">
        <v>73132.060000000114</v>
      </c>
      <c r="C14" s="2">
        <v>73150.220000000118</v>
      </c>
      <c r="D14" s="2">
        <v>73169.440000000119</v>
      </c>
      <c r="E14" s="2">
        <v>73184.290000000125</v>
      </c>
      <c r="F14" s="2">
        <v>73189.820000000123</v>
      </c>
      <c r="G14" s="2">
        <v>73210.880000000121</v>
      </c>
      <c r="H14" s="2">
        <v>73226.070000000123</v>
      </c>
      <c r="I14" s="2">
        <v>73247.080000000118</v>
      </c>
      <c r="J14" s="2">
        <v>73268.740000000122</v>
      </c>
      <c r="K14" s="2">
        <v>73285.730000000127</v>
      </c>
      <c r="L14" s="2">
        <v>73306.53000000013</v>
      </c>
      <c r="M14" s="2">
        <v>73327.670000000129</v>
      </c>
      <c r="N14" s="2">
        <v>73348.620000000126</v>
      </c>
      <c r="O14" s="2">
        <v>73366.16000000012</v>
      </c>
      <c r="P14" s="2">
        <v>73377.350000000122</v>
      </c>
      <c r="Q14" s="2">
        <v>73398.590000000127</v>
      </c>
      <c r="R14" s="2">
        <v>73420.160000000134</v>
      </c>
      <c r="S14" s="2">
        <v>73440.580000000133</v>
      </c>
      <c r="T14" s="2">
        <v>73461.680000000139</v>
      </c>
      <c r="U14" s="2">
        <v>73471.430000000139</v>
      </c>
      <c r="V14" s="2">
        <v>73492.600000000137</v>
      </c>
      <c r="W14" s="2">
        <v>73511.440000000133</v>
      </c>
      <c r="X14" s="2">
        <v>73532.130000000136</v>
      </c>
      <c r="Y14" s="2">
        <v>73553.180000000139</v>
      </c>
      <c r="Z14" s="2">
        <v>73573.240000000136</v>
      </c>
      <c r="AA14" s="2">
        <v>73591.210000000137</v>
      </c>
      <c r="AB14" s="2">
        <v>73611.490000000136</v>
      </c>
      <c r="AC14" s="2">
        <v>73617.130000000136</v>
      </c>
      <c r="AD14" s="2">
        <v>73631.910000000134</v>
      </c>
      <c r="AE14" s="2">
        <v>73653.330000000133</v>
      </c>
      <c r="AF14" s="3"/>
      <c r="AG14" s="51">
        <f t="shared" si="0"/>
        <v>73653.330000000133</v>
      </c>
      <c r="AH14" s="44">
        <v>73110.87</v>
      </c>
    </row>
    <row r="15" spans="1:34" x14ac:dyDescent="0.35">
      <c r="A15" s="33" t="s">
        <v>21</v>
      </c>
      <c r="B15" s="10">
        <v>73679.350000000093</v>
      </c>
      <c r="C15" s="2">
        <v>73698.070000000094</v>
      </c>
      <c r="D15" s="2">
        <v>73719.4200000001</v>
      </c>
      <c r="E15" s="2">
        <v>73741.100000000093</v>
      </c>
      <c r="F15" s="2">
        <v>73762.350000000093</v>
      </c>
      <c r="G15" s="2">
        <v>73783.05000000009</v>
      </c>
      <c r="H15" s="2">
        <v>73804.280000000086</v>
      </c>
      <c r="I15" s="2">
        <v>73806.94000000009</v>
      </c>
      <c r="J15" s="2">
        <v>73823.460000000094</v>
      </c>
      <c r="K15" s="2">
        <v>73840.450000000099</v>
      </c>
      <c r="L15" s="2">
        <v>73861.940000000104</v>
      </c>
      <c r="M15" s="2">
        <v>73871.470000000103</v>
      </c>
      <c r="N15" s="2">
        <v>73871.470000000103</v>
      </c>
      <c r="O15" s="2">
        <v>73887.260000000097</v>
      </c>
      <c r="P15" s="2">
        <v>73902.130000000092</v>
      </c>
      <c r="Q15" s="2">
        <v>73923.240000000093</v>
      </c>
      <c r="R15" s="2">
        <v>73943.960000000094</v>
      </c>
      <c r="S15" s="2">
        <v>73955.730000000098</v>
      </c>
      <c r="T15" s="2">
        <v>73975.650000000096</v>
      </c>
      <c r="U15" s="2">
        <v>73991.130000000092</v>
      </c>
      <c r="V15" s="2">
        <v>74003.130000000092</v>
      </c>
      <c r="W15" s="2">
        <v>74024.720000000088</v>
      </c>
      <c r="X15" s="2">
        <v>74045.770000000091</v>
      </c>
      <c r="Y15" s="2">
        <v>74059.170000000086</v>
      </c>
      <c r="Z15" s="2">
        <v>74078.000000000087</v>
      </c>
      <c r="AA15" s="2">
        <v>74094.30000000009</v>
      </c>
      <c r="AB15" s="2">
        <v>74114.850000000093</v>
      </c>
      <c r="AC15" s="2">
        <v>74115.260000000097</v>
      </c>
      <c r="AD15" s="2">
        <v>74136.370000000097</v>
      </c>
      <c r="AE15" s="2">
        <v>74157.530000000101</v>
      </c>
      <c r="AF15" s="3"/>
      <c r="AG15" s="51">
        <f t="shared" si="0"/>
        <v>74157.530000000101</v>
      </c>
      <c r="AH15" s="44">
        <v>73658.179999999993</v>
      </c>
    </row>
    <row r="16" spans="1:34" x14ac:dyDescent="0.35">
      <c r="A16" s="33" t="s">
        <v>22</v>
      </c>
      <c r="B16" s="10">
        <v>71853.839999999909</v>
      </c>
      <c r="C16" s="2">
        <v>71860.729999999909</v>
      </c>
      <c r="D16" s="2">
        <v>71860.729999999909</v>
      </c>
      <c r="E16" s="2">
        <v>71860.729999999909</v>
      </c>
      <c r="F16" s="2">
        <v>71863.619999999908</v>
      </c>
      <c r="G16" s="2">
        <v>71884.579999999914</v>
      </c>
      <c r="H16" s="2">
        <v>71903.049999999916</v>
      </c>
      <c r="I16" s="2">
        <v>71924.619999999923</v>
      </c>
      <c r="J16" s="2">
        <v>71946.559999999925</v>
      </c>
      <c r="K16" s="2">
        <v>71961.68999999993</v>
      </c>
      <c r="L16" s="2">
        <v>71978.29999999993</v>
      </c>
      <c r="M16" s="2">
        <v>71988.759999999937</v>
      </c>
      <c r="N16" s="2">
        <v>72010.339999999938</v>
      </c>
      <c r="O16" s="2">
        <v>72029.809999999939</v>
      </c>
      <c r="P16" s="2">
        <v>72047.41999999994</v>
      </c>
      <c r="Q16" s="2">
        <v>72067.579999999944</v>
      </c>
      <c r="R16" s="2">
        <v>72082.949999999939</v>
      </c>
      <c r="S16" s="2">
        <v>72088.559999999939</v>
      </c>
      <c r="T16" s="2">
        <v>72109.439999999944</v>
      </c>
      <c r="U16" s="2">
        <v>72130.059999999939</v>
      </c>
      <c r="V16" s="2">
        <v>72151.309999999939</v>
      </c>
      <c r="W16" s="2">
        <v>72172.869999999937</v>
      </c>
      <c r="X16" s="2">
        <v>72193.569999999934</v>
      </c>
      <c r="Y16" s="2">
        <v>72210.459999999934</v>
      </c>
      <c r="Z16" s="2">
        <v>72231.709999999934</v>
      </c>
      <c r="AA16" s="2">
        <v>72252.069999999934</v>
      </c>
      <c r="AB16" s="2">
        <v>72269.729999999938</v>
      </c>
      <c r="AC16" s="2">
        <v>72274.249999999942</v>
      </c>
      <c r="AD16" s="2">
        <v>72276.299999999945</v>
      </c>
      <c r="AE16" s="2">
        <v>72283.479999999938</v>
      </c>
      <c r="AF16" s="3"/>
      <c r="AG16" s="51">
        <f t="shared" si="0"/>
        <v>72283.479999999938</v>
      </c>
      <c r="AH16" s="44">
        <v>71832.81</v>
      </c>
    </row>
    <row r="17" spans="1:34" x14ac:dyDescent="0.35">
      <c r="A17" s="33" t="s">
        <v>23</v>
      </c>
      <c r="B17" s="10">
        <v>73348.110000000117</v>
      </c>
      <c r="C17" s="2">
        <v>73353.080000000118</v>
      </c>
      <c r="D17" s="2">
        <v>73373.950000000114</v>
      </c>
      <c r="E17" s="2">
        <v>73393.220000000118</v>
      </c>
      <c r="F17" s="2">
        <v>73410.52000000012</v>
      </c>
      <c r="G17" s="2">
        <v>73416.110000000117</v>
      </c>
      <c r="H17" s="2">
        <v>73416.110000000117</v>
      </c>
      <c r="I17" s="2">
        <v>73416.110000000117</v>
      </c>
      <c r="J17" s="2">
        <v>73428.230000000112</v>
      </c>
      <c r="K17" s="2">
        <v>73442.660000000105</v>
      </c>
      <c r="L17" s="2">
        <v>73463.960000000108</v>
      </c>
      <c r="M17" s="2">
        <v>73485.250000000102</v>
      </c>
      <c r="N17" s="2">
        <v>73506.450000000099</v>
      </c>
      <c r="O17" s="2">
        <v>73527.850000000093</v>
      </c>
      <c r="P17" s="2">
        <v>73546.400000000096</v>
      </c>
      <c r="Q17" s="2">
        <v>73567.740000000093</v>
      </c>
      <c r="R17" s="2">
        <v>73589.5600000001</v>
      </c>
      <c r="S17" s="2">
        <v>73610.730000000098</v>
      </c>
      <c r="T17" s="2">
        <v>73630.950000000099</v>
      </c>
      <c r="U17" s="2">
        <v>73651.720000000103</v>
      </c>
      <c r="V17" s="2">
        <v>73673.010000000097</v>
      </c>
      <c r="W17" s="2">
        <v>73693.870000000097</v>
      </c>
      <c r="X17" s="2">
        <v>73714.750000000102</v>
      </c>
      <c r="Y17" s="2">
        <v>73736.740000000107</v>
      </c>
      <c r="Z17" s="2">
        <v>73755.220000000103</v>
      </c>
      <c r="AA17" s="2">
        <v>73771.550000000105</v>
      </c>
      <c r="AB17" s="2">
        <v>73788.710000000108</v>
      </c>
      <c r="AC17" s="2">
        <v>73789.660000000105</v>
      </c>
      <c r="AD17" s="2">
        <v>73811.090000000098</v>
      </c>
      <c r="AE17" s="2">
        <v>73832.440000000104</v>
      </c>
      <c r="AF17" s="3"/>
      <c r="AG17" s="51">
        <f t="shared" si="0"/>
        <v>73832.440000000104</v>
      </c>
      <c r="AH17" s="44">
        <v>73348.11</v>
      </c>
    </row>
    <row r="18" spans="1:34" x14ac:dyDescent="0.35">
      <c r="A18" s="33" t="s">
        <v>24</v>
      </c>
      <c r="B18" s="10">
        <v>73645.94000000009</v>
      </c>
      <c r="C18" s="2">
        <v>73667.240000000093</v>
      </c>
      <c r="D18" s="2">
        <v>73686.710000000094</v>
      </c>
      <c r="E18" s="2">
        <v>73696.840000000098</v>
      </c>
      <c r="F18" s="2">
        <v>73717.030000000101</v>
      </c>
      <c r="G18" s="2">
        <v>73737.870000000097</v>
      </c>
      <c r="H18" s="2">
        <v>73757.520000000091</v>
      </c>
      <c r="I18" s="2">
        <v>73778.05000000009</v>
      </c>
      <c r="J18" s="2">
        <v>73797.660000000091</v>
      </c>
      <c r="K18" s="2">
        <v>73818.200000000084</v>
      </c>
      <c r="L18" s="2">
        <v>73832.760000000082</v>
      </c>
      <c r="M18" s="2">
        <v>73853.32000000008</v>
      </c>
      <c r="N18" s="2">
        <v>73867.700000000084</v>
      </c>
      <c r="O18" s="2">
        <v>73882.110000000088</v>
      </c>
      <c r="P18" s="2">
        <v>73903.650000000081</v>
      </c>
      <c r="Q18" s="2">
        <v>73919.890000000087</v>
      </c>
      <c r="R18" s="2">
        <v>73930.670000000086</v>
      </c>
      <c r="S18" s="2">
        <v>73951.670000000086</v>
      </c>
      <c r="T18" s="2">
        <v>73973.160000000091</v>
      </c>
      <c r="U18" s="2">
        <v>73994.010000000097</v>
      </c>
      <c r="V18" s="2">
        <v>74015.1700000001</v>
      </c>
      <c r="W18" s="2">
        <v>74034.720000000103</v>
      </c>
      <c r="X18" s="2">
        <v>74054.710000000108</v>
      </c>
      <c r="Y18" s="2">
        <v>74075.200000000114</v>
      </c>
      <c r="Z18" s="2">
        <v>74095.550000000119</v>
      </c>
      <c r="AA18" s="2">
        <v>74116.27000000012</v>
      </c>
      <c r="AB18" s="2">
        <v>74136.050000000119</v>
      </c>
      <c r="AC18" s="2">
        <v>74136.780000000115</v>
      </c>
      <c r="AD18" s="2">
        <v>74158.310000000114</v>
      </c>
      <c r="AE18" s="2">
        <v>74179.720000000118</v>
      </c>
      <c r="AF18" s="3"/>
      <c r="AG18" s="51">
        <f t="shared" si="0"/>
        <v>74179.720000000118</v>
      </c>
      <c r="AH18" s="44">
        <v>73624.87</v>
      </c>
    </row>
    <row r="19" spans="1:34" x14ac:dyDescent="0.35">
      <c r="A19" s="33" t="s">
        <v>25</v>
      </c>
      <c r="B19" s="10">
        <v>71957.55000000025</v>
      </c>
      <c r="C19" s="2">
        <v>71973.490000000253</v>
      </c>
      <c r="D19" s="2">
        <v>71988.400000000256</v>
      </c>
      <c r="E19" s="2">
        <v>72009.320000000254</v>
      </c>
      <c r="F19" s="2">
        <v>72029.240000000253</v>
      </c>
      <c r="G19" s="2">
        <v>72049.860000000248</v>
      </c>
      <c r="H19" s="2">
        <v>72067.44000000025</v>
      </c>
      <c r="I19" s="2">
        <v>72085.330000000249</v>
      </c>
      <c r="J19" s="2">
        <v>72106.390000000247</v>
      </c>
      <c r="K19" s="2">
        <v>72126.990000000253</v>
      </c>
      <c r="L19" s="2">
        <v>72130.790000000256</v>
      </c>
      <c r="M19" s="2">
        <v>72145.780000000261</v>
      </c>
      <c r="N19" s="2">
        <v>72145.780000000261</v>
      </c>
      <c r="O19" s="2">
        <v>72145.780000000261</v>
      </c>
      <c r="P19" s="2">
        <v>72158.520000000266</v>
      </c>
      <c r="Q19" s="2">
        <v>72179.520000000266</v>
      </c>
      <c r="R19" s="2">
        <v>72198.320000000269</v>
      </c>
      <c r="S19" s="2">
        <v>72210.570000000269</v>
      </c>
      <c r="T19" s="2">
        <v>72218.610000000263</v>
      </c>
      <c r="U19" s="2">
        <v>72239.230000000258</v>
      </c>
      <c r="V19" s="2">
        <v>72259.390000000261</v>
      </c>
      <c r="W19" s="2">
        <v>72280.820000000254</v>
      </c>
      <c r="X19" s="2">
        <v>72302.05000000025</v>
      </c>
      <c r="Y19" s="2">
        <v>72322.790000000256</v>
      </c>
      <c r="Z19" s="2">
        <v>72336.130000000252</v>
      </c>
      <c r="AA19" s="2">
        <v>72356.720000000249</v>
      </c>
      <c r="AB19" s="2">
        <v>72378.070000000254</v>
      </c>
      <c r="AC19" s="2">
        <v>72378.830000000249</v>
      </c>
      <c r="AD19" s="2">
        <v>72378.830000000249</v>
      </c>
      <c r="AE19" s="2">
        <v>72378.830000000249</v>
      </c>
      <c r="AF19" s="3"/>
      <c r="AG19" s="51">
        <f t="shared" si="0"/>
        <v>72378.830000000249</v>
      </c>
      <c r="AH19" s="44">
        <v>71936.02</v>
      </c>
    </row>
    <row r="20" spans="1:34" x14ac:dyDescent="0.35">
      <c r="A20" s="33" t="s">
        <v>26</v>
      </c>
      <c r="B20" s="10">
        <v>72950.179999999949</v>
      </c>
      <c r="C20" s="2">
        <v>72971.829999999944</v>
      </c>
      <c r="D20" s="2">
        <v>72993.079999999944</v>
      </c>
      <c r="E20" s="2">
        <v>73013.349999999948</v>
      </c>
      <c r="F20" s="2">
        <v>73034.889999999941</v>
      </c>
      <c r="G20" s="2">
        <v>73053.369999999937</v>
      </c>
      <c r="H20" s="2">
        <v>73074.929999999935</v>
      </c>
      <c r="I20" s="2">
        <v>73096.179999999935</v>
      </c>
      <c r="J20" s="2">
        <v>73117.369999999937</v>
      </c>
      <c r="K20" s="2">
        <v>73136.599999999933</v>
      </c>
      <c r="L20" s="2">
        <v>73138.349999999933</v>
      </c>
      <c r="M20" s="2">
        <v>73138.349999999933</v>
      </c>
      <c r="N20" s="2">
        <v>73152.309999999939</v>
      </c>
      <c r="O20" s="2">
        <v>73173.849999999933</v>
      </c>
      <c r="P20" s="2">
        <v>73195.579999999929</v>
      </c>
      <c r="Q20" s="2">
        <v>73214.589999999924</v>
      </c>
      <c r="R20" s="2">
        <v>73236.149999999921</v>
      </c>
      <c r="S20" s="2">
        <v>73253.879999999917</v>
      </c>
      <c r="T20" s="2">
        <v>73274.999999999913</v>
      </c>
      <c r="U20" s="2">
        <v>73296.55999999991</v>
      </c>
      <c r="V20" s="2">
        <v>73317.69999999991</v>
      </c>
      <c r="W20" s="2">
        <v>73338.749999999913</v>
      </c>
      <c r="X20" s="2">
        <v>73357.279999999912</v>
      </c>
      <c r="Y20" s="2">
        <v>73378.539999999906</v>
      </c>
      <c r="Z20" s="2">
        <v>73394.159999999902</v>
      </c>
      <c r="AA20" s="2">
        <v>73394.159999999902</v>
      </c>
      <c r="AB20" s="2">
        <v>73394.159999999902</v>
      </c>
      <c r="AC20" s="2">
        <v>73394.159999999902</v>
      </c>
      <c r="AD20" s="2">
        <v>73394.159999999902</v>
      </c>
      <c r="AE20" s="2">
        <v>73394.159999999902</v>
      </c>
      <c r="AF20" s="3"/>
      <c r="AG20" s="51">
        <f t="shared" si="0"/>
        <v>73394.159999999902</v>
      </c>
      <c r="AH20" s="44">
        <v>72935.679999999993</v>
      </c>
    </row>
    <row r="21" spans="1:34" x14ac:dyDescent="0.35">
      <c r="A21" s="33" t="s">
        <v>27</v>
      </c>
      <c r="B21" s="10">
        <v>74098.06000000007</v>
      </c>
      <c r="C21" s="2">
        <v>74115.81000000007</v>
      </c>
      <c r="D21" s="2">
        <v>74137.270000000077</v>
      </c>
      <c r="E21" s="2">
        <v>74153.270000000077</v>
      </c>
      <c r="F21" s="2">
        <v>74174.500000000073</v>
      </c>
      <c r="G21" s="2">
        <v>74195.82000000008</v>
      </c>
      <c r="H21" s="2">
        <v>74216.860000000073</v>
      </c>
      <c r="I21" s="2">
        <v>74238.290000000066</v>
      </c>
      <c r="J21" s="2">
        <v>74243.500000000073</v>
      </c>
      <c r="K21" s="2">
        <v>74256.770000000077</v>
      </c>
      <c r="L21" s="2">
        <v>74277.870000000083</v>
      </c>
      <c r="M21" s="2">
        <v>74299.19000000009</v>
      </c>
      <c r="N21" s="2">
        <v>74318.390000000087</v>
      </c>
      <c r="O21" s="2">
        <v>74339.630000000092</v>
      </c>
      <c r="P21" s="2">
        <v>74360.890000000087</v>
      </c>
      <c r="Q21" s="2">
        <v>74381.910000000091</v>
      </c>
      <c r="R21" s="2">
        <v>74401.130000000092</v>
      </c>
      <c r="S21" s="2">
        <v>74405.970000000088</v>
      </c>
      <c r="T21" s="2">
        <v>74427.80000000009</v>
      </c>
      <c r="U21" s="2">
        <v>74449.770000000091</v>
      </c>
      <c r="V21" s="2">
        <v>74471.250000000087</v>
      </c>
      <c r="W21" s="2">
        <v>74492.230000000083</v>
      </c>
      <c r="X21" s="2">
        <v>74511.640000000087</v>
      </c>
      <c r="Y21" s="2">
        <v>74522.980000000083</v>
      </c>
      <c r="Z21" s="2">
        <v>74543.990000000078</v>
      </c>
      <c r="AA21" s="2">
        <v>74564.770000000077</v>
      </c>
      <c r="AB21" s="2">
        <v>74586.110000000073</v>
      </c>
      <c r="AC21" s="2">
        <v>74587.890000000072</v>
      </c>
      <c r="AD21" s="2">
        <v>74609.320000000065</v>
      </c>
      <c r="AE21" s="2">
        <v>74630.480000000069</v>
      </c>
      <c r="AF21" s="3"/>
      <c r="AG21" s="51">
        <f t="shared" si="0"/>
        <v>74630.480000000069</v>
      </c>
      <c r="AH21" s="44">
        <v>74077.05</v>
      </c>
    </row>
    <row r="22" spans="1:34" x14ac:dyDescent="0.35">
      <c r="A22" s="33" t="s">
        <v>28</v>
      </c>
      <c r="B22" s="10">
        <v>70466.859999999971</v>
      </c>
      <c r="C22" s="2">
        <v>70466.859999999971</v>
      </c>
      <c r="D22" s="2">
        <v>70467.229999999967</v>
      </c>
      <c r="E22" s="2">
        <v>70485.509999999966</v>
      </c>
      <c r="F22" s="2">
        <v>70501.789999999964</v>
      </c>
      <c r="G22" s="2">
        <v>70514.789999999964</v>
      </c>
      <c r="H22" s="2">
        <v>70536.879999999961</v>
      </c>
      <c r="I22" s="2">
        <v>70557.65999999996</v>
      </c>
      <c r="J22" s="2">
        <v>70578.389999999956</v>
      </c>
      <c r="K22" s="2">
        <v>70593.279999999955</v>
      </c>
      <c r="L22" s="2">
        <v>70615.099999999962</v>
      </c>
      <c r="M22" s="2">
        <v>70636.889999999956</v>
      </c>
      <c r="N22" s="2">
        <v>70645.629999999961</v>
      </c>
      <c r="O22" s="2">
        <v>70656.01999999996</v>
      </c>
      <c r="P22" s="2">
        <v>70676.649999999965</v>
      </c>
      <c r="Q22" s="2">
        <v>70697.489999999962</v>
      </c>
      <c r="R22" s="2">
        <v>70717.899999999965</v>
      </c>
      <c r="S22" s="2">
        <v>70739.38999999997</v>
      </c>
      <c r="T22" s="2">
        <v>70755.969999999972</v>
      </c>
      <c r="U22" s="2">
        <v>70769.859999999971</v>
      </c>
      <c r="V22" s="2">
        <v>70787.039999999964</v>
      </c>
      <c r="W22" s="2">
        <v>70808.349999999962</v>
      </c>
      <c r="X22" s="2">
        <v>70828.939999999959</v>
      </c>
      <c r="Y22" s="2">
        <v>70849.699999999953</v>
      </c>
      <c r="Z22" s="2">
        <v>70871.239999999947</v>
      </c>
      <c r="AA22" s="2">
        <v>70892.199999999953</v>
      </c>
      <c r="AB22" s="2">
        <v>70908.719999999958</v>
      </c>
      <c r="AC22" s="2">
        <v>70910.149999999951</v>
      </c>
      <c r="AD22" s="2">
        <v>70924.489999999947</v>
      </c>
      <c r="AE22" s="2">
        <v>70941.589999999953</v>
      </c>
      <c r="AF22" s="3"/>
      <c r="AG22" s="51">
        <f t="shared" si="0"/>
        <v>70941.589999999953</v>
      </c>
      <c r="AH22" s="44">
        <v>70466.86</v>
      </c>
    </row>
    <row r="23" spans="1:34" x14ac:dyDescent="0.35">
      <c r="A23" s="33" t="s">
        <v>29</v>
      </c>
      <c r="B23" s="10">
        <v>67642.479999999923</v>
      </c>
      <c r="C23" s="2">
        <v>67658.169999999925</v>
      </c>
      <c r="D23" s="2">
        <v>67679.639999999927</v>
      </c>
      <c r="E23" s="2">
        <v>67694.399999999921</v>
      </c>
      <c r="F23" s="2">
        <v>67714.81999999992</v>
      </c>
      <c r="G23" s="2">
        <v>67736.199999999924</v>
      </c>
      <c r="H23" s="2">
        <v>67741.639999999927</v>
      </c>
      <c r="I23" s="2">
        <v>67749.509999999922</v>
      </c>
      <c r="J23" s="2">
        <v>67769.439999999915</v>
      </c>
      <c r="K23" s="2">
        <v>67790.629999999917</v>
      </c>
      <c r="L23" s="2">
        <v>67791.789999999921</v>
      </c>
      <c r="M23" s="2">
        <v>67795.049999999916</v>
      </c>
      <c r="N23" s="2">
        <v>67814.359999999913</v>
      </c>
      <c r="O23" s="2">
        <v>67835.999999999913</v>
      </c>
      <c r="P23" s="2">
        <v>67854.499999999913</v>
      </c>
      <c r="Q23" s="2">
        <v>67873.349999999919</v>
      </c>
      <c r="R23" s="2">
        <v>67894.17999999992</v>
      </c>
      <c r="S23" s="2">
        <v>67913.879999999917</v>
      </c>
      <c r="T23" s="2">
        <v>67928.639999999912</v>
      </c>
      <c r="U23" s="2">
        <v>67947.189999999915</v>
      </c>
      <c r="V23" s="2">
        <v>67968.739999999918</v>
      </c>
      <c r="W23" s="2">
        <v>67987.039999999921</v>
      </c>
      <c r="X23" s="2">
        <v>68007.649999999921</v>
      </c>
      <c r="Y23" s="2">
        <v>68027.759999999922</v>
      </c>
      <c r="Z23" s="2">
        <v>68048.329999999929</v>
      </c>
      <c r="AA23" s="2">
        <v>68067.499999999927</v>
      </c>
      <c r="AB23" s="2">
        <v>68085.18999999993</v>
      </c>
      <c r="AC23" s="2">
        <v>68086.579999999929</v>
      </c>
      <c r="AD23" s="2">
        <v>68107.349999999933</v>
      </c>
      <c r="AE23" s="2">
        <v>68123.219999999928</v>
      </c>
      <c r="AF23" s="3"/>
      <c r="AG23" s="51">
        <f t="shared" si="0"/>
        <v>68123.219999999928</v>
      </c>
      <c r="AH23" s="44">
        <v>67642.48</v>
      </c>
    </row>
    <row r="24" spans="1:34" x14ac:dyDescent="0.35">
      <c r="A24" s="33" t="s">
        <v>30</v>
      </c>
      <c r="B24" s="10">
        <v>66368.590000000069</v>
      </c>
      <c r="C24" s="2">
        <v>66369.920000000071</v>
      </c>
      <c r="D24" s="2">
        <v>66369.920000000071</v>
      </c>
      <c r="E24" s="2">
        <v>66369.920000000071</v>
      </c>
      <c r="F24" s="2">
        <v>66369.920000000071</v>
      </c>
      <c r="G24" s="2">
        <v>66376.120000000068</v>
      </c>
      <c r="H24" s="2">
        <v>66394.940000000075</v>
      </c>
      <c r="I24" s="2">
        <v>66416.740000000078</v>
      </c>
      <c r="J24" s="2">
        <v>66438.07000000008</v>
      </c>
      <c r="K24" s="2">
        <v>66455.080000000075</v>
      </c>
      <c r="L24" s="2">
        <v>66455.120000000068</v>
      </c>
      <c r="M24" s="2">
        <v>66468.630000000063</v>
      </c>
      <c r="N24" s="2">
        <v>66484.370000000068</v>
      </c>
      <c r="O24" s="2">
        <v>66504.650000000067</v>
      </c>
      <c r="P24" s="2">
        <v>66525.410000000062</v>
      </c>
      <c r="Q24" s="2">
        <v>66546.500000000058</v>
      </c>
      <c r="R24" s="2">
        <v>66567.360000000059</v>
      </c>
      <c r="S24" s="2">
        <v>66588.470000000059</v>
      </c>
      <c r="T24" s="2">
        <v>66610.310000000056</v>
      </c>
      <c r="U24" s="2">
        <v>66629.71000000005</v>
      </c>
      <c r="V24" s="2">
        <v>66637.760000000053</v>
      </c>
      <c r="W24" s="2">
        <v>66658.610000000059</v>
      </c>
      <c r="X24" s="2">
        <v>66680.030000000057</v>
      </c>
      <c r="Y24" s="2">
        <v>66701.130000000063</v>
      </c>
      <c r="Z24" s="2">
        <v>66720.930000000066</v>
      </c>
      <c r="AA24" s="2">
        <v>66740.870000000068</v>
      </c>
      <c r="AB24" s="2">
        <v>66761.45000000007</v>
      </c>
      <c r="AC24" s="2">
        <v>66764.740000000063</v>
      </c>
      <c r="AD24" s="2">
        <v>66778.930000000066</v>
      </c>
      <c r="AE24" s="2">
        <v>66778.930000000066</v>
      </c>
      <c r="AF24" s="3"/>
      <c r="AG24" s="51">
        <f t="shared" si="0"/>
        <v>66778.930000000066</v>
      </c>
      <c r="AH24" s="44">
        <v>66356.97</v>
      </c>
    </row>
    <row r="25" spans="1:34" x14ac:dyDescent="0.35">
      <c r="A25" s="33" t="s">
        <v>31</v>
      </c>
      <c r="B25" s="10">
        <v>66370.529999999955</v>
      </c>
      <c r="C25" s="2">
        <v>66371.559999999954</v>
      </c>
      <c r="D25" s="2">
        <v>66371.559999999954</v>
      </c>
      <c r="E25" s="2">
        <v>66371.559999999954</v>
      </c>
      <c r="F25" s="2">
        <v>66371.559999999954</v>
      </c>
      <c r="G25" s="2">
        <v>66385.429999999949</v>
      </c>
      <c r="H25" s="2">
        <v>66406.649999999951</v>
      </c>
      <c r="I25" s="2">
        <v>66427.919999999955</v>
      </c>
      <c r="J25" s="2">
        <v>66449.439999999959</v>
      </c>
      <c r="K25" s="2">
        <v>66470.109999999957</v>
      </c>
      <c r="L25" s="2">
        <v>66491.429999999964</v>
      </c>
      <c r="M25" s="2">
        <v>66511.839999999967</v>
      </c>
      <c r="N25" s="2">
        <v>66533.039999999964</v>
      </c>
      <c r="O25" s="2">
        <v>66555.299999999959</v>
      </c>
      <c r="P25" s="2">
        <v>66577.069999999963</v>
      </c>
      <c r="Q25" s="2">
        <v>66597.15999999996</v>
      </c>
      <c r="R25" s="2">
        <v>66613.529999999955</v>
      </c>
      <c r="S25" s="2">
        <v>66633.749999999956</v>
      </c>
      <c r="T25" s="2">
        <v>66648.78999999995</v>
      </c>
      <c r="U25" s="2">
        <v>66670.229999999952</v>
      </c>
      <c r="V25" s="2">
        <v>66685.989999999947</v>
      </c>
      <c r="W25" s="2">
        <v>66703.339999999953</v>
      </c>
      <c r="X25" s="2">
        <v>66704.469999999958</v>
      </c>
      <c r="Y25" s="2">
        <v>66704.469999999958</v>
      </c>
      <c r="Z25" s="2">
        <v>66704.469999999958</v>
      </c>
      <c r="AA25" s="2">
        <v>66704.469999999958</v>
      </c>
      <c r="AB25" s="2">
        <v>66717.109999999957</v>
      </c>
      <c r="AC25" s="2">
        <v>66719.389999999956</v>
      </c>
      <c r="AD25" s="2">
        <v>66740.319999999949</v>
      </c>
      <c r="AE25" s="2">
        <v>66760.269999999946</v>
      </c>
      <c r="AF25" s="3"/>
      <c r="AG25" s="51">
        <f t="shared" si="0"/>
        <v>66760.269999999946</v>
      </c>
      <c r="AH25" s="44">
        <v>66368.77</v>
      </c>
    </row>
    <row r="26" spans="1:34" x14ac:dyDescent="0.35">
      <c r="A26" s="33" t="s">
        <v>32</v>
      </c>
      <c r="B26" s="10">
        <v>66932.259999999951</v>
      </c>
      <c r="C26" s="2">
        <v>66954.009999999951</v>
      </c>
      <c r="D26" s="2">
        <v>66975.759999999951</v>
      </c>
      <c r="E26" s="2">
        <v>66995.219999999958</v>
      </c>
      <c r="F26" s="2">
        <v>67015.589999999953</v>
      </c>
      <c r="G26" s="2">
        <v>67017.769999999946</v>
      </c>
      <c r="H26" s="2">
        <v>67034.309999999939</v>
      </c>
      <c r="I26" s="2">
        <v>67053.839999999938</v>
      </c>
      <c r="J26" s="2">
        <v>67071.029999999941</v>
      </c>
      <c r="K26" s="2">
        <v>67089.159999999945</v>
      </c>
      <c r="L26" s="2">
        <v>67105.639999999941</v>
      </c>
      <c r="M26" s="2">
        <v>67116.939999999944</v>
      </c>
      <c r="N26" s="2">
        <v>67134.629999999946</v>
      </c>
      <c r="O26" s="2">
        <v>67155.719999999943</v>
      </c>
      <c r="P26" s="2">
        <v>67170.449999999939</v>
      </c>
      <c r="Q26" s="2">
        <v>67190.629999999932</v>
      </c>
      <c r="R26" s="2">
        <v>67209.719999999928</v>
      </c>
      <c r="S26" s="2">
        <v>67229.899999999921</v>
      </c>
      <c r="T26" s="2">
        <v>67249.649999999921</v>
      </c>
      <c r="U26" s="2">
        <v>67270.939999999915</v>
      </c>
      <c r="V26" s="2">
        <v>67292.259999999922</v>
      </c>
      <c r="W26" s="2">
        <v>67313.639999999927</v>
      </c>
      <c r="X26" s="2">
        <v>67334.969999999928</v>
      </c>
      <c r="Y26" s="2">
        <v>67356.179999999935</v>
      </c>
      <c r="Z26" s="2">
        <v>67376.929999999935</v>
      </c>
      <c r="AA26" s="2">
        <v>67397.609999999928</v>
      </c>
      <c r="AB26" s="2">
        <v>67419.319999999934</v>
      </c>
      <c r="AC26" s="2">
        <v>67421.239999999932</v>
      </c>
      <c r="AD26" s="2">
        <v>67442.899999999936</v>
      </c>
      <c r="AE26" s="2">
        <v>67462.339999999938</v>
      </c>
      <c r="AF26" s="3"/>
      <c r="AG26" s="51">
        <f t="shared" si="0"/>
        <v>67462.339999999938</v>
      </c>
      <c r="AH26" s="44">
        <v>66911.33</v>
      </c>
    </row>
    <row r="27" spans="1:34" x14ac:dyDescent="0.35">
      <c r="A27" s="33" t="s">
        <v>33</v>
      </c>
      <c r="B27" s="10">
        <v>67781.960000000065</v>
      </c>
      <c r="C27" s="2">
        <v>67801.58000000006</v>
      </c>
      <c r="D27" s="2">
        <v>67822.920000000056</v>
      </c>
      <c r="E27" s="2">
        <v>67841.430000000051</v>
      </c>
      <c r="F27" s="2">
        <v>67853.380000000048</v>
      </c>
      <c r="G27" s="2">
        <v>67863.610000000044</v>
      </c>
      <c r="H27" s="2">
        <v>67885.040000000037</v>
      </c>
      <c r="I27" s="2">
        <v>67901.34000000004</v>
      </c>
      <c r="J27" s="2">
        <v>67902.920000000042</v>
      </c>
      <c r="K27" s="2">
        <v>67918.720000000045</v>
      </c>
      <c r="L27" s="2">
        <v>67938.910000000047</v>
      </c>
      <c r="M27" s="2">
        <v>67957.130000000048</v>
      </c>
      <c r="N27" s="2">
        <v>67975.350000000049</v>
      </c>
      <c r="O27" s="2">
        <v>67993.670000000056</v>
      </c>
      <c r="P27" s="2">
        <v>68010.590000000055</v>
      </c>
      <c r="Q27" s="2">
        <v>68028.400000000052</v>
      </c>
      <c r="R27" s="2">
        <v>68048.730000000054</v>
      </c>
      <c r="S27" s="2">
        <v>68070.600000000049</v>
      </c>
      <c r="T27" s="2">
        <v>68087.330000000045</v>
      </c>
      <c r="U27" s="2">
        <v>68108.020000000048</v>
      </c>
      <c r="V27" s="2">
        <v>68125.540000000052</v>
      </c>
      <c r="W27" s="2">
        <v>68125.540000000052</v>
      </c>
      <c r="X27" s="2">
        <v>68125.540000000052</v>
      </c>
      <c r="Y27" s="2">
        <v>68125.540000000052</v>
      </c>
      <c r="Z27" s="2">
        <v>68128.330000000045</v>
      </c>
      <c r="AA27" s="2">
        <v>68149.250000000044</v>
      </c>
      <c r="AB27" s="2">
        <v>68170.750000000044</v>
      </c>
      <c r="AC27" s="2">
        <v>68172.080000000045</v>
      </c>
      <c r="AD27" s="2">
        <v>68181.050000000047</v>
      </c>
      <c r="AE27" s="2">
        <v>68202.130000000048</v>
      </c>
      <c r="AF27" s="3"/>
      <c r="AG27" s="51">
        <f t="shared" si="0"/>
        <v>68202.130000000048</v>
      </c>
      <c r="AH27" s="44">
        <v>67761.36</v>
      </c>
    </row>
    <row r="28" spans="1:34" x14ac:dyDescent="0.35">
      <c r="A28" s="33" t="s">
        <v>34</v>
      </c>
      <c r="B28" s="10">
        <v>65221.56000000007</v>
      </c>
      <c r="C28" s="2">
        <v>65243.230000000069</v>
      </c>
      <c r="D28" s="2">
        <v>65263.27000000007</v>
      </c>
      <c r="E28" s="2">
        <v>65283.20000000007</v>
      </c>
      <c r="F28" s="2">
        <v>65304.45000000007</v>
      </c>
      <c r="G28" s="2">
        <v>65325.590000000069</v>
      </c>
      <c r="H28" s="2">
        <v>65344.430000000066</v>
      </c>
      <c r="I28" s="2">
        <v>65359.760000000068</v>
      </c>
      <c r="J28" s="2">
        <v>65381.290000000066</v>
      </c>
      <c r="K28" s="2">
        <v>65402.810000000063</v>
      </c>
      <c r="L28" s="2">
        <v>65424.51000000006</v>
      </c>
      <c r="M28" s="2">
        <v>65445.220000000059</v>
      </c>
      <c r="N28" s="2">
        <v>65466.250000000058</v>
      </c>
      <c r="O28" s="2">
        <v>65481.920000000056</v>
      </c>
      <c r="P28" s="2">
        <v>65503.550000000054</v>
      </c>
      <c r="Q28" s="2">
        <v>65524.600000000057</v>
      </c>
      <c r="R28" s="2">
        <v>65545.990000000063</v>
      </c>
      <c r="S28" s="2">
        <v>65567.650000000067</v>
      </c>
      <c r="T28" s="2">
        <v>65589.08000000006</v>
      </c>
      <c r="U28" s="2">
        <v>65605.060000000056</v>
      </c>
      <c r="V28" s="2">
        <v>65626.800000000061</v>
      </c>
      <c r="W28" s="2">
        <v>65648.430000000066</v>
      </c>
      <c r="X28" s="2">
        <v>65670.31000000007</v>
      </c>
      <c r="Y28" s="2">
        <v>65691.81000000007</v>
      </c>
      <c r="Z28" s="2">
        <v>65713.650000000067</v>
      </c>
      <c r="AA28" s="2">
        <v>65735.20000000007</v>
      </c>
      <c r="AB28" s="2">
        <v>65742.640000000072</v>
      </c>
      <c r="AC28" s="2">
        <v>65743.620000000068</v>
      </c>
      <c r="AD28" s="2">
        <v>65758.680000000066</v>
      </c>
      <c r="AE28" s="2">
        <v>65761.260000000068</v>
      </c>
      <c r="AF28" s="3"/>
      <c r="AG28" s="51">
        <f t="shared" si="0"/>
        <v>65761.260000000068</v>
      </c>
      <c r="AH28" s="44">
        <v>65199.66</v>
      </c>
    </row>
    <row r="29" spans="1:34" x14ac:dyDescent="0.35">
      <c r="A29" s="33" t="s">
        <v>35</v>
      </c>
      <c r="B29" s="10">
        <v>66559.18000000008</v>
      </c>
      <c r="C29" s="2">
        <v>66578.720000000074</v>
      </c>
      <c r="D29" s="2">
        <v>66599.400000000067</v>
      </c>
      <c r="E29" s="2">
        <v>66612.910000000062</v>
      </c>
      <c r="F29" s="2">
        <v>66634.450000000055</v>
      </c>
      <c r="G29" s="2">
        <v>66655.680000000051</v>
      </c>
      <c r="H29" s="2">
        <v>66676.640000000058</v>
      </c>
      <c r="I29" s="2">
        <v>66694.930000000051</v>
      </c>
      <c r="J29" s="2">
        <v>66713.540000000052</v>
      </c>
      <c r="K29" s="2">
        <v>66719.390000000058</v>
      </c>
      <c r="L29" s="2">
        <v>66739.220000000059</v>
      </c>
      <c r="M29" s="2">
        <v>66756.270000000062</v>
      </c>
      <c r="N29" s="2">
        <v>66765.320000000065</v>
      </c>
      <c r="O29" s="2">
        <v>66777.890000000072</v>
      </c>
      <c r="P29" s="2">
        <v>66799.360000000073</v>
      </c>
      <c r="Q29" s="2">
        <v>66817.440000000075</v>
      </c>
      <c r="R29" s="2">
        <v>66817.440000000075</v>
      </c>
      <c r="S29" s="2">
        <v>66821.370000000068</v>
      </c>
      <c r="T29" s="2">
        <v>66841.940000000075</v>
      </c>
      <c r="U29" s="2">
        <v>66863.360000000073</v>
      </c>
      <c r="V29" s="2">
        <v>66884.70000000007</v>
      </c>
      <c r="W29" s="2">
        <v>66906.750000000073</v>
      </c>
      <c r="X29" s="2">
        <v>66927.970000000074</v>
      </c>
      <c r="Y29" s="2">
        <v>66949.910000000076</v>
      </c>
      <c r="Z29" s="2">
        <v>66959.440000000075</v>
      </c>
      <c r="AA29" s="2">
        <v>66979.56000000007</v>
      </c>
      <c r="AB29" s="2">
        <v>66996.260000000068</v>
      </c>
      <c r="AC29" s="2">
        <v>66997.170000000071</v>
      </c>
      <c r="AD29" s="2">
        <v>67018.610000000073</v>
      </c>
      <c r="AE29" s="2">
        <v>67039.010000000068</v>
      </c>
      <c r="AF29" s="3"/>
      <c r="AG29" s="51">
        <f t="shared" si="0"/>
        <v>67039.010000000068</v>
      </c>
      <c r="AH29" s="44">
        <v>66543.509999999995</v>
      </c>
    </row>
    <row r="30" spans="1:34" x14ac:dyDescent="0.35">
      <c r="A30" s="33" t="s">
        <v>36</v>
      </c>
      <c r="B30" s="10">
        <v>65978.700000000157</v>
      </c>
      <c r="C30" s="2">
        <v>65978.700000000157</v>
      </c>
      <c r="D30" s="2">
        <v>65993.980000000156</v>
      </c>
      <c r="E30" s="2">
        <v>66015.690000000162</v>
      </c>
      <c r="F30" s="2">
        <v>66037.040000000168</v>
      </c>
      <c r="G30" s="2">
        <v>66058.520000000164</v>
      </c>
      <c r="H30" s="2">
        <v>66080.180000000168</v>
      </c>
      <c r="I30" s="2">
        <v>66101.940000000162</v>
      </c>
      <c r="J30" s="2">
        <v>66123.790000000168</v>
      </c>
      <c r="K30" s="2">
        <v>66145.730000000171</v>
      </c>
      <c r="L30" s="2">
        <v>66166.970000000176</v>
      </c>
      <c r="M30" s="2">
        <v>66187.910000000178</v>
      </c>
      <c r="N30" s="2">
        <v>66208.810000000172</v>
      </c>
      <c r="O30" s="2">
        <v>66230.190000000177</v>
      </c>
      <c r="P30" s="2">
        <v>66251.62000000017</v>
      </c>
      <c r="Q30" s="2">
        <v>66269.100000000166</v>
      </c>
      <c r="R30" s="2">
        <v>66288.930000000168</v>
      </c>
      <c r="S30" s="2">
        <v>66311.000000000175</v>
      </c>
      <c r="T30" s="2">
        <v>66332.700000000172</v>
      </c>
      <c r="U30" s="2">
        <v>66354.310000000172</v>
      </c>
      <c r="V30" s="2">
        <v>66376.030000000173</v>
      </c>
      <c r="W30" s="2">
        <v>66397.640000000174</v>
      </c>
      <c r="X30" s="2">
        <v>66419.610000000175</v>
      </c>
      <c r="Y30" s="2">
        <v>66441.270000000179</v>
      </c>
      <c r="Z30" s="2">
        <v>66462.570000000182</v>
      </c>
      <c r="AA30" s="2">
        <v>66478.730000000185</v>
      </c>
      <c r="AB30" s="2">
        <v>66500.450000000186</v>
      </c>
      <c r="AC30" s="2">
        <v>66501.250000000189</v>
      </c>
      <c r="AD30" s="2">
        <v>66522.960000000196</v>
      </c>
      <c r="AE30" s="2">
        <v>66543.8400000002</v>
      </c>
      <c r="AF30" s="3"/>
      <c r="AG30" s="51">
        <f t="shared" si="0"/>
        <v>66543.8400000002</v>
      </c>
      <c r="AH30" s="44">
        <v>65965.919999999998</v>
      </c>
    </row>
    <row r="31" spans="1:34" x14ac:dyDescent="0.35">
      <c r="A31" s="33" t="s">
        <v>37</v>
      </c>
      <c r="B31" s="10">
        <v>66222.260000000009</v>
      </c>
      <c r="C31" s="2">
        <v>66243.710000000006</v>
      </c>
      <c r="D31" s="2">
        <v>66265.37000000001</v>
      </c>
      <c r="E31" s="2">
        <v>66283.610000000015</v>
      </c>
      <c r="F31" s="2">
        <v>66303.670000000013</v>
      </c>
      <c r="G31" s="2">
        <v>66325.550000000017</v>
      </c>
      <c r="H31" s="2">
        <v>66344.49000000002</v>
      </c>
      <c r="I31" s="2">
        <v>66364.280000000013</v>
      </c>
      <c r="J31" s="2">
        <v>66385.880000000019</v>
      </c>
      <c r="K31" s="2">
        <v>66406.900000000023</v>
      </c>
      <c r="L31" s="2">
        <v>66428.250000000029</v>
      </c>
      <c r="M31" s="2">
        <v>66449.450000000026</v>
      </c>
      <c r="N31" s="2">
        <v>66470.060000000027</v>
      </c>
      <c r="O31" s="2">
        <v>66478.960000000021</v>
      </c>
      <c r="P31" s="2">
        <v>66481.10000000002</v>
      </c>
      <c r="Q31" s="2">
        <v>66481.10000000002</v>
      </c>
      <c r="R31" s="2">
        <v>66482.60000000002</v>
      </c>
      <c r="S31" s="2">
        <v>66491.780000000013</v>
      </c>
      <c r="T31" s="2">
        <v>66513.680000000008</v>
      </c>
      <c r="U31" s="2">
        <v>66530.720000000001</v>
      </c>
      <c r="V31" s="2">
        <v>66537.210000000006</v>
      </c>
      <c r="W31" s="2">
        <v>66537.210000000006</v>
      </c>
      <c r="X31" s="2">
        <v>66537.920000000013</v>
      </c>
      <c r="Y31" s="2">
        <v>66557.250000000015</v>
      </c>
      <c r="Z31" s="2">
        <v>66577.900000000009</v>
      </c>
      <c r="AA31" s="2">
        <v>66599.48000000001</v>
      </c>
      <c r="AB31" s="2">
        <v>66612.930000000008</v>
      </c>
      <c r="AC31" s="2">
        <v>66613.47</v>
      </c>
      <c r="AD31" s="2">
        <v>66634.790000000008</v>
      </c>
      <c r="AE31" s="2">
        <v>66656.22</v>
      </c>
      <c r="AF31" s="3"/>
      <c r="AG31" s="51">
        <f t="shared" si="0"/>
        <v>66656.22</v>
      </c>
      <c r="AH31" s="44">
        <v>66200.850000000006</v>
      </c>
    </row>
    <row r="32" spans="1:34" x14ac:dyDescent="0.35">
      <c r="A32" s="33" t="s">
        <v>38</v>
      </c>
      <c r="B32" s="10">
        <v>66358.810000000129</v>
      </c>
      <c r="C32" s="2">
        <v>66377.670000000129</v>
      </c>
      <c r="D32" s="2">
        <v>66399.700000000128</v>
      </c>
      <c r="E32" s="2">
        <v>66420.920000000129</v>
      </c>
      <c r="F32" s="2">
        <v>66442.020000000135</v>
      </c>
      <c r="G32" s="2">
        <v>66462.430000000139</v>
      </c>
      <c r="H32" s="2">
        <v>66480.500000000146</v>
      </c>
      <c r="I32" s="2">
        <v>66501.63000000015</v>
      </c>
      <c r="J32" s="2">
        <v>66521.650000000154</v>
      </c>
      <c r="K32" s="2">
        <v>66542.88000000015</v>
      </c>
      <c r="L32" s="2">
        <v>66562.940000000148</v>
      </c>
      <c r="M32" s="2">
        <v>66583.790000000154</v>
      </c>
      <c r="N32" s="2">
        <v>66605.02000000015</v>
      </c>
      <c r="O32" s="2">
        <v>66626.300000000148</v>
      </c>
      <c r="P32" s="2">
        <v>66645.88000000015</v>
      </c>
      <c r="Q32" s="2">
        <v>66666.970000000147</v>
      </c>
      <c r="R32" s="2">
        <v>66688.000000000146</v>
      </c>
      <c r="S32" s="2">
        <v>66709.490000000151</v>
      </c>
      <c r="T32" s="2">
        <v>66727.88000000015</v>
      </c>
      <c r="U32" s="2">
        <v>66744.820000000153</v>
      </c>
      <c r="V32" s="2">
        <v>66766.250000000146</v>
      </c>
      <c r="W32" s="2">
        <v>66787.680000000139</v>
      </c>
      <c r="X32" s="2">
        <v>66808.980000000141</v>
      </c>
      <c r="Y32" s="2">
        <v>66830.630000000136</v>
      </c>
      <c r="Z32" s="2">
        <v>66851.180000000139</v>
      </c>
      <c r="AA32" s="2">
        <v>66871.620000000141</v>
      </c>
      <c r="AB32" s="2">
        <v>66892.840000000142</v>
      </c>
      <c r="AC32" s="2">
        <v>66893.970000000147</v>
      </c>
      <c r="AD32" s="2">
        <v>66915.40000000014</v>
      </c>
      <c r="AE32" s="2">
        <v>66936.240000000136</v>
      </c>
      <c r="AF32" s="3"/>
      <c r="AG32" s="51">
        <f t="shared" si="0"/>
        <v>66936.240000000136</v>
      </c>
      <c r="AH32" s="44">
        <v>66344.350000000006</v>
      </c>
    </row>
    <row r="33" spans="1:34" x14ac:dyDescent="0.35">
      <c r="A33" s="33" t="s">
        <v>39</v>
      </c>
      <c r="B33" s="10">
        <v>65685.009999999893</v>
      </c>
      <c r="C33" s="2">
        <v>65695.779999999897</v>
      </c>
      <c r="D33" s="2">
        <v>65701.659999999902</v>
      </c>
      <c r="E33" s="2">
        <v>65716.899999999907</v>
      </c>
      <c r="F33" s="2">
        <v>65733.80999999991</v>
      </c>
      <c r="G33" s="2">
        <v>65734.549999999916</v>
      </c>
      <c r="H33" s="2">
        <v>65750.05999999991</v>
      </c>
      <c r="I33" s="2">
        <v>65771.069999999905</v>
      </c>
      <c r="J33" s="2">
        <v>65791.879999999903</v>
      </c>
      <c r="K33" s="2">
        <v>65813.809999999896</v>
      </c>
      <c r="L33" s="2">
        <v>65828.059999999896</v>
      </c>
      <c r="M33" s="2">
        <v>65828.059999999896</v>
      </c>
      <c r="N33" s="2">
        <v>65831.659999999902</v>
      </c>
      <c r="O33" s="2">
        <v>65853.279999999897</v>
      </c>
      <c r="P33" s="2">
        <v>65874.969999999899</v>
      </c>
      <c r="Q33" s="2">
        <v>65896.3299999999</v>
      </c>
      <c r="R33" s="2">
        <v>65911.499999999898</v>
      </c>
      <c r="S33" s="2">
        <v>65933.259999999893</v>
      </c>
      <c r="T33" s="2">
        <v>65954.589999999895</v>
      </c>
      <c r="U33" s="2">
        <v>65975.849999999889</v>
      </c>
      <c r="V33" s="2">
        <v>65992.119999999893</v>
      </c>
      <c r="W33" s="2">
        <v>66013.529999999897</v>
      </c>
      <c r="X33" s="2">
        <v>66034.519999999902</v>
      </c>
      <c r="Y33" s="2">
        <v>66056.199999999895</v>
      </c>
      <c r="Z33" s="2">
        <v>66076.259999999893</v>
      </c>
      <c r="AA33" s="2">
        <v>66097.489999999889</v>
      </c>
      <c r="AB33" s="2">
        <v>66119.019999999888</v>
      </c>
      <c r="AC33" s="2">
        <v>66123.099999999889</v>
      </c>
      <c r="AD33" s="2">
        <v>66144.95999999989</v>
      </c>
      <c r="AE33" s="2">
        <v>66166.399999999892</v>
      </c>
      <c r="AF33" s="3"/>
      <c r="AG33" s="51">
        <f t="shared" si="0"/>
        <v>66166.399999999892</v>
      </c>
      <c r="AH33" s="44">
        <v>65663.740000000005</v>
      </c>
    </row>
    <row r="34" spans="1:34" x14ac:dyDescent="0.35">
      <c r="A34" s="33" t="s">
        <v>40</v>
      </c>
      <c r="B34" s="10">
        <v>48551.339999999916</v>
      </c>
      <c r="C34" s="2">
        <v>48566.879999999917</v>
      </c>
      <c r="D34" s="2">
        <v>48580.449999999917</v>
      </c>
      <c r="E34" s="2">
        <v>48595.029999999919</v>
      </c>
      <c r="F34" s="2">
        <v>48595.029999999919</v>
      </c>
      <c r="G34" s="2">
        <v>48598.829999999922</v>
      </c>
      <c r="H34" s="2">
        <v>48616.659999999923</v>
      </c>
      <c r="I34" s="2">
        <v>48616.659999999923</v>
      </c>
      <c r="J34" s="2">
        <v>48623.439999999922</v>
      </c>
      <c r="K34" s="2">
        <v>48644.759999999922</v>
      </c>
      <c r="L34" s="2">
        <v>48666.189999999922</v>
      </c>
      <c r="M34" s="2">
        <v>48685.019999999924</v>
      </c>
      <c r="N34" s="2">
        <v>48703.689999999922</v>
      </c>
      <c r="O34" s="2">
        <v>48724.619999999923</v>
      </c>
      <c r="P34" s="2">
        <v>48745.859999999921</v>
      </c>
      <c r="Q34" s="2">
        <v>48763.74999999992</v>
      </c>
      <c r="R34" s="2">
        <v>48785.489999999918</v>
      </c>
      <c r="S34" s="2">
        <v>48806.869999999915</v>
      </c>
      <c r="T34" s="2">
        <v>48828.119999999915</v>
      </c>
      <c r="U34" s="2">
        <v>48834.749999999913</v>
      </c>
      <c r="V34" s="2">
        <v>48855.039999999914</v>
      </c>
      <c r="W34" s="2">
        <v>48860.179999999913</v>
      </c>
      <c r="X34" s="2">
        <v>48879.799999999916</v>
      </c>
      <c r="Y34" s="2">
        <v>48901.839999999916</v>
      </c>
      <c r="Z34" s="2">
        <v>48923.009999999915</v>
      </c>
      <c r="AA34" s="2">
        <v>48944.209999999912</v>
      </c>
      <c r="AB34" s="2">
        <v>48965.099999999911</v>
      </c>
      <c r="AC34" s="2">
        <v>48966.649999999914</v>
      </c>
      <c r="AD34" s="2">
        <v>48971.209999999912</v>
      </c>
      <c r="AE34" s="2">
        <v>48971.209999999912</v>
      </c>
      <c r="AF34" s="3"/>
      <c r="AG34" s="51">
        <f t="shared" si="0"/>
        <v>48971.209999999912</v>
      </c>
      <c r="AH34" s="44">
        <v>48536.31</v>
      </c>
    </row>
    <row r="35" spans="1:34" x14ac:dyDescent="0.35">
      <c r="A35" s="33" t="s">
        <v>41</v>
      </c>
      <c r="B35" s="10">
        <v>50724.580000000009</v>
      </c>
      <c r="C35" s="2">
        <v>50746.160000000011</v>
      </c>
      <c r="D35" s="2">
        <v>50768.020000000011</v>
      </c>
      <c r="E35" s="2">
        <v>50789.860000000008</v>
      </c>
      <c r="F35" s="2">
        <v>50811.630000000005</v>
      </c>
      <c r="G35" s="2">
        <v>50832.710000000006</v>
      </c>
      <c r="H35" s="2">
        <v>50850.340000000004</v>
      </c>
      <c r="I35" s="2">
        <v>50870.01</v>
      </c>
      <c r="J35" s="2">
        <v>50886.53</v>
      </c>
      <c r="K35" s="2">
        <v>50901.49</v>
      </c>
      <c r="L35" s="2">
        <v>50921.619999999995</v>
      </c>
      <c r="M35" s="2">
        <v>50942.189999999995</v>
      </c>
      <c r="N35" s="2">
        <v>50963.799999999996</v>
      </c>
      <c r="O35" s="2">
        <v>50985.389999999992</v>
      </c>
      <c r="P35" s="2">
        <v>51002.169999999991</v>
      </c>
      <c r="Q35" s="2">
        <v>51022.549999999988</v>
      </c>
      <c r="R35" s="2">
        <v>51043.919999999991</v>
      </c>
      <c r="S35" s="2">
        <v>51062.389999999992</v>
      </c>
      <c r="T35" s="2">
        <v>51084.029999999992</v>
      </c>
      <c r="U35" s="2">
        <v>51103.659999999989</v>
      </c>
      <c r="V35" s="2">
        <v>51118.419999999991</v>
      </c>
      <c r="W35" s="2">
        <v>51132.509999999987</v>
      </c>
      <c r="X35" s="2">
        <v>51153.009999999987</v>
      </c>
      <c r="Y35" s="2">
        <v>51174.149999999987</v>
      </c>
      <c r="Z35" s="2">
        <v>51195.389999999985</v>
      </c>
      <c r="AA35" s="2">
        <v>51216.639999999985</v>
      </c>
      <c r="AB35" s="2">
        <v>51238.529999999984</v>
      </c>
      <c r="AC35" s="2">
        <v>51239.499999999985</v>
      </c>
      <c r="AD35" s="2">
        <v>51260.709999999985</v>
      </c>
      <c r="AE35" s="2">
        <v>51282.119999999988</v>
      </c>
      <c r="AF35" s="3"/>
      <c r="AG35" s="51">
        <f t="shared" si="0"/>
        <v>51282.119999999988</v>
      </c>
      <c r="AH35" s="44">
        <v>50703.65</v>
      </c>
    </row>
    <row r="36" spans="1:34" x14ac:dyDescent="0.35">
      <c r="A36" s="33" t="s">
        <v>42</v>
      </c>
      <c r="B36" s="10">
        <v>45931.980000000032</v>
      </c>
      <c r="C36" s="2">
        <v>45953.050000000032</v>
      </c>
      <c r="D36" s="2">
        <v>45973.250000000029</v>
      </c>
      <c r="E36" s="2">
        <v>45975.810000000027</v>
      </c>
      <c r="F36" s="2">
        <v>45975.810000000027</v>
      </c>
      <c r="G36" s="2">
        <v>45975.810000000027</v>
      </c>
      <c r="H36" s="2">
        <v>45989.980000000025</v>
      </c>
      <c r="I36" s="2">
        <v>46009.420000000027</v>
      </c>
      <c r="J36" s="2">
        <v>46030.240000000027</v>
      </c>
      <c r="K36" s="2">
        <v>46038.500000000029</v>
      </c>
      <c r="L36" s="2">
        <v>46038.500000000029</v>
      </c>
      <c r="M36" s="2">
        <v>46055.130000000026</v>
      </c>
      <c r="N36" s="2">
        <v>46072.050000000025</v>
      </c>
      <c r="O36" s="2">
        <v>46086.190000000024</v>
      </c>
      <c r="P36" s="2">
        <v>46107.660000000025</v>
      </c>
      <c r="Q36" s="2">
        <v>46112.660000000025</v>
      </c>
      <c r="R36" s="2">
        <v>46132.830000000024</v>
      </c>
      <c r="S36" s="2">
        <v>46145.200000000026</v>
      </c>
      <c r="T36" s="2">
        <v>46167.350000000028</v>
      </c>
      <c r="U36" s="2">
        <v>46188.910000000025</v>
      </c>
      <c r="V36" s="2">
        <v>46210.260000000024</v>
      </c>
      <c r="W36" s="2">
        <v>46231.970000000023</v>
      </c>
      <c r="X36" s="2">
        <v>46237.74000000002</v>
      </c>
      <c r="Y36" s="2">
        <v>46237.74000000002</v>
      </c>
      <c r="Z36" s="2">
        <v>46237.74000000002</v>
      </c>
      <c r="AA36" s="2">
        <v>46237.74000000002</v>
      </c>
      <c r="AB36" s="2">
        <v>46237.74000000002</v>
      </c>
      <c r="AC36" s="2">
        <v>46237.74000000002</v>
      </c>
      <c r="AD36" s="2">
        <v>46237.74000000002</v>
      </c>
      <c r="AE36" s="2">
        <v>46237.74000000002</v>
      </c>
      <c r="AF36" s="3"/>
      <c r="AG36" s="51">
        <f t="shared" ref="AG36:AG67" si="1">MAX(B36:AF36)</f>
        <v>46237.74000000002</v>
      </c>
      <c r="AH36" s="44">
        <v>45923.44</v>
      </c>
    </row>
    <row r="37" spans="1:34" x14ac:dyDescent="0.35">
      <c r="A37" s="33" t="s">
        <v>43</v>
      </c>
      <c r="B37" s="10">
        <v>50606.22000000003</v>
      </c>
      <c r="C37" s="2">
        <v>50626.660000000033</v>
      </c>
      <c r="D37" s="2">
        <v>50646.520000000033</v>
      </c>
      <c r="E37" s="2">
        <v>50667.47000000003</v>
      </c>
      <c r="F37" s="2">
        <v>50687.200000000033</v>
      </c>
      <c r="G37" s="2">
        <v>50704.930000000037</v>
      </c>
      <c r="H37" s="2">
        <v>50719.550000000039</v>
      </c>
      <c r="I37" s="2">
        <v>50740.77000000004</v>
      </c>
      <c r="J37" s="2">
        <v>50762.34000000004</v>
      </c>
      <c r="K37" s="2">
        <v>50783.820000000043</v>
      </c>
      <c r="L37" s="2">
        <v>50805.230000000047</v>
      </c>
      <c r="M37" s="2">
        <v>50805.820000000043</v>
      </c>
      <c r="N37" s="2">
        <v>50820.120000000046</v>
      </c>
      <c r="O37" s="2">
        <v>50839.630000000048</v>
      </c>
      <c r="P37" s="2">
        <v>50860.010000000046</v>
      </c>
      <c r="Q37" s="2">
        <v>50881.580000000045</v>
      </c>
      <c r="R37" s="2">
        <v>50900.840000000047</v>
      </c>
      <c r="S37" s="2">
        <v>50922.71000000005</v>
      </c>
      <c r="T37" s="2">
        <v>50944.480000000047</v>
      </c>
      <c r="U37" s="2">
        <v>50966.100000000049</v>
      </c>
      <c r="V37" s="2">
        <v>50988.110000000052</v>
      </c>
      <c r="W37" s="2">
        <v>51009.46000000005</v>
      </c>
      <c r="X37" s="2">
        <v>51030.000000000051</v>
      </c>
      <c r="Y37" s="2">
        <v>51051.500000000051</v>
      </c>
      <c r="Z37" s="2">
        <v>51072.520000000048</v>
      </c>
      <c r="AA37" s="2">
        <v>51092.03000000005</v>
      </c>
      <c r="AB37" s="2">
        <v>51103.940000000053</v>
      </c>
      <c r="AC37" s="2">
        <v>51106.020000000055</v>
      </c>
      <c r="AD37" s="2">
        <v>51127.770000000055</v>
      </c>
      <c r="AE37" s="2">
        <v>51144.170000000056</v>
      </c>
      <c r="AF37" s="3"/>
      <c r="AG37" s="51">
        <f t="shared" si="1"/>
        <v>51144.170000000056</v>
      </c>
      <c r="AH37" s="44">
        <v>50586.05</v>
      </c>
    </row>
    <row r="38" spans="1:34" x14ac:dyDescent="0.35">
      <c r="A38" s="33" t="s">
        <v>44</v>
      </c>
      <c r="B38" s="10">
        <v>51752.380000000063</v>
      </c>
      <c r="C38" s="2">
        <v>51773.560000000063</v>
      </c>
      <c r="D38" s="2">
        <v>51795.050000000061</v>
      </c>
      <c r="E38" s="2">
        <v>51814.950000000063</v>
      </c>
      <c r="F38" s="2">
        <v>51836.540000000059</v>
      </c>
      <c r="G38" s="2">
        <v>51857.370000000061</v>
      </c>
      <c r="H38" s="2">
        <v>51875.190000000061</v>
      </c>
      <c r="I38" s="2">
        <v>51896.670000000064</v>
      </c>
      <c r="J38" s="2">
        <v>51911.970000000067</v>
      </c>
      <c r="K38" s="2">
        <v>51933.570000000065</v>
      </c>
      <c r="L38" s="2">
        <v>51953.130000000063</v>
      </c>
      <c r="M38" s="2">
        <v>51973.950000000063</v>
      </c>
      <c r="N38" s="2">
        <v>51979.200000000063</v>
      </c>
      <c r="O38" s="2">
        <v>51979.200000000063</v>
      </c>
      <c r="P38" s="2">
        <v>51979.200000000063</v>
      </c>
      <c r="Q38" s="2">
        <v>51991.480000000061</v>
      </c>
      <c r="R38" s="2">
        <v>52006.960000000065</v>
      </c>
      <c r="S38" s="2">
        <v>52028.240000000063</v>
      </c>
      <c r="T38" s="2">
        <v>52049.390000000065</v>
      </c>
      <c r="U38" s="2">
        <v>52071.350000000064</v>
      </c>
      <c r="V38" s="2">
        <v>52092.370000000061</v>
      </c>
      <c r="W38" s="2">
        <v>52114.070000000058</v>
      </c>
      <c r="X38" s="2">
        <v>52132.290000000059</v>
      </c>
      <c r="Y38" s="2">
        <v>52150.930000000058</v>
      </c>
      <c r="Z38" s="2">
        <v>52150.930000000058</v>
      </c>
      <c r="AA38" s="2">
        <v>52159.600000000057</v>
      </c>
      <c r="AB38" s="2">
        <v>52181.020000000055</v>
      </c>
      <c r="AC38" s="2">
        <v>52182.350000000057</v>
      </c>
      <c r="AD38" s="2">
        <v>52196.970000000059</v>
      </c>
      <c r="AE38" s="2">
        <v>52217.700000000063</v>
      </c>
      <c r="AF38" s="3"/>
      <c r="AG38" s="51">
        <f t="shared" si="1"/>
        <v>52217.700000000063</v>
      </c>
      <c r="AH38" s="44">
        <v>51735.9</v>
      </c>
    </row>
    <row r="39" spans="1:34" x14ac:dyDescent="0.35">
      <c r="A39" s="33" t="s">
        <v>45</v>
      </c>
      <c r="B39" s="10">
        <v>49938.049999999937</v>
      </c>
      <c r="C39" s="2">
        <v>49957.459999999941</v>
      </c>
      <c r="D39" s="2">
        <v>49978.779999999941</v>
      </c>
      <c r="E39" s="2">
        <v>49999.279999999941</v>
      </c>
      <c r="F39" s="2">
        <v>50016.939999999944</v>
      </c>
      <c r="G39" s="2">
        <v>50034.769999999946</v>
      </c>
      <c r="H39" s="2">
        <v>50050.069999999949</v>
      </c>
      <c r="I39" s="2">
        <v>50071.089999999946</v>
      </c>
      <c r="J39" s="2">
        <v>50092.289999999943</v>
      </c>
      <c r="K39" s="2">
        <v>50112.959999999941</v>
      </c>
      <c r="L39" s="2">
        <v>50123.709999999941</v>
      </c>
      <c r="M39" s="2">
        <v>50137.23999999994</v>
      </c>
      <c r="N39" s="2">
        <v>50157.339999999938</v>
      </c>
      <c r="O39" s="2">
        <v>50178.479999999938</v>
      </c>
      <c r="P39" s="2">
        <v>50199.809999999939</v>
      </c>
      <c r="Q39" s="2">
        <v>50220.309999999939</v>
      </c>
      <c r="R39" s="2">
        <v>50240.059999999939</v>
      </c>
      <c r="S39" s="2">
        <v>50259.659999999938</v>
      </c>
      <c r="T39" s="2">
        <v>50278.009999999937</v>
      </c>
      <c r="U39" s="2">
        <v>50300.119999999937</v>
      </c>
      <c r="V39" s="2">
        <v>50322.639999999934</v>
      </c>
      <c r="W39" s="2">
        <v>50326.939999999937</v>
      </c>
      <c r="X39" s="2">
        <v>50336.209999999934</v>
      </c>
      <c r="Y39" s="2">
        <v>50357.869999999937</v>
      </c>
      <c r="Z39" s="2">
        <v>50376.289999999935</v>
      </c>
      <c r="AA39" s="2">
        <v>50383.269999999939</v>
      </c>
      <c r="AB39" s="2">
        <v>50398.909999999938</v>
      </c>
      <c r="AC39" s="2">
        <v>50399.979999999938</v>
      </c>
      <c r="AD39" s="2">
        <v>50414.84999999994</v>
      </c>
      <c r="AE39" s="2">
        <v>50414.84999999994</v>
      </c>
      <c r="AF39" s="3"/>
      <c r="AG39" s="51">
        <f t="shared" si="1"/>
        <v>50414.84999999994</v>
      </c>
      <c r="AH39" s="44">
        <v>49929.65</v>
      </c>
    </row>
    <row r="40" spans="1:34" x14ac:dyDescent="0.35">
      <c r="A40" s="33" t="s">
        <v>46</v>
      </c>
      <c r="B40" s="10">
        <v>50944.089999999967</v>
      </c>
      <c r="C40" s="2">
        <v>50963.119999999966</v>
      </c>
      <c r="D40" s="2">
        <v>50984.299999999967</v>
      </c>
      <c r="E40" s="2">
        <v>51000.649999999965</v>
      </c>
      <c r="F40" s="2">
        <v>51021.909999999967</v>
      </c>
      <c r="G40" s="2">
        <v>51041.619999999966</v>
      </c>
      <c r="H40" s="2">
        <v>51059.079999999965</v>
      </c>
      <c r="I40" s="2">
        <v>51076.569999999963</v>
      </c>
      <c r="J40" s="2">
        <v>51098.479999999967</v>
      </c>
      <c r="K40" s="2">
        <v>51119.919999999969</v>
      </c>
      <c r="L40" s="2">
        <v>51141.499999999971</v>
      </c>
      <c r="M40" s="2">
        <v>51163.199999999968</v>
      </c>
      <c r="N40" s="2">
        <v>51170.679999999971</v>
      </c>
      <c r="O40" s="2">
        <v>51172.659999999974</v>
      </c>
      <c r="P40" s="2">
        <v>51193.559999999976</v>
      </c>
      <c r="Q40" s="2">
        <v>51215.519999999975</v>
      </c>
      <c r="R40" s="2">
        <v>51237.689999999973</v>
      </c>
      <c r="S40" s="2">
        <v>51259.269999999975</v>
      </c>
      <c r="T40" s="2">
        <v>51281.159999999974</v>
      </c>
      <c r="U40" s="2">
        <v>51299.739999999976</v>
      </c>
      <c r="V40" s="2">
        <v>51321.289999999979</v>
      </c>
      <c r="W40" s="2">
        <v>51338.749999999978</v>
      </c>
      <c r="X40" s="2">
        <v>51359.179999999978</v>
      </c>
      <c r="Y40" s="2">
        <v>51381.119999999981</v>
      </c>
      <c r="Z40" s="2">
        <v>51402.419999999984</v>
      </c>
      <c r="AA40" s="2">
        <v>51423.639999999985</v>
      </c>
      <c r="AB40" s="2">
        <v>51444.779999999984</v>
      </c>
      <c r="AC40" s="2">
        <v>51445.499999999985</v>
      </c>
      <c r="AD40" s="2">
        <v>51466.339999999982</v>
      </c>
      <c r="AE40" s="2">
        <v>51483.219999999979</v>
      </c>
      <c r="AF40" s="3"/>
      <c r="AG40" s="51">
        <f t="shared" si="1"/>
        <v>51483.219999999979</v>
      </c>
      <c r="AH40" s="44">
        <v>50926.16</v>
      </c>
    </row>
    <row r="41" spans="1:34" x14ac:dyDescent="0.35">
      <c r="A41" s="33" t="s">
        <v>47</v>
      </c>
      <c r="B41" s="10">
        <v>48539.430000000008</v>
      </c>
      <c r="C41" s="2">
        <v>48555.010000000009</v>
      </c>
      <c r="D41" s="2">
        <v>48575.390000000007</v>
      </c>
      <c r="E41" s="2">
        <v>48594.200000000004</v>
      </c>
      <c r="F41" s="2">
        <v>48615.890000000007</v>
      </c>
      <c r="G41" s="2">
        <v>48637.130000000005</v>
      </c>
      <c r="H41" s="2">
        <v>48657.51</v>
      </c>
      <c r="I41" s="2">
        <v>48672.490000000005</v>
      </c>
      <c r="J41" s="2">
        <v>48686.240000000005</v>
      </c>
      <c r="K41" s="2">
        <v>48707.140000000007</v>
      </c>
      <c r="L41" s="2">
        <v>48724.69000000001</v>
      </c>
      <c r="M41" s="2">
        <v>48743.98000000001</v>
      </c>
      <c r="N41" s="2">
        <v>48763.470000000008</v>
      </c>
      <c r="O41" s="2">
        <v>48763.470000000008</v>
      </c>
      <c r="P41" s="2">
        <v>48763.470000000008</v>
      </c>
      <c r="Q41" s="2">
        <v>48763.470000000008</v>
      </c>
      <c r="R41" s="2">
        <v>48763.470000000008</v>
      </c>
      <c r="S41" s="2">
        <v>48763.470000000008</v>
      </c>
      <c r="T41" s="2">
        <v>48778.910000000011</v>
      </c>
      <c r="U41" s="2">
        <v>48798.98000000001</v>
      </c>
      <c r="V41" s="2">
        <v>48820.590000000011</v>
      </c>
      <c r="W41" s="2">
        <v>48841.580000000009</v>
      </c>
      <c r="X41" s="2">
        <v>48862.560000000012</v>
      </c>
      <c r="Y41" s="2">
        <v>48867.55000000001</v>
      </c>
      <c r="Z41" s="2">
        <v>48884.12000000001</v>
      </c>
      <c r="AA41" s="2">
        <v>48899.130000000012</v>
      </c>
      <c r="AB41" s="2">
        <v>48920.710000000014</v>
      </c>
      <c r="AC41" s="2">
        <v>48921.490000000013</v>
      </c>
      <c r="AD41" s="2">
        <v>48944.030000000013</v>
      </c>
      <c r="AE41" s="2">
        <v>48966.55000000001</v>
      </c>
      <c r="AF41" s="3"/>
      <c r="AG41" s="51">
        <f t="shared" si="1"/>
        <v>48966.55000000001</v>
      </c>
      <c r="AH41" s="44">
        <v>48517.19</v>
      </c>
    </row>
    <row r="42" spans="1:34" x14ac:dyDescent="0.35">
      <c r="A42" s="33" t="s">
        <v>48</v>
      </c>
      <c r="B42" s="10">
        <v>41944.489999999983</v>
      </c>
      <c r="C42" s="2">
        <v>41944.489999999983</v>
      </c>
      <c r="D42" s="2">
        <v>41944.489999999983</v>
      </c>
      <c r="E42" s="2">
        <v>41944.489999999983</v>
      </c>
      <c r="F42" s="2">
        <v>41944.489999999983</v>
      </c>
      <c r="G42" s="2">
        <v>41944.489999999983</v>
      </c>
      <c r="H42" s="2">
        <v>41944.489999999983</v>
      </c>
      <c r="I42" s="2">
        <v>41944.489999999983</v>
      </c>
      <c r="J42" s="2">
        <v>41944.489999999983</v>
      </c>
      <c r="K42" s="2">
        <v>41944.489999999983</v>
      </c>
      <c r="L42" s="2">
        <v>41944.489999999983</v>
      </c>
      <c r="M42" s="2">
        <v>41944.489999999983</v>
      </c>
      <c r="N42" s="2">
        <v>41944.489999999983</v>
      </c>
      <c r="O42" s="2">
        <v>41944.489999999983</v>
      </c>
      <c r="P42" s="2">
        <v>41944.489999999983</v>
      </c>
      <c r="Q42" s="2">
        <v>41944.489999999983</v>
      </c>
      <c r="R42" s="2">
        <v>41948.149999999987</v>
      </c>
      <c r="S42" s="2">
        <v>41948.149999999987</v>
      </c>
      <c r="T42" s="2">
        <v>41953.109999999986</v>
      </c>
      <c r="U42" s="2">
        <v>41963.589999999989</v>
      </c>
      <c r="V42" s="2">
        <v>41974.859999999986</v>
      </c>
      <c r="W42" s="2">
        <v>41993.239999999983</v>
      </c>
      <c r="X42" s="2">
        <v>42007.519999999982</v>
      </c>
      <c r="Y42" s="2">
        <v>42015.959999999985</v>
      </c>
      <c r="Z42" s="2">
        <v>42016.339999999982</v>
      </c>
      <c r="AA42" s="2">
        <v>42016.429999999978</v>
      </c>
      <c r="AB42" s="2">
        <v>42016.429999999978</v>
      </c>
      <c r="AC42" s="2">
        <v>42018.499999999978</v>
      </c>
      <c r="AD42" s="2">
        <v>42030.839999999975</v>
      </c>
      <c r="AE42" s="2">
        <v>42040.689999999973</v>
      </c>
      <c r="AF42" s="3"/>
      <c r="AG42" s="51">
        <f t="shared" si="1"/>
        <v>42040.689999999973</v>
      </c>
      <c r="AH42" s="44">
        <v>41944.49</v>
      </c>
    </row>
    <row r="43" spans="1:34" x14ac:dyDescent="0.35">
      <c r="A43" s="33" t="s">
        <v>49</v>
      </c>
      <c r="B43" s="10">
        <v>51226.859999999899</v>
      </c>
      <c r="C43" s="2">
        <v>51226.859999999899</v>
      </c>
      <c r="D43" s="2">
        <v>51231.359999999899</v>
      </c>
      <c r="E43" s="2">
        <v>51252.839999999902</v>
      </c>
      <c r="F43" s="2">
        <v>51274.6499999999</v>
      </c>
      <c r="G43" s="2">
        <v>51296.549999999901</v>
      </c>
      <c r="H43" s="2">
        <v>51311.019999999902</v>
      </c>
      <c r="I43" s="2">
        <v>51328.639999999905</v>
      </c>
      <c r="J43" s="2">
        <v>51348.529999999904</v>
      </c>
      <c r="K43" s="2">
        <v>51365.939999999908</v>
      </c>
      <c r="L43" s="2">
        <v>51372.119999999908</v>
      </c>
      <c r="M43" s="2">
        <v>51372.119999999908</v>
      </c>
      <c r="N43" s="2">
        <v>51372.119999999908</v>
      </c>
      <c r="O43" s="2">
        <v>51372.119999999908</v>
      </c>
      <c r="P43" s="2">
        <v>51387.119999999908</v>
      </c>
      <c r="Q43" s="2">
        <v>51405.029999999912</v>
      </c>
      <c r="R43" s="2">
        <v>51424.299999999908</v>
      </c>
      <c r="S43" s="2">
        <v>51441.409999999909</v>
      </c>
      <c r="T43" s="2">
        <v>51450.969999999907</v>
      </c>
      <c r="U43" s="2">
        <v>51451.179999999906</v>
      </c>
      <c r="V43" s="2">
        <v>51472.099999999904</v>
      </c>
      <c r="W43" s="2">
        <v>51485.589999999902</v>
      </c>
      <c r="X43" s="2">
        <v>51499.6899999999</v>
      </c>
      <c r="Y43" s="2">
        <v>51521.8299999999</v>
      </c>
      <c r="Z43" s="2">
        <v>51530.549999999901</v>
      </c>
      <c r="AA43" s="2">
        <v>51549.159999999902</v>
      </c>
      <c r="AB43" s="2">
        <v>51570.639999999905</v>
      </c>
      <c r="AC43" s="2">
        <v>51572.559999999903</v>
      </c>
      <c r="AD43" s="2">
        <v>51594.1899999999</v>
      </c>
      <c r="AE43" s="2">
        <v>51612.669999999904</v>
      </c>
      <c r="AF43" s="3"/>
      <c r="AG43" s="51">
        <f t="shared" si="1"/>
        <v>51612.669999999904</v>
      </c>
      <c r="AH43" s="44">
        <v>51226.86</v>
      </c>
    </row>
    <row r="44" spans="1:34" x14ac:dyDescent="0.35">
      <c r="A44" s="33" t="s">
        <v>50</v>
      </c>
      <c r="B44" s="10">
        <v>50869.739999999983</v>
      </c>
      <c r="C44" s="2">
        <v>50890.599999999984</v>
      </c>
      <c r="D44" s="2">
        <v>50909.159999999982</v>
      </c>
      <c r="E44" s="2">
        <v>50918.129999999983</v>
      </c>
      <c r="F44" s="2">
        <v>50939.359999999986</v>
      </c>
      <c r="G44" s="2">
        <v>50957.499999999985</v>
      </c>
      <c r="H44" s="2">
        <v>50975.019999999982</v>
      </c>
      <c r="I44" s="2">
        <v>50991.32999999998</v>
      </c>
      <c r="J44" s="2">
        <v>51003.209999999977</v>
      </c>
      <c r="K44" s="2">
        <v>51024.489999999976</v>
      </c>
      <c r="L44" s="2">
        <v>51046.39999999998</v>
      </c>
      <c r="M44" s="2">
        <v>51068.25999999998</v>
      </c>
      <c r="N44" s="2">
        <v>51089.239999999983</v>
      </c>
      <c r="O44" s="2">
        <v>51107.039999999986</v>
      </c>
      <c r="P44" s="2">
        <v>51122.059999999983</v>
      </c>
      <c r="Q44" s="2">
        <v>51143.499999999985</v>
      </c>
      <c r="R44" s="2">
        <v>51164.479999999989</v>
      </c>
      <c r="S44" s="2">
        <v>51184.839999999989</v>
      </c>
      <c r="T44" s="2">
        <v>51206.119999999988</v>
      </c>
      <c r="U44" s="2">
        <v>51227.729999999989</v>
      </c>
      <c r="V44" s="2">
        <v>51244.569999999985</v>
      </c>
      <c r="W44" s="2">
        <v>51263.909999999982</v>
      </c>
      <c r="X44" s="2">
        <v>51284.769999999982</v>
      </c>
      <c r="Y44" s="2">
        <v>51306.039999999979</v>
      </c>
      <c r="Z44" s="2">
        <v>51327.429999999978</v>
      </c>
      <c r="AA44" s="2">
        <v>51347.64999999998</v>
      </c>
      <c r="AB44" s="2">
        <v>51369.669999999976</v>
      </c>
      <c r="AC44" s="2">
        <v>51373.189999999973</v>
      </c>
      <c r="AD44" s="2">
        <v>51394.549999999974</v>
      </c>
      <c r="AE44" s="2">
        <v>51416.319999999971</v>
      </c>
      <c r="AF44" s="3"/>
      <c r="AG44" s="51">
        <f t="shared" si="1"/>
        <v>51416.319999999971</v>
      </c>
      <c r="AH44" s="44">
        <v>50848.05</v>
      </c>
    </row>
    <row r="45" spans="1:34" x14ac:dyDescent="0.35">
      <c r="A45" s="33" t="s">
        <v>51</v>
      </c>
      <c r="B45" s="10">
        <v>50733.249999999949</v>
      </c>
      <c r="C45" s="2">
        <v>50749.829999999951</v>
      </c>
      <c r="D45" s="2">
        <v>50767.629999999954</v>
      </c>
      <c r="E45" s="2">
        <v>50789.149999999951</v>
      </c>
      <c r="F45" s="2">
        <v>50810.639999999948</v>
      </c>
      <c r="G45" s="2">
        <v>50831.879999999946</v>
      </c>
      <c r="H45" s="2">
        <v>50853.649999999943</v>
      </c>
      <c r="I45" s="2">
        <v>50874.809999999947</v>
      </c>
      <c r="J45" s="2">
        <v>50896.149999999943</v>
      </c>
      <c r="K45" s="2">
        <v>50902.009999999944</v>
      </c>
      <c r="L45" s="2">
        <v>50923.199999999946</v>
      </c>
      <c r="M45" s="2">
        <v>50944.809999999947</v>
      </c>
      <c r="N45" s="2">
        <v>50966.329999999944</v>
      </c>
      <c r="O45" s="2">
        <v>50987.549999999945</v>
      </c>
      <c r="P45" s="2">
        <v>51007.529999999948</v>
      </c>
      <c r="Q45" s="2">
        <v>51029.019999999946</v>
      </c>
      <c r="R45" s="2">
        <v>51050.389999999948</v>
      </c>
      <c r="S45" s="2">
        <v>51071.259999999951</v>
      </c>
      <c r="T45" s="2">
        <v>51086.049999999952</v>
      </c>
      <c r="U45" s="2">
        <v>51105.349999999955</v>
      </c>
      <c r="V45" s="2">
        <v>51127.059999999954</v>
      </c>
      <c r="W45" s="2">
        <v>51144.829999999951</v>
      </c>
      <c r="X45" s="2">
        <v>51150.999999999949</v>
      </c>
      <c r="Y45" s="2">
        <v>51171.959999999948</v>
      </c>
      <c r="Z45" s="2">
        <v>51191.459999999948</v>
      </c>
      <c r="AA45" s="2">
        <v>51212.989999999947</v>
      </c>
      <c r="AB45" s="2">
        <v>51234.089999999946</v>
      </c>
      <c r="AC45" s="2">
        <v>51238.639999999948</v>
      </c>
      <c r="AD45" s="2">
        <v>51259.589999999946</v>
      </c>
      <c r="AE45" s="2">
        <v>51279.219999999943</v>
      </c>
      <c r="AF45" s="3"/>
      <c r="AG45" s="51">
        <f t="shared" si="1"/>
        <v>51279.219999999943</v>
      </c>
      <c r="AH45" s="44">
        <v>50733.25</v>
      </c>
    </row>
    <row r="46" spans="1:34" x14ac:dyDescent="0.35">
      <c r="A46" s="33" t="s">
        <v>52</v>
      </c>
      <c r="B46" s="10">
        <v>42817.130000000041</v>
      </c>
      <c r="C46" s="2">
        <v>42817.130000000041</v>
      </c>
      <c r="D46" s="2">
        <v>42817.130000000041</v>
      </c>
      <c r="E46" s="2">
        <v>42835.940000000039</v>
      </c>
      <c r="F46" s="2">
        <v>42856.630000000041</v>
      </c>
      <c r="G46" s="2">
        <v>42868.180000000044</v>
      </c>
      <c r="H46" s="2">
        <v>42889.550000000047</v>
      </c>
      <c r="I46" s="2">
        <v>42911.420000000049</v>
      </c>
      <c r="J46" s="2">
        <v>42931.420000000049</v>
      </c>
      <c r="K46" s="2">
        <v>42953.080000000053</v>
      </c>
      <c r="L46" s="2">
        <v>42974.520000000055</v>
      </c>
      <c r="M46" s="2">
        <v>42995.940000000053</v>
      </c>
      <c r="N46" s="2">
        <v>43013.880000000056</v>
      </c>
      <c r="O46" s="2">
        <v>43034.880000000056</v>
      </c>
      <c r="P46" s="2">
        <v>43055.390000000058</v>
      </c>
      <c r="Q46" s="2">
        <v>43076.460000000057</v>
      </c>
      <c r="R46" s="2">
        <v>43097.540000000059</v>
      </c>
      <c r="S46" s="2">
        <v>43119.130000000056</v>
      </c>
      <c r="T46" s="2">
        <v>43141.150000000052</v>
      </c>
      <c r="U46" s="2">
        <v>43162.870000000054</v>
      </c>
      <c r="V46" s="2">
        <v>43184.660000000054</v>
      </c>
      <c r="W46" s="2">
        <v>43206.650000000052</v>
      </c>
      <c r="X46" s="2">
        <v>43221.200000000055</v>
      </c>
      <c r="Y46" s="2">
        <v>43238.900000000052</v>
      </c>
      <c r="Z46" s="2">
        <v>43254.120000000054</v>
      </c>
      <c r="AA46" s="2">
        <v>43272.600000000057</v>
      </c>
      <c r="AB46" s="2">
        <v>43293.410000000054</v>
      </c>
      <c r="AC46" s="2">
        <v>43295.060000000056</v>
      </c>
      <c r="AD46" s="2">
        <v>43306.770000000055</v>
      </c>
      <c r="AE46" s="2">
        <v>43328.090000000055</v>
      </c>
      <c r="AF46" s="3"/>
      <c r="AG46" s="51">
        <f t="shared" si="1"/>
        <v>43328.090000000055</v>
      </c>
      <c r="AH46" s="44">
        <v>42817.13</v>
      </c>
    </row>
    <row r="47" spans="1:34" x14ac:dyDescent="0.35">
      <c r="A47" s="33" t="s">
        <v>53</v>
      </c>
      <c r="B47" s="10">
        <v>44939.909999999996</v>
      </c>
      <c r="C47" s="2">
        <v>44957.229999999996</v>
      </c>
      <c r="D47" s="2">
        <v>44977.869999999995</v>
      </c>
      <c r="E47" s="2">
        <v>44997.919999999998</v>
      </c>
      <c r="F47" s="2">
        <v>45019.28</v>
      </c>
      <c r="G47" s="2">
        <v>45040.33</v>
      </c>
      <c r="H47" s="2">
        <v>45060.880000000005</v>
      </c>
      <c r="I47" s="2">
        <v>45082.47</v>
      </c>
      <c r="J47" s="2">
        <v>45104.07</v>
      </c>
      <c r="K47" s="2">
        <v>45125.85</v>
      </c>
      <c r="L47" s="2">
        <v>45147.409999999996</v>
      </c>
      <c r="M47" s="2">
        <v>45168.759999999995</v>
      </c>
      <c r="N47" s="2">
        <v>45189.999999999993</v>
      </c>
      <c r="O47" s="2">
        <v>45210.94999999999</v>
      </c>
      <c r="P47" s="2">
        <v>45210.94999999999</v>
      </c>
      <c r="Q47" s="2">
        <v>45210.94999999999</v>
      </c>
      <c r="R47" s="2">
        <v>45210.94999999999</v>
      </c>
      <c r="S47" s="2">
        <v>45210.94999999999</v>
      </c>
      <c r="T47" s="2">
        <v>45210.94999999999</v>
      </c>
      <c r="U47" s="2">
        <v>45227.44999999999</v>
      </c>
      <c r="V47" s="2">
        <v>45249.319999999992</v>
      </c>
      <c r="W47" s="2">
        <v>45270.399999999994</v>
      </c>
      <c r="X47" s="2">
        <v>45291.81</v>
      </c>
      <c r="Y47" s="2">
        <v>45312.71</v>
      </c>
      <c r="Z47" s="2">
        <v>45319.64</v>
      </c>
      <c r="AA47" s="2">
        <v>45340.4</v>
      </c>
      <c r="AB47" s="2">
        <v>45361.520000000004</v>
      </c>
      <c r="AC47" s="2">
        <v>45363.29</v>
      </c>
      <c r="AD47" s="2">
        <v>45384.63</v>
      </c>
      <c r="AE47" s="2">
        <v>45405.89</v>
      </c>
      <c r="AF47" s="3"/>
      <c r="AG47" s="51">
        <f t="shared" si="1"/>
        <v>45405.89</v>
      </c>
      <c r="AH47" s="44">
        <v>44918.63</v>
      </c>
    </row>
    <row r="48" spans="1:34" x14ac:dyDescent="0.35">
      <c r="A48" s="33" t="s">
        <v>54</v>
      </c>
      <c r="B48" s="10">
        <v>43747.68999999993</v>
      </c>
      <c r="C48" s="2">
        <v>43747.68999999993</v>
      </c>
      <c r="D48" s="2">
        <v>43747.68999999993</v>
      </c>
      <c r="E48" s="2">
        <v>43747.68999999993</v>
      </c>
      <c r="F48" s="2">
        <v>43747.68999999993</v>
      </c>
      <c r="G48" s="2">
        <v>43747.68999999993</v>
      </c>
      <c r="H48" s="2">
        <v>43747.68999999993</v>
      </c>
      <c r="I48" s="2">
        <v>43747.68999999993</v>
      </c>
      <c r="J48" s="2">
        <v>43747.68999999993</v>
      </c>
      <c r="K48" s="2">
        <v>43747.68999999993</v>
      </c>
      <c r="L48" s="2">
        <v>43747.68999999993</v>
      </c>
      <c r="M48" s="2">
        <v>43747.68999999993</v>
      </c>
      <c r="N48" s="2">
        <v>43747.68999999993</v>
      </c>
      <c r="O48" s="2">
        <v>43758.289999999928</v>
      </c>
      <c r="P48" s="2">
        <v>43776.469999999928</v>
      </c>
      <c r="Q48" s="2">
        <v>43798.829999999929</v>
      </c>
      <c r="R48" s="2">
        <v>43820.759999999929</v>
      </c>
      <c r="S48" s="2">
        <v>43839.93999999993</v>
      </c>
      <c r="T48" s="2">
        <v>43855.629999999932</v>
      </c>
      <c r="U48" s="2">
        <v>43868.629999999932</v>
      </c>
      <c r="V48" s="2">
        <v>43891.43999999993</v>
      </c>
      <c r="W48" s="2">
        <v>43913.199999999932</v>
      </c>
      <c r="X48" s="2">
        <v>43935.009999999929</v>
      </c>
      <c r="Y48" s="2">
        <v>43943.819999999927</v>
      </c>
      <c r="Z48" s="2">
        <v>43955.36999999993</v>
      </c>
      <c r="AA48" s="2">
        <v>43972.79999999993</v>
      </c>
      <c r="AB48" s="2">
        <v>43994.789999999928</v>
      </c>
      <c r="AC48" s="2">
        <v>43994.789999999928</v>
      </c>
      <c r="AD48" s="2">
        <v>44017.349999999926</v>
      </c>
      <c r="AE48" s="2">
        <v>44037.539999999928</v>
      </c>
      <c r="AF48" s="3"/>
      <c r="AG48" s="51">
        <f t="shared" si="1"/>
        <v>44037.539999999928</v>
      </c>
      <c r="AH48" s="44">
        <v>43747.69</v>
      </c>
    </row>
    <row r="49" spans="1:34" x14ac:dyDescent="0.35">
      <c r="A49" s="33" t="s">
        <v>55</v>
      </c>
      <c r="B49" s="10">
        <v>43589.030000000064</v>
      </c>
      <c r="C49" s="2">
        <v>43609.910000000062</v>
      </c>
      <c r="D49" s="2">
        <v>43630.780000000064</v>
      </c>
      <c r="E49" s="2">
        <v>43641.710000000065</v>
      </c>
      <c r="F49" s="2">
        <v>43654.980000000061</v>
      </c>
      <c r="G49" s="2">
        <v>43654.980000000061</v>
      </c>
      <c r="H49" s="2">
        <v>43663.000000000058</v>
      </c>
      <c r="I49" s="2">
        <v>43677.480000000061</v>
      </c>
      <c r="J49" s="2">
        <v>43690.090000000062</v>
      </c>
      <c r="K49" s="2">
        <v>43708.630000000063</v>
      </c>
      <c r="L49" s="2">
        <v>43730.050000000061</v>
      </c>
      <c r="M49" s="2">
        <v>43751.620000000061</v>
      </c>
      <c r="N49" s="2">
        <v>43772.780000000064</v>
      </c>
      <c r="O49" s="2">
        <v>43776.780000000064</v>
      </c>
      <c r="P49" s="2">
        <v>43780.890000000065</v>
      </c>
      <c r="Q49" s="2">
        <v>43799.010000000068</v>
      </c>
      <c r="R49" s="2">
        <v>43819.850000000064</v>
      </c>
      <c r="S49" s="2">
        <v>43841.140000000065</v>
      </c>
      <c r="T49" s="2">
        <v>43860.360000000066</v>
      </c>
      <c r="U49" s="2">
        <v>43880.200000000063</v>
      </c>
      <c r="V49" s="2">
        <v>43899.540000000059</v>
      </c>
      <c r="W49" s="2">
        <v>43919.740000000056</v>
      </c>
      <c r="X49" s="2">
        <v>43940.370000000054</v>
      </c>
      <c r="Y49" s="2">
        <v>43961.200000000055</v>
      </c>
      <c r="Z49" s="2">
        <v>43977.450000000055</v>
      </c>
      <c r="AA49" s="2">
        <v>43998.160000000054</v>
      </c>
      <c r="AB49" s="2">
        <v>44019.640000000058</v>
      </c>
      <c r="AC49" s="2">
        <v>44020.550000000061</v>
      </c>
      <c r="AD49" s="2">
        <v>44039.920000000064</v>
      </c>
      <c r="AE49" s="2">
        <v>44056.900000000067</v>
      </c>
      <c r="AF49" s="3"/>
      <c r="AG49" s="51">
        <f t="shared" si="1"/>
        <v>44056.900000000067</v>
      </c>
      <c r="AH49" s="44">
        <v>43568.03</v>
      </c>
    </row>
    <row r="50" spans="1:34" x14ac:dyDescent="0.35">
      <c r="A50" s="33" t="s">
        <v>56</v>
      </c>
      <c r="B50" s="10">
        <v>42802.530000000115</v>
      </c>
      <c r="C50" s="2">
        <v>42824.050000000112</v>
      </c>
      <c r="D50" s="2">
        <v>42845.960000000116</v>
      </c>
      <c r="E50" s="2">
        <v>42864.860000000117</v>
      </c>
      <c r="F50" s="2">
        <v>42886.34000000012</v>
      </c>
      <c r="G50" s="2">
        <v>42907.91000000012</v>
      </c>
      <c r="H50" s="2">
        <v>42929.290000000117</v>
      </c>
      <c r="I50" s="2">
        <v>42950.470000000118</v>
      </c>
      <c r="J50" s="2">
        <v>42953.580000000118</v>
      </c>
      <c r="K50" s="2">
        <v>42973.490000000122</v>
      </c>
      <c r="L50" s="2">
        <v>42994.290000000125</v>
      </c>
      <c r="M50" s="2">
        <v>43005.670000000122</v>
      </c>
      <c r="N50" s="2">
        <v>43005.670000000122</v>
      </c>
      <c r="O50" s="2">
        <v>43005.670000000122</v>
      </c>
      <c r="P50" s="2">
        <v>43021.02000000012</v>
      </c>
      <c r="Q50" s="2">
        <v>43041.100000000122</v>
      </c>
      <c r="R50" s="2">
        <v>43062.690000000119</v>
      </c>
      <c r="S50" s="2">
        <v>43083.370000000119</v>
      </c>
      <c r="T50" s="2">
        <v>43103.850000000122</v>
      </c>
      <c r="U50" s="2">
        <v>43123.470000000125</v>
      </c>
      <c r="V50" s="2">
        <v>43136.270000000128</v>
      </c>
      <c r="W50" s="2">
        <v>43141.610000000124</v>
      </c>
      <c r="X50" s="2">
        <v>43157.450000000121</v>
      </c>
      <c r="Y50" s="2">
        <v>43177.91000000012</v>
      </c>
      <c r="Z50" s="2">
        <v>43199.430000000117</v>
      </c>
      <c r="AA50" s="2">
        <v>43213.210000000116</v>
      </c>
      <c r="AB50" s="2">
        <v>43230.980000000112</v>
      </c>
      <c r="AC50" s="2">
        <v>43236.440000000111</v>
      </c>
      <c r="AD50" s="2">
        <v>43257.120000000112</v>
      </c>
      <c r="AE50" s="2">
        <v>43278.490000000114</v>
      </c>
      <c r="AF50" s="3"/>
      <c r="AG50" s="51">
        <f t="shared" si="1"/>
        <v>43278.490000000114</v>
      </c>
      <c r="AH50" s="44">
        <v>42781.36</v>
      </c>
    </row>
    <row r="51" spans="1:34" x14ac:dyDescent="0.35">
      <c r="A51" s="33" t="s">
        <v>57</v>
      </c>
      <c r="B51" s="10">
        <v>41393.669999999933</v>
      </c>
      <c r="C51" s="2">
        <v>41414.539999999935</v>
      </c>
      <c r="D51" s="2">
        <v>41434.949999999939</v>
      </c>
      <c r="E51" s="2">
        <v>41456.299999999937</v>
      </c>
      <c r="F51" s="2">
        <v>41473.339999999938</v>
      </c>
      <c r="G51" s="2">
        <v>41492.309999999939</v>
      </c>
      <c r="H51" s="2">
        <v>41513.859999999942</v>
      </c>
      <c r="I51" s="2">
        <v>41531.819999999942</v>
      </c>
      <c r="J51" s="2">
        <v>41553.289999999943</v>
      </c>
      <c r="K51" s="2">
        <v>41575.899999999943</v>
      </c>
      <c r="L51" s="2">
        <v>41597.459999999941</v>
      </c>
      <c r="M51" s="2">
        <v>41604.439999999944</v>
      </c>
      <c r="N51" s="2">
        <v>41624.639999999941</v>
      </c>
      <c r="O51" s="2">
        <v>41646.079999999944</v>
      </c>
      <c r="P51" s="2">
        <v>41666.959999999941</v>
      </c>
      <c r="Q51" s="2">
        <v>41688.41999999994</v>
      </c>
      <c r="R51" s="2">
        <v>41709.229999999938</v>
      </c>
      <c r="S51" s="2">
        <v>41730.73999999994</v>
      </c>
      <c r="T51" s="2">
        <v>41752.34999999994</v>
      </c>
      <c r="U51" s="2">
        <v>41773.689999999937</v>
      </c>
      <c r="V51" s="2">
        <v>41783.73999999994</v>
      </c>
      <c r="W51" s="2">
        <v>41805.869999999937</v>
      </c>
      <c r="X51" s="2">
        <v>41818.209999999934</v>
      </c>
      <c r="Y51" s="2">
        <v>41834.839999999931</v>
      </c>
      <c r="Z51" s="2">
        <v>41856.359999999928</v>
      </c>
      <c r="AA51" s="2">
        <v>41876.339999999931</v>
      </c>
      <c r="AB51" s="2">
        <v>41897.579999999929</v>
      </c>
      <c r="AC51" s="2">
        <v>41899.129999999932</v>
      </c>
      <c r="AD51" s="2">
        <v>41916.319999999934</v>
      </c>
      <c r="AE51" s="2">
        <v>41937.299999999937</v>
      </c>
      <c r="AF51" s="3"/>
      <c r="AG51" s="51">
        <f t="shared" si="1"/>
        <v>41937.299999999937</v>
      </c>
      <c r="AH51" s="44">
        <v>41375.68</v>
      </c>
    </row>
    <row r="52" spans="1:34" x14ac:dyDescent="0.35">
      <c r="A52" s="33" t="s">
        <v>58</v>
      </c>
      <c r="B52" s="10">
        <v>40939.589999999902</v>
      </c>
      <c r="C52" s="2">
        <v>40959.049999999901</v>
      </c>
      <c r="D52" s="2">
        <v>40980.999999999898</v>
      </c>
      <c r="E52" s="2">
        <v>40999.139999999898</v>
      </c>
      <c r="F52" s="2">
        <v>41019.379999999896</v>
      </c>
      <c r="G52" s="2">
        <v>41040.669999999896</v>
      </c>
      <c r="H52" s="2">
        <v>41062.019999999895</v>
      </c>
      <c r="I52" s="2">
        <v>41079.909999999894</v>
      </c>
      <c r="J52" s="2">
        <v>41101.109999999891</v>
      </c>
      <c r="K52" s="2">
        <v>41122.879999999888</v>
      </c>
      <c r="L52" s="2">
        <v>41141.999999999891</v>
      </c>
      <c r="M52" s="2">
        <v>41163.189999999893</v>
      </c>
      <c r="N52" s="2">
        <v>41184.719999999892</v>
      </c>
      <c r="O52" s="2">
        <v>41205.729999999894</v>
      </c>
      <c r="P52" s="2">
        <v>41226.919999999896</v>
      </c>
      <c r="Q52" s="2">
        <v>41248.719999999899</v>
      </c>
      <c r="R52" s="2">
        <v>41269.959999999897</v>
      </c>
      <c r="S52" s="2">
        <v>41291.909999999894</v>
      </c>
      <c r="T52" s="2">
        <v>41312.139999999898</v>
      </c>
      <c r="U52" s="2">
        <v>41333.819999999898</v>
      </c>
      <c r="V52" s="2">
        <v>41355.549999999901</v>
      </c>
      <c r="W52" s="2">
        <v>41377.339999999902</v>
      </c>
      <c r="X52" s="2">
        <v>41399.029999999904</v>
      </c>
      <c r="Y52" s="2">
        <v>41420.439999999908</v>
      </c>
      <c r="Z52" s="2">
        <v>41442.329999999907</v>
      </c>
      <c r="AA52" s="2">
        <v>41462.659999999909</v>
      </c>
      <c r="AB52" s="2">
        <v>41483.899999999907</v>
      </c>
      <c r="AC52" s="2">
        <v>41484.779999999904</v>
      </c>
      <c r="AD52" s="2">
        <v>41506.119999999901</v>
      </c>
      <c r="AE52" s="2">
        <v>41521.069999999898</v>
      </c>
      <c r="AF52" s="3"/>
      <c r="AG52" s="51">
        <f t="shared" si="1"/>
        <v>41521.069999999898</v>
      </c>
      <c r="AH52" s="44">
        <v>40921.18</v>
      </c>
    </row>
    <row r="53" spans="1:34" x14ac:dyDescent="0.35">
      <c r="A53" s="33" t="s">
        <v>59</v>
      </c>
      <c r="B53" s="10">
        <v>43778.200000000012</v>
      </c>
      <c r="C53" s="2">
        <v>43798.610000000015</v>
      </c>
      <c r="D53" s="2">
        <v>43819.790000000015</v>
      </c>
      <c r="E53" s="2">
        <v>43841.040000000015</v>
      </c>
      <c r="F53" s="2">
        <v>43862.690000000017</v>
      </c>
      <c r="G53" s="2">
        <v>43883.67000000002</v>
      </c>
      <c r="H53" s="2">
        <v>43904.610000000022</v>
      </c>
      <c r="I53" s="2">
        <v>43925.980000000025</v>
      </c>
      <c r="J53" s="2">
        <v>43947.430000000022</v>
      </c>
      <c r="K53" s="2">
        <v>43968.74000000002</v>
      </c>
      <c r="L53" s="2">
        <v>43979.570000000022</v>
      </c>
      <c r="M53" s="2">
        <v>43990.050000000025</v>
      </c>
      <c r="N53" s="2">
        <v>44011.210000000028</v>
      </c>
      <c r="O53" s="2">
        <v>44027.020000000026</v>
      </c>
      <c r="P53" s="2">
        <v>44046.190000000024</v>
      </c>
      <c r="Q53" s="2">
        <v>44067.230000000025</v>
      </c>
      <c r="R53" s="2">
        <v>44089.040000000023</v>
      </c>
      <c r="S53" s="2">
        <v>44108.820000000022</v>
      </c>
      <c r="T53" s="2">
        <v>44130.320000000022</v>
      </c>
      <c r="U53" s="2">
        <v>44152.110000000022</v>
      </c>
      <c r="V53" s="2">
        <v>44173.620000000024</v>
      </c>
      <c r="W53" s="2">
        <v>44191.670000000027</v>
      </c>
      <c r="X53" s="2">
        <v>44209.890000000029</v>
      </c>
      <c r="Y53" s="2">
        <v>44229.72000000003</v>
      </c>
      <c r="Z53" s="2">
        <v>44249.160000000033</v>
      </c>
      <c r="AA53" s="2">
        <v>44268.740000000034</v>
      </c>
      <c r="AB53" s="2">
        <v>44289.790000000037</v>
      </c>
      <c r="AC53" s="2">
        <v>44290.66000000004</v>
      </c>
      <c r="AD53" s="2">
        <v>44310.870000000039</v>
      </c>
      <c r="AE53" s="2">
        <v>44321.150000000038</v>
      </c>
      <c r="AF53" s="3"/>
      <c r="AG53" s="51">
        <f t="shared" si="1"/>
        <v>44321.150000000038</v>
      </c>
      <c r="AH53" s="44">
        <v>43757.04</v>
      </c>
    </row>
    <row r="54" spans="1:34" x14ac:dyDescent="0.35">
      <c r="A54" s="33" t="s">
        <v>60</v>
      </c>
      <c r="B54" s="10">
        <v>43488.100000000166</v>
      </c>
      <c r="C54" s="2">
        <v>43508.040000000168</v>
      </c>
      <c r="D54" s="2">
        <v>43527.360000000168</v>
      </c>
      <c r="E54" s="2">
        <v>43548.650000000169</v>
      </c>
      <c r="F54" s="2">
        <v>43568.860000000168</v>
      </c>
      <c r="G54" s="2">
        <v>43568.860000000168</v>
      </c>
      <c r="H54" s="2">
        <v>43579.980000000171</v>
      </c>
      <c r="I54" s="2">
        <v>43601.610000000168</v>
      </c>
      <c r="J54" s="2">
        <v>43623.170000000166</v>
      </c>
      <c r="K54" s="2">
        <v>43644.850000000166</v>
      </c>
      <c r="L54" s="2">
        <v>43665.500000000167</v>
      </c>
      <c r="M54" s="2">
        <v>43681.880000000165</v>
      </c>
      <c r="N54" s="2">
        <v>43701.660000000164</v>
      </c>
      <c r="O54" s="2">
        <v>43714.240000000165</v>
      </c>
      <c r="P54" s="2">
        <v>43728.980000000163</v>
      </c>
      <c r="Q54" s="2">
        <v>43749.880000000165</v>
      </c>
      <c r="R54" s="2">
        <v>43769.870000000163</v>
      </c>
      <c r="S54" s="2">
        <v>43790.700000000164</v>
      </c>
      <c r="T54" s="2">
        <v>43812.100000000166</v>
      </c>
      <c r="U54" s="2">
        <v>43820.200000000164</v>
      </c>
      <c r="V54" s="2">
        <v>43839.380000000165</v>
      </c>
      <c r="W54" s="2">
        <v>43840.000000000167</v>
      </c>
      <c r="X54" s="2">
        <v>43841.780000000166</v>
      </c>
      <c r="Y54" s="2">
        <v>43841.780000000166</v>
      </c>
      <c r="Z54" s="2">
        <v>43841.780000000166</v>
      </c>
      <c r="AA54" s="2">
        <v>43841.780000000166</v>
      </c>
      <c r="AB54" s="2">
        <v>43841.780000000166</v>
      </c>
      <c r="AC54" s="2">
        <v>43849.490000000165</v>
      </c>
      <c r="AD54" s="2">
        <v>43870.380000000165</v>
      </c>
      <c r="AE54" s="2">
        <v>43891.330000000162</v>
      </c>
      <c r="AF54" s="3"/>
      <c r="AG54" s="51">
        <f t="shared" si="1"/>
        <v>43891.330000000162</v>
      </c>
      <c r="AH54" s="44">
        <v>43475.65</v>
      </c>
    </row>
    <row r="55" spans="1:34" x14ac:dyDescent="0.35">
      <c r="A55" s="33" t="s">
        <v>61</v>
      </c>
      <c r="B55" s="10">
        <v>43156.649999999994</v>
      </c>
      <c r="C55" s="2">
        <v>43177.549999999996</v>
      </c>
      <c r="D55" s="2">
        <v>43194.539999999994</v>
      </c>
      <c r="E55" s="2">
        <v>43196.34</v>
      </c>
      <c r="F55" s="2">
        <v>43210.96</v>
      </c>
      <c r="G55" s="2">
        <v>43231.76</v>
      </c>
      <c r="H55" s="2">
        <v>43249.740000000005</v>
      </c>
      <c r="I55" s="2">
        <v>43270.240000000005</v>
      </c>
      <c r="J55" s="2">
        <v>43291.770000000004</v>
      </c>
      <c r="K55" s="2">
        <v>43312.450000000004</v>
      </c>
      <c r="L55" s="2">
        <v>43334.130000000005</v>
      </c>
      <c r="M55" s="2">
        <v>43356.030000000006</v>
      </c>
      <c r="N55" s="2">
        <v>43377.19000000001</v>
      </c>
      <c r="O55" s="2">
        <v>43398.98000000001</v>
      </c>
      <c r="P55" s="2">
        <v>43419.680000000008</v>
      </c>
      <c r="Q55" s="2">
        <v>43438.330000000009</v>
      </c>
      <c r="R55" s="2">
        <v>43459.250000000007</v>
      </c>
      <c r="S55" s="2">
        <v>43479.830000000009</v>
      </c>
      <c r="T55" s="2">
        <v>43495.090000000011</v>
      </c>
      <c r="U55" s="2">
        <v>43513.710000000014</v>
      </c>
      <c r="V55" s="2">
        <v>43528.460000000014</v>
      </c>
      <c r="W55" s="2">
        <v>43549.400000000016</v>
      </c>
      <c r="X55" s="2">
        <v>43567.510000000017</v>
      </c>
      <c r="Y55" s="2">
        <v>43587.340000000018</v>
      </c>
      <c r="Z55" s="2">
        <v>43605.260000000017</v>
      </c>
      <c r="AA55" s="2">
        <v>43624.700000000019</v>
      </c>
      <c r="AB55" s="2">
        <v>43644.17000000002</v>
      </c>
      <c r="AC55" s="2">
        <v>43644.770000000019</v>
      </c>
      <c r="AD55" s="2">
        <v>43666.650000000016</v>
      </c>
      <c r="AE55" s="2">
        <v>43688.380000000019</v>
      </c>
      <c r="AF55" s="3"/>
      <c r="AG55" s="51">
        <f t="shared" si="1"/>
        <v>43688.380000000019</v>
      </c>
      <c r="AH55" s="44">
        <v>43134.97</v>
      </c>
    </row>
    <row r="56" spans="1:34" x14ac:dyDescent="0.35">
      <c r="A56" s="33" t="s">
        <v>62</v>
      </c>
      <c r="B56" s="10">
        <v>53050.520000000011</v>
      </c>
      <c r="C56" s="2">
        <v>53071.750000000015</v>
      </c>
      <c r="D56" s="2">
        <v>53093.150000000016</v>
      </c>
      <c r="E56" s="2">
        <v>53114.260000000017</v>
      </c>
      <c r="F56" s="2">
        <v>53135.630000000019</v>
      </c>
      <c r="G56" s="2">
        <v>53157.130000000019</v>
      </c>
      <c r="H56" s="2">
        <v>53158.450000000019</v>
      </c>
      <c r="I56" s="2">
        <v>53158.450000000019</v>
      </c>
      <c r="J56" s="2">
        <v>53158.450000000019</v>
      </c>
      <c r="K56" s="2">
        <v>53177.660000000018</v>
      </c>
      <c r="L56" s="2">
        <v>53199.130000000019</v>
      </c>
      <c r="M56" s="2">
        <v>53217.890000000021</v>
      </c>
      <c r="N56" s="2">
        <v>53238.660000000018</v>
      </c>
      <c r="O56" s="2">
        <v>53260.280000000021</v>
      </c>
      <c r="P56" s="2">
        <v>53272.200000000019</v>
      </c>
      <c r="Q56" s="2">
        <v>53290.970000000016</v>
      </c>
      <c r="R56" s="2">
        <v>53310.710000000014</v>
      </c>
      <c r="S56" s="2">
        <v>53331.580000000016</v>
      </c>
      <c r="T56" s="2">
        <v>53343.640000000014</v>
      </c>
      <c r="U56" s="2">
        <v>53356.020000000011</v>
      </c>
      <c r="V56" s="2">
        <v>53377.590000000011</v>
      </c>
      <c r="W56" s="2">
        <v>53399.460000000014</v>
      </c>
      <c r="X56" s="2">
        <v>53418.660000000011</v>
      </c>
      <c r="Y56" s="2">
        <v>53440.30000000001</v>
      </c>
      <c r="Z56" s="2">
        <v>53461.450000000012</v>
      </c>
      <c r="AA56" s="2">
        <v>53482.740000000013</v>
      </c>
      <c r="AB56" s="2">
        <v>53490.100000000013</v>
      </c>
      <c r="AC56" s="2">
        <v>53491.820000000014</v>
      </c>
      <c r="AD56" s="2">
        <v>53513.250000000015</v>
      </c>
      <c r="AE56" s="2">
        <v>53535.040000000015</v>
      </c>
      <c r="AF56" s="3"/>
      <c r="AG56" s="51">
        <f t="shared" si="1"/>
        <v>53535.040000000015</v>
      </c>
      <c r="AH56" s="44">
        <v>53029.55</v>
      </c>
    </row>
    <row r="57" spans="1:34" x14ac:dyDescent="0.35">
      <c r="A57" s="33" t="s">
        <v>63</v>
      </c>
      <c r="B57" s="10">
        <v>19716.440000000006</v>
      </c>
      <c r="C57" s="2">
        <v>19734.270000000008</v>
      </c>
      <c r="D57" s="2">
        <v>19755.850000000009</v>
      </c>
      <c r="E57" s="2">
        <v>19778.090000000011</v>
      </c>
      <c r="F57" s="2">
        <v>19792.920000000013</v>
      </c>
      <c r="G57" s="2">
        <v>19806.760000000013</v>
      </c>
      <c r="H57" s="2">
        <v>19827.600000000013</v>
      </c>
      <c r="I57" s="2">
        <v>19844.600000000013</v>
      </c>
      <c r="J57" s="2">
        <v>19863.970000000012</v>
      </c>
      <c r="K57" s="2">
        <v>19884.770000000011</v>
      </c>
      <c r="L57" s="2">
        <v>19904.30000000001</v>
      </c>
      <c r="M57" s="2">
        <v>19926.750000000011</v>
      </c>
      <c r="N57" s="2">
        <v>19939.080000000013</v>
      </c>
      <c r="O57" s="2">
        <v>19956.330000000013</v>
      </c>
      <c r="P57" s="2">
        <v>19973.430000000011</v>
      </c>
      <c r="Q57" s="2">
        <v>19995.790000000012</v>
      </c>
      <c r="R57" s="2">
        <v>20017.720000000012</v>
      </c>
      <c r="S57" s="2">
        <v>20040.990000000013</v>
      </c>
      <c r="T57" s="2">
        <v>20062.860000000011</v>
      </c>
      <c r="U57" s="2">
        <v>20084.80000000001</v>
      </c>
      <c r="V57" s="2">
        <v>20108.80000000001</v>
      </c>
      <c r="W57" s="2">
        <v>20130.55000000001</v>
      </c>
      <c r="X57" s="2">
        <v>20152.350000000009</v>
      </c>
      <c r="Y57" s="2">
        <v>20171.320000000011</v>
      </c>
      <c r="Z57" s="2">
        <v>20191.090000000011</v>
      </c>
      <c r="AA57" s="2">
        <v>20208.540000000012</v>
      </c>
      <c r="AB57" s="2">
        <v>20226.450000000012</v>
      </c>
      <c r="AC57" s="2">
        <v>20230.48000000001</v>
      </c>
      <c r="AD57" s="2">
        <v>20253.020000000011</v>
      </c>
      <c r="AE57" s="2">
        <v>20272.060000000012</v>
      </c>
      <c r="AF57" s="3"/>
      <c r="AG57" s="51">
        <f t="shared" si="1"/>
        <v>20272.060000000012</v>
      </c>
      <c r="AH57" s="44">
        <v>19711.63</v>
      </c>
    </row>
    <row r="58" spans="1:34" x14ac:dyDescent="0.35">
      <c r="A58" s="33" t="s">
        <v>64</v>
      </c>
      <c r="B58" s="10">
        <v>20370.180277600026</v>
      </c>
      <c r="C58" s="2">
        <v>20393.390277600025</v>
      </c>
      <c r="D58" s="2">
        <v>20414.960277600025</v>
      </c>
      <c r="E58" s="2">
        <v>20436.940277600024</v>
      </c>
      <c r="F58" s="2">
        <v>20455.930277600026</v>
      </c>
      <c r="G58" s="2">
        <v>20469.370277600025</v>
      </c>
      <c r="H58" s="2">
        <v>20485.980277600025</v>
      </c>
      <c r="I58" s="2">
        <v>20495.670277600024</v>
      </c>
      <c r="J58" s="2">
        <v>20503.340277600022</v>
      </c>
      <c r="K58" s="2">
        <v>20523.130277600023</v>
      </c>
      <c r="L58" s="2">
        <v>20545.460277600025</v>
      </c>
      <c r="M58" s="2">
        <v>20568.040277600026</v>
      </c>
      <c r="N58" s="2">
        <v>20585.170277600027</v>
      </c>
      <c r="O58" s="2">
        <v>20603.840277600026</v>
      </c>
      <c r="P58" s="2">
        <v>20625.320277600025</v>
      </c>
      <c r="Q58" s="2">
        <v>20647.680277600026</v>
      </c>
      <c r="R58" s="2">
        <v>20669.640277600025</v>
      </c>
      <c r="S58" s="2">
        <v>20692.900277600023</v>
      </c>
      <c r="T58" s="2">
        <v>20707.810277600023</v>
      </c>
      <c r="U58" s="2">
        <v>20723.380277600023</v>
      </c>
      <c r="V58" s="2">
        <v>20747.380277600023</v>
      </c>
      <c r="W58" s="2">
        <v>20769.140277600021</v>
      </c>
      <c r="X58" s="2">
        <v>20790.930277600022</v>
      </c>
      <c r="Y58" s="2">
        <v>20813.980277600022</v>
      </c>
      <c r="Z58" s="2">
        <v>20836.270277600022</v>
      </c>
      <c r="AA58" s="2">
        <v>20848.760277600024</v>
      </c>
      <c r="AB58" s="2">
        <v>20848.760277600024</v>
      </c>
      <c r="AC58" s="2">
        <v>20848.760277600024</v>
      </c>
      <c r="AD58" s="2">
        <v>20848.760277600024</v>
      </c>
      <c r="AE58" s="2">
        <v>20862.000277600026</v>
      </c>
      <c r="AF58" s="3"/>
      <c r="AG58" s="51">
        <f t="shared" si="1"/>
        <v>20862.000277600026</v>
      </c>
      <c r="AH58" s="44">
        <v>20347.689999999999</v>
      </c>
    </row>
    <row r="59" spans="1:34" x14ac:dyDescent="0.35">
      <c r="A59" s="33" t="s">
        <v>65</v>
      </c>
      <c r="B59" s="10">
        <v>26933.98444410001</v>
      </c>
      <c r="C59" s="2">
        <v>26957.194444100009</v>
      </c>
      <c r="D59" s="2">
        <v>26978.73444410001</v>
      </c>
      <c r="E59" s="2">
        <v>27000.954444100011</v>
      </c>
      <c r="F59" s="2">
        <v>27020.284444100012</v>
      </c>
      <c r="G59" s="2">
        <v>27040.994444100012</v>
      </c>
      <c r="H59" s="2">
        <v>27044.52444410001</v>
      </c>
      <c r="I59" s="2">
        <v>27059.694444100009</v>
      </c>
      <c r="J59" s="2">
        <v>27079.454444100007</v>
      </c>
      <c r="K59" s="2">
        <v>27099.054444100006</v>
      </c>
      <c r="L59" s="2">
        <v>27120.794444100007</v>
      </c>
      <c r="M59" s="2">
        <v>27133.094444100007</v>
      </c>
      <c r="N59" s="2">
        <v>27150.554444100006</v>
      </c>
      <c r="O59" s="2">
        <v>27171.814444100004</v>
      </c>
      <c r="P59" s="2">
        <v>27192.024444100003</v>
      </c>
      <c r="Q59" s="2">
        <v>27214.374444100002</v>
      </c>
      <c r="R59" s="2">
        <v>27236.264444100001</v>
      </c>
      <c r="S59" s="2">
        <v>27259.484444100002</v>
      </c>
      <c r="T59" s="2">
        <v>27281.324444100002</v>
      </c>
      <c r="U59" s="2">
        <v>27303.054444100002</v>
      </c>
      <c r="V59" s="2">
        <v>27327.054444100002</v>
      </c>
      <c r="W59" s="2">
        <v>27348.804444100002</v>
      </c>
      <c r="X59" s="2">
        <v>27370.604444100001</v>
      </c>
      <c r="Y59" s="2">
        <v>27391.8844441</v>
      </c>
      <c r="Z59" s="2">
        <v>27411.654444100001</v>
      </c>
      <c r="AA59" s="2">
        <v>27429.104444100001</v>
      </c>
      <c r="AB59" s="2">
        <v>27451.1144441</v>
      </c>
      <c r="AC59" s="2">
        <v>27453.374444099998</v>
      </c>
      <c r="AD59" s="2">
        <v>27475.884444099996</v>
      </c>
      <c r="AE59" s="2">
        <v>27497.054444099995</v>
      </c>
      <c r="AF59" s="3"/>
      <c r="AG59" s="51">
        <f t="shared" si="1"/>
        <v>27497.054444099995</v>
      </c>
      <c r="AH59" s="44">
        <v>26911.49</v>
      </c>
    </row>
    <row r="60" spans="1:34" x14ac:dyDescent="0.35">
      <c r="A60" s="33" t="s">
        <v>66</v>
      </c>
      <c r="B60" s="10">
        <v>27514.510000000042</v>
      </c>
      <c r="C60" s="2">
        <v>27535.750000000044</v>
      </c>
      <c r="D60" s="2">
        <v>27557.310000000045</v>
      </c>
      <c r="E60" s="2">
        <v>27579.260000000046</v>
      </c>
      <c r="F60" s="2">
        <v>27593.210000000046</v>
      </c>
      <c r="G60" s="2">
        <v>27613.530000000046</v>
      </c>
      <c r="H60" s="2">
        <v>27634.770000000048</v>
      </c>
      <c r="I60" s="2">
        <v>27655.240000000049</v>
      </c>
      <c r="J60" s="2">
        <v>27666.580000000049</v>
      </c>
      <c r="K60" s="2">
        <v>27685.590000000047</v>
      </c>
      <c r="L60" s="2">
        <v>27687.030000000046</v>
      </c>
      <c r="M60" s="2">
        <v>27699.780000000046</v>
      </c>
      <c r="N60" s="2">
        <v>27714.190000000046</v>
      </c>
      <c r="O60" s="2">
        <v>27735.830000000045</v>
      </c>
      <c r="P60" s="2">
        <v>27756.030000000046</v>
      </c>
      <c r="Q60" s="2">
        <v>27778.380000000045</v>
      </c>
      <c r="R60" s="2">
        <v>27800.330000000045</v>
      </c>
      <c r="S60" s="2">
        <v>27823.580000000045</v>
      </c>
      <c r="T60" s="2">
        <v>27845.420000000046</v>
      </c>
      <c r="U60" s="2">
        <v>27867.150000000045</v>
      </c>
      <c r="V60" s="2">
        <v>27885.650000000045</v>
      </c>
      <c r="W60" s="2">
        <v>27907.420000000046</v>
      </c>
      <c r="X60" s="2">
        <v>27929.220000000045</v>
      </c>
      <c r="Y60" s="2">
        <v>27949.050000000047</v>
      </c>
      <c r="Z60" s="2">
        <v>27968.810000000045</v>
      </c>
      <c r="AA60" s="2">
        <v>27986.960000000046</v>
      </c>
      <c r="AB60" s="2">
        <v>28008.980000000047</v>
      </c>
      <c r="AC60" s="2">
        <v>28008.980000000047</v>
      </c>
      <c r="AD60" s="2">
        <v>28029.260000000046</v>
      </c>
      <c r="AE60" s="2">
        <v>28051.490000000045</v>
      </c>
      <c r="AF60" s="3"/>
      <c r="AG60" s="51">
        <f t="shared" si="1"/>
        <v>28051.490000000045</v>
      </c>
      <c r="AH60" s="44">
        <v>27492.05</v>
      </c>
    </row>
    <row r="61" spans="1:34" x14ac:dyDescent="0.35">
      <c r="A61" s="33" t="s">
        <v>67</v>
      </c>
      <c r="B61" s="10">
        <v>28207.930000000026</v>
      </c>
      <c r="C61" s="2">
        <v>28228.350000000024</v>
      </c>
      <c r="D61" s="2">
        <v>28249.910000000025</v>
      </c>
      <c r="E61" s="2">
        <v>28272.140000000025</v>
      </c>
      <c r="F61" s="2">
        <v>28292.150000000023</v>
      </c>
      <c r="G61" s="2">
        <v>28302.600000000024</v>
      </c>
      <c r="H61" s="2">
        <v>28322.830000000024</v>
      </c>
      <c r="I61" s="2">
        <v>28342.580000000024</v>
      </c>
      <c r="J61" s="2">
        <v>28361.310000000023</v>
      </c>
      <c r="K61" s="2">
        <v>28382.270000000022</v>
      </c>
      <c r="L61" s="2">
        <v>28403.570000000022</v>
      </c>
      <c r="M61" s="2">
        <v>28426.33000000002</v>
      </c>
      <c r="N61" s="2">
        <v>28440.85000000002</v>
      </c>
      <c r="O61" s="2">
        <v>28459.74000000002</v>
      </c>
      <c r="P61" s="2">
        <v>28479.92000000002</v>
      </c>
      <c r="Q61" s="2">
        <v>28502.270000000019</v>
      </c>
      <c r="R61" s="2">
        <v>28524.190000000017</v>
      </c>
      <c r="S61" s="2">
        <v>28535.400000000016</v>
      </c>
      <c r="T61" s="2">
        <v>28557.250000000015</v>
      </c>
      <c r="U61" s="2">
        <v>28578.970000000016</v>
      </c>
      <c r="V61" s="2">
        <v>28602.960000000017</v>
      </c>
      <c r="W61" s="2">
        <v>28620.150000000016</v>
      </c>
      <c r="X61" s="2">
        <v>28641.950000000015</v>
      </c>
      <c r="Y61" s="2">
        <v>28663.240000000016</v>
      </c>
      <c r="Z61" s="2">
        <v>28683.010000000017</v>
      </c>
      <c r="AA61" s="2">
        <v>28700.470000000016</v>
      </c>
      <c r="AB61" s="2">
        <v>28718.670000000016</v>
      </c>
      <c r="AC61" s="2">
        <v>28721.180000000015</v>
      </c>
      <c r="AD61" s="2">
        <v>28730.780000000013</v>
      </c>
      <c r="AE61" s="2">
        <v>28748.110000000015</v>
      </c>
      <c r="AF61" s="3"/>
      <c r="AG61" s="51">
        <f t="shared" si="1"/>
        <v>28748.110000000015</v>
      </c>
      <c r="AH61" s="44">
        <v>28188.37</v>
      </c>
    </row>
    <row r="62" spans="1:34" x14ac:dyDescent="0.35">
      <c r="A62" s="33" t="s">
        <v>68</v>
      </c>
      <c r="B62" s="10">
        <v>28194.970000000023</v>
      </c>
      <c r="C62" s="2">
        <v>28218.180000000022</v>
      </c>
      <c r="D62" s="2">
        <v>28231.150000000023</v>
      </c>
      <c r="E62" s="2">
        <v>28239.200000000023</v>
      </c>
      <c r="F62" s="2">
        <v>28239.200000000023</v>
      </c>
      <c r="G62" s="2">
        <v>28254.350000000024</v>
      </c>
      <c r="H62" s="2">
        <v>28270.440000000024</v>
      </c>
      <c r="I62" s="2">
        <v>28290.580000000024</v>
      </c>
      <c r="J62" s="2">
        <v>28307.460000000025</v>
      </c>
      <c r="K62" s="2">
        <v>28327.970000000023</v>
      </c>
      <c r="L62" s="2">
        <v>28350.010000000024</v>
      </c>
      <c r="M62" s="2">
        <v>28372.620000000024</v>
      </c>
      <c r="N62" s="2">
        <v>28387.170000000024</v>
      </c>
      <c r="O62" s="2">
        <v>28406.590000000022</v>
      </c>
      <c r="P62" s="2">
        <v>28428.940000000021</v>
      </c>
      <c r="Q62" s="2">
        <v>28437.35000000002</v>
      </c>
      <c r="R62" s="2">
        <v>28437.35000000002</v>
      </c>
      <c r="S62" s="2">
        <v>28437.35000000002</v>
      </c>
      <c r="T62" s="2">
        <v>28437.35000000002</v>
      </c>
      <c r="U62" s="2">
        <v>28437.35000000002</v>
      </c>
      <c r="V62" s="2">
        <v>28455.380000000019</v>
      </c>
      <c r="W62" s="2">
        <v>28477.140000000018</v>
      </c>
      <c r="X62" s="2">
        <v>28498.940000000017</v>
      </c>
      <c r="Y62" s="2">
        <v>28520.230000000018</v>
      </c>
      <c r="Z62" s="2">
        <v>28527.350000000017</v>
      </c>
      <c r="AA62" s="2">
        <v>28544.810000000016</v>
      </c>
      <c r="AB62" s="2">
        <v>28566.840000000015</v>
      </c>
      <c r="AC62" s="2">
        <v>28566.840000000015</v>
      </c>
      <c r="AD62" s="2">
        <v>28577.060000000016</v>
      </c>
      <c r="AE62" s="2">
        <v>28598.910000000014</v>
      </c>
      <c r="AF62" s="3"/>
      <c r="AG62" s="51">
        <f t="shared" si="1"/>
        <v>28598.910000000014</v>
      </c>
      <c r="AH62" s="44">
        <v>28171.87</v>
      </c>
    </row>
    <row r="63" spans="1:34" x14ac:dyDescent="0.35">
      <c r="A63" s="33" t="s">
        <v>69</v>
      </c>
      <c r="B63" s="10">
        <v>76987.39999999998</v>
      </c>
      <c r="C63" s="2">
        <v>76987.39999999998</v>
      </c>
      <c r="D63" s="2">
        <v>76987.39999999998</v>
      </c>
      <c r="E63" s="2">
        <v>76987.39999999998</v>
      </c>
      <c r="F63" s="2">
        <v>76987.39999999998</v>
      </c>
      <c r="G63" s="2">
        <v>76987.39999999998</v>
      </c>
      <c r="H63" s="2">
        <v>76987.39999999998</v>
      </c>
      <c r="I63" s="2">
        <v>76987.39999999998</v>
      </c>
      <c r="J63" s="2">
        <v>76987.39999999998</v>
      </c>
      <c r="K63" s="2">
        <v>76987.39999999998</v>
      </c>
      <c r="L63" s="2">
        <v>76987.39999999998</v>
      </c>
      <c r="M63" s="2">
        <v>76987.39999999998</v>
      </c>
      <c r="N63" s="2">
        <v>76987.39999999998</v>
      </c>
      <c r="O63" s="2">
        <v>76987.39999999998</v>
      </c>
      <c r="P63" s="2">
        <v>76987.39999999998</v>
      </c>
      <c r="Q63" s="2">
        <v>76987.39999999998</v>
      </c>
      <c r="R63" s="2">
        <v>76987.39999999998</v>
      </c>
      <c r="S63" s="2">
        <v>76987.39999999998</v>
      </c>
      <c r="T63" s="2">
        <v>76987.39999999998</v>
      </c>
      <c r="U63" s="2">
        <v>76987.39999999998</v>
      </c>
      <c r="V63" s="2">
        <v>76987.39999999998</v>
      </c>
      <c r="W63" s="2">
        <v>76987.39999999998</v>
      </c>
      <c r="X63" s="2">
        <v>76987.39999999998</v>
      </c>
      <c r="Y63" s="2">
        <v>76987.39999999998</v>
      </c>
      <c r="Z63" s="2">
        <v>76987.39999999998</v>
      </c>
      <c r="AA63" s="2">
        <v>76987.39999999998</v>
      </c>
      <c r="AB63" s="2">
        <v>76987.39999999998</v>
      </c>
      <c r="AC63" s="2">
        <v>76987.39999999998</v>
      </c>
      <c r="AD63" s="2">
        <v>76987.39999999998</v>
      </c>
      <c r="AE63" s="2">
        <v>76987.39999999998</v>
      </c>
      <c r="AF63" s="3"/>
      <c r="AG63" s="51">
        <f t="shared" si="1"/>
        <v>76987.39999999998</v>
      </c>
      <c r="AH63" s="44">
        <v>76987.399999999994</v>
      </c>
    </row>
    <row r="64" spans="1:34" x14ac:dyDescent="0.35">
      <c r="A64" s="33" t="s">
        <v>70</v>
      </c>
      <c r="B64" s="10">
        <v>86428.489999999991</v>
      </c>
      <c r="C64" s="2">
        <v>86428.489999999991</v>
      </c>
      <c r="D64" s="2">
        <v>86428.489999999991</v>
      </c>
      <c r="E64" s="2">
        <v>86428.489999999991</v>
      </c>
      <c r="F64" s="2">
        <v>86428.489999999991</v>
      </c>
      <c r="G64" s="2">
        <v>86428.489999999991</v>
      </c>
      <c r="H64" s="2">
        <v>86428.489999999991</v>
      </c>
      <c r="I64" s="2">
        <v>86428.489999999991</v>
      </c>
      <c r="J64" s="2">
        <v>86428.489999999991</v>
      </c>
      <c r="K64" s="2">
        <v>86428.489999999991</v>
      </c>
      <c r="L64" s="2">
        <v>86428.489999999991</v>
      </c>
      <c r="M64" s="2">
        <v>86428.489999999991</v>
      </c>
      <c r="N64" s="2">
        <v>86428.489999999991</v>
      </c>
      <c r="O64" s="2">
        <v>86428.489999999991</v>
      </c>
      <c r="P64" s="2">
        <v>86428.489999999991</v>
      </c>
      <c r="Q64" s="2">
        <v>86428.489999999991</v>
      </c>
      <c r="R64" s="2">
        <v>86428.489999999991</v>
      </c>
      <c r="S64" s="2">
        <v>86428.489999999991</v>
      </c>
      <c r="T64" s="2">
        <v>86428.489999999991</v>
      </c>
      <c r="U64" s="2">
        <v>86428.489999999991</v>
      </c>
      <c r="V64" s="2">
        <v>86428.489999999991</v>
      </c>
      <c r="W64" s="2">
        <v>86428.489999999991</v>
      </c>
      <c r="X64" s="2">
        <v>86428.489999999991</v>
      </c>
      <c r="Y64" s="2">
        <v>86428.489999999991</v>
      </c>
      <c r="Z64" s="2">
        <v>86428.489999999991</v>
      </c>
      <c r="AA64" s="2">
        <v>86428.489999999991</v>
      </c>
      <c r="AB64" s="2">
        <v>86428.489999999991</v>
      </c>
      <c r="AC64" s="2">
        <v>86428.489999999991</v>
      </c>
      <c r="AD64" s="2">
        <v>86428.489999999991</v>
      </c>
      <c r="AE64" s="2">
        <v>86428.489999999991</v>
      </c>
      <c r="AF64" s="3"/>
      <c r="AG64" s="51">
        <f t="shared" si="1"/>
        <v>86428.489999999991</v>
      </c>
      <c r="AH64" s="44">
        <v>86428.49</v>
      </c>
    </row>
    <row r="65" spans="1:34" x14ac:dyDescent="0.35">
      <c r="A65" s="33" t="s">
        <v>71</v>
      </c>
      <c r="B65" s="10">
        <v>83741.340000000011</v>
      </c>
      <c r="C65" s="2">
        <v>83758.190000000017</v>
      </c>
      <c r="D65" s="2">
        <v>83776.590000000011</v>
      </c>
      <c r="E65" s="2">
        <v>83789.610000000015</v>
      </c>
      <c r="F65" s="2">
        <v>83789.610000000015</v>
      </c>
      <c r="G65" s="2">
        <v>83803.900000000009</v>
      </c>
      <c r="H65" s="2">
        <v>83823.920000000013</v>
      </c>
      <c r="I65" s="2">
        <v>83837.510000000009</v>
      </c>
      <c r="J65" s="2">
        <v>83847.900000000009</v>
      </c>
      <c r="K65" s="2">
        <v>83848.290000000008</v>
      </c>
      <c r="L65" s="2">
        <v>83857.670000000013</v>
      </c>
      <c r="M65" s="2">
        <v>83871.560000000012</v>
      </c>
      <c r="N65" s="2">
        <v>83888.590000000011</v>
      </c>
      <c r="O65" s="2">
        <v>83897.720000000016</v>
      </c>
      <c r="P65" s="2">
        <v>83914.550000000017</v>
      </c>
      <c r="Q65" s="2">
        <v>83920.080000000016</v>
      </c>
      <c r="R65" s="2">
        <v>83920.080000000016</v>
      </c>
      <c r="S65" s="2">
        <v>83941.62000000001</v>
      </c>
      <c r="T65" s="2">
        <v>83958.8</v>
      </c>
      <c r="U65" s="2">
        <v>83972.59</v>
      </c>
      <c r="V65" s="2">
        <v>83981.62999999999</v>
      </c>
      <c r="W65" s="2">
        <v>83999.639999999985</v>
      </c>
      <c r="X65" s="2">
        <v>84008.599999999991</v>
      </c>
      <c r="Y65" s="2">
        <v>84028.76</v>
      </c>
      <c r="Z65" s="2">
        <v>84039.47</v>
      </c>
      <c r="AA65" s="2">
        <v>84055.46</v>
      </c>
      <c r="AB65" s="2">
        <v>84055.46</v>
      </c>
      <c r="AC65" s="2">
        <v>84079.07</v>
      </c>
      <c r="AD65" s="2">
        <v>84079.07</v>
      </c>
      <c r="AE65" s="2">
        <v>84089.900000000009</v>
      </c>
      <c r="AF65" s="3"/>
      <c r="AG65" s="51">
        <f t="shared" si="1"/>
        <v>84089.900000000009</v>
      </c>
      <c r="AH65" s="44">
        <v>83729.48</v>
      </c>
    </row>
    <row r="66" spans="1:34" x14ac:dyDescent="0.35">
      <c r="A66" s="33" t="s">
        <v>72</v>
      </c>
      <c r="B66" s="10">
        <v>81832.060000000172</v>
      </c>
      <c r="C66" s="2">
        <v>81840.12000000017</v>
      </c>
      <c r="D66" s="2">
        <v>81855.670000000173</v>
      </c>
      <c r="E66" s="2">
        <v>81875.710000000166</v>
      </c>
      <c r="F66" s="2">
        <v>81890.380000000165</v>
      </c>
      <c r="G66" s="2">
        <v>81890.640000000159</v>
      </c>
      <c r="H66" s="2">
        <v>81890.640000000159</v>
      </c>
      <c r="I66" s="2">
        <v>81899.470000000161</v>
      </c>
      <c r="J66" s="2">
        <v>81921.190000000162</v>
      </c>
      <c r="K66" s="2">
        <v>81931.490000000165</v>
      </c>
      <c r="L66" s="2">
        <v>81945.820000000167</v>
      </c>
      <c r="M66" s="2">
        <v>81962.260000000169</v>
      </c>
      <c r="N66" s="2">
        <v>81977.640000000174</v>
      </c>
      <c r="O66" s="2">
        <v>81988.37000000017</v>
      </c>
      <c r="P66" s="2">
        <v>82007.300000000163</v>
      </c>
      <c r="Q66" s="2">
        <v>82025.710000000166</v>
      </c>
      <c r="R66" s="2">
        <v>82035.020000000164</v>
      </c>
      <c r="S66" s="2">
        <v>82051.630000000165</v>
      </c>
      <c r="T66" s="2">
        <v>82071.570000000167</v>
      </c>
      <c r="U66" s="2">
        <v>82084.400000000169</v>
      </c>
      <c r="V66" s="2">
        <v>82084.480000000171</v>
      </c>
      <c r="W66" s="2">
        <v>82104.190000000177</v>
      </c>
      <c r="X66" s="2">
        <v>82119.900000000183</v>
      </c>
      <c r="Y66" s="2">
        <v>82130.300000000178</v>
      </c>
      <c r="Z66" s="2">
        <v>82141.050000000178</v>
      </c>
      <c r="AA66" s="2">
        <v>82151.210000000181</v>
      </c>
      <c r="AB66" s="2">
        <v>82151.210000000181</v>
      </c>
      <c r="AC66" s="2">
        <v>82151.210000000181</v>
      </c>
      <c r="AD66" s="2">
        <v>82154.020000000179</v>
      </c>
      <c r="AE66" s="2">
        <v>82164.750000000175</v>
      </c>
      <c r="AF66" s="3"/>
      <c r="AG66" s="51">
        <f t="shared" si="1"/>
        <v>82164.750000000175</v>
      </c>
      <c r="AH66" s="44">
        <v>81821.25</v>
      </c>
    </row>
    <row r="67" spans="1:34" x14ac:dyDescent="0.35">
      <c r="A67" s="33" t="s">
        <v>73</v>
      </c>
      <c r="B67" s="10">
        <v>84228.149999999921</v>
      </c>
      <c r="C67" s="2">
        <v>84248.969999999928</v>
      </c>
      <c r="D67" s="2">
        <v>84265.389999999927</v>
      </c>
      <c r="E67" s="2">
        <v>84283.669999999925</v>
      </c>
      <c r="F67" s="2">
        <v>84304.959999999919</v>
      </c>
      <c r="G67" s="2">
        <v>84319.059999999925</v>
      </c>
      <c r="H67" s="2">
        <v>84340.579999999929</v>
      </c>
      <c r="I67" s="2">
        <v>84358.889999999927</v>
      </c>
      <c r="J67" s="2">
        <v>84380.579999999929</v>
      </c>
      <c r="K67" s="2">
        <v>84389.119999999923</v>
      </c>
      <c r="L67" s="2">
        <v>84389.119999999923</v>
      </c>
      <c r="M67" s="2">
        <v>84408.489999999918</v>
      </c>
      <c r="N67" s="2">
        <v>84422.099999999919</v>
      </c>
      <c r="O67" s="2">
        <v>84437.999999999913</v>
      </c>
      <c r="P67" s="2">
        <v>84454.849999999919</v>
      </c>
      <c r="Q67" s="2">
        <v>84454.849999999919</v>
      </c>
      <c r="R67" s="2">
        <v>84454.849999999919</v>
      </c>
      <c r="S67" s="2">
        <v>84454.849999999919</v>
      </c>
      <c r="T67" s="2">
        <v>84454.849999999919</v>
      </c>
      <c r="U67" s="2">
        <v>84454.849999999919</v>
      </c>
      <c r="V67" s="2">
        <v>84474.259999999922</v>
      </c>
      <c r="W67" s="2">
        <v>84494.689999999915</v>
      </c>
      <c r="X67" s="2">
        <v>84515.959999999919</v>
      </c>
      <c r="Y67" s="2">
        <v>84530.259999999922</v>
      </c>
      <c r="Z67" s="2">
        <v>84531.309999999925</v>
      </c>
      <c r="AA67" s="2">
        <v>84531.309999999925</v>
      </c>
      <c r="AB67" s="2">
        <v>84534.419999999925</v>
      </c>
      <c r="AC67" s="2">
        <v>84547.899999999921</v>
      </c>
      <c r="AD67" s="2">
        <v>84563.81999999992</v>
      </c>
      <c r="AE67" s="2">
        <v>84576.749999999913</v>
      </c>
      <c r="AF67" s="3"/>
      <c r="AG67" s="51">
        <f t="shared" si="1"/>
        <v>84576.749999999913</v>
      </c>
      <c r="AH67" s="44">
        <v>84225.03</v>
      </c>
    </row>
    <row r="68" spans="1:34" x14ac:dyDescent="0.35">
      <c r="A68" s="33" t="s">
        <v>74</v>
      </c>
      <c r="B68" s="10">
        <v>82058.749999999825</v>
      </c>
      <c r="C68" s="2">
        <v>82080.429999999818</v>
      </c>
      <c r="D68" s="2">
        <v>82096.319999999818</v>
      </c>
      <c r="E68" s="2">
        <v>82112.119999999821</v>
      </c>
      <c r="F68" s="2">
        <v>82133.25999999982</v>
      </c>
      <c r="G68" s="2">
        <v>82154.319999999818</v>
      </c>
      <c r="H68" s="2">
        <v>82175.989999999816</v>
      </c>
      <c r="I68" s="2">
        <v>82197.449999999822</v>
      </c>
      <c r="J68" s="2">
        <v>82207.699999999822</v>
      </c>
      <c r="K68" s="2">
        <v>82207.699999999822</v>
      </c>
      <c r="L68" s="2">
        <v>82217.619999999821</v>
      </c>
      <c r="M68" s="2">
        <v>82233.099999999817</v>
      </c>
      <c r="N68" s="2">
        <v>82249.059999999823</v>
      </c>
      <c r="O68" s="2">
        <v>82270.319999999818</v>
      </c>
      <c r="P68" s="2">
        <v>82277.779999999824</v>
      </c>
      <c r="Q68" s="2">
        <v>82299.529999999824</v>
      </c>
      <c r="R68" s="2">
        <v>82310.069999999818</v>
      </c>
      <c r="S68" s="2">
        <v>82328.549999999814</v>
      </c>
      <c r="T68" s="2">
        <v>82347.38999999981</v>
      </c>
      <c r="U68" s="2">
        <v>82368.909999999814</v>
      </c>
      <c r="V68" s="2">
        <v>82389.729999999821</v>
      </c>
      <c r="W68" s="2">
        <v>82406.729999999821</v>
      </c>
      <c r="X68" s="2">
        <v>82425.299999999828</v>
      </c>
      <c r="Y68" s="2">
        <v>82439.409999999829</v>
      </c>
      <c r="Z68" s="2">
        <v>82460.389999999825</v>
      </c>
      <c r="AA68" s="2">
        <v>82468.869999999821</v>
      </c>
      <c r="AB68" s="2">
        <v>82478.319999999818</v>
      </c>
      <c r="AC68" s="2">
        <v>82491.359999999811</v>
      </c>
      <c r="AD68" s="2">
        <v>82496.579999999813</v>
      </c>
      <c r="AE68" s="2">
        <v>82508.049999999814</v>
      </c>
      <c r="AF68" s="3"/>
      <c r="AG68" s="51">
        <f t="shared" ref="AG68:AG99" si="2">MAX(B68:AF68)</f>
        <v>82508.049999999814</v>
      </c>
      <c r="AH68" s="44">
        <v>82050.210000000006</v>
      </c>
    </row>
    <row r="69" spans="1:34" x14ac:dyDescent="0.35">
      <c r="A69" s="33" t="s">
        <v>75</v>
      </c>
      <c r="B69" s="10">
        <v>85546.290000000081</v>
      </c>
      <c r="C69" s="2">
        <v>85558.480000000083</v>
      </c>
      <c r="D69" s="2">
        <v>85569.740000000078</v>
      </c>
      <c r="E69" s="2">
        <v>85585.420000000071</v>
      </c>
      <c r="F69" s="2">
        <v>85599.830000000075</v>
      </c>
      <c r="G69" s="2">
        <v>85621.280000000072</v>
      </c>
      <c r="H69" s="2">
        <v>85642.370000000068</v>
      </c>
      <c r="I69" s="2">
        <v>85657.860000000073</v>
      </c>
      <c r="J69" s="2">
        <v>85678.220000000074</v>
      </c>
      <c r="K69" s="2">
        <v>85699.56000000007</v>
      </c>
      <c r="L69" s="2">
        <v>85715.930000000066</v>
      </c>
      <c r="M69" s="2">
        <v>85735.270000000062</v>
      </c>
      <c r="N69" s="2">
        <v>85754.750000000058</v>
      </c>
      <c r="O69" s="2">
        <v>85765.510000000053</v>
      </c>
      <c r="P69" s="2">
        <v>85781.310000000056</v>
      </c>
      <c r="Q69" s="2">
        <v>85800.970000000059</v>
      </c>
      <c r="R69" s="2">
        <v>85807.650000000052</v>
      </c>
      <c r="S69" s="2">
        <v>85824.680000000051</v>
      </c>
      <c r="T69" s="2">
        <v>85830.760000000053</v>
      </c>
      <c r="U69" s="2">
        <v>85830.760000000053</v>
      </c>
      <c r="V69" s="2">
        <v>85841.230000000054</v>
      </c>
      <c r="W69" s="2">
        <v>85862.510000000053</v>
      </c>
      <c r="X69" s="2">
        <v>85884.410000000047</v>
      </c>
      <c r="Y69" s="2">
        <v>85893.250000000044</v>
      </c>
      <c r="Z69" s="2">
        <v>85901.370000000039</v>
      </c>
      <c r="AA69" s="2">
        <v>85913.900000000038</v>
      </c>
      <c r="AB69" s="2">
        <v>85922.420000000042</v>
      </c>
      <c r="AC69" s="2">
        <v>85923.880000000048</v>
      </c>
      <c r="AD69" s="2">
        <v>85933.730000000054</v>
      </c>
      <c r="AE69" s="2">
        <v>85941.660000000047</v>
      </c>
      <c r="AF69" s="3"/>
      <c r="AG69" s="51">
        <f t="shared" si="2"/>
        <v>85941.660000000047</v>
      </c>
      <c r="AH69" s="44">
        <v>85532.86</v>
      </c>
    </row>
    <row r="70" spans="1:34" x14ac:dyDescent="0.35">
      <c r="A70" s="33" t="s">
        <v>76</v>
      </c>
      <c r="B70" s="10">
        <v>84113.620000000083</v>
      </c>
      <c r="C70" s="2">
        <v>84134.300000000076</v>
      </c>
      <c r="D70" s="2">
        <v>84154.890000000072</v>
      </c>
      <c r="E70" s="2">
        <v>84172.900000000067</v>
      </c>
      <c r="F70" s="2">
        <v>84193.540000000066</v>
      </c>
      <c r="G70" s="2">
        <v>84215.220000000059</v>
      </c>
      <c r="H70" s="2">
        <v>84233.510000000053</v>
      </c>
      <c r="I70" s="2">
        <v>84253.790000000052</v>
      </c>
      <c r="J70" s="2">
        <v>84272.110000000059</v>
      </c>
      <c r="K70" s="2">
        <v>84291.160000000062</v>
      </c>
      <c r="L70" s="2">
        <v>84311.370000000068</v>
      </c>
      <c r="M70" s="2">
        <v>84326.900000000067</v>
      </c>
      <c r="N70" s="2">
        <v>84346.960000000065</v>
      </c>
      <c r="O70" s="2">
        <v>84360.180000000066</v>
      </c>
      <c r="P70" s="2">
        <v>84381.460000000065</v>
      </c>
      <c r="Q70" s="2">
        <v>84402.840000000069</v>
      </c>
      <c r="R70" s="2">
        <v>84424.160000000076</v>
      </c>
      <c r="S70" s="2">
        <v>84435.580000000075</v>
      </c>
      <c r="T70" s="2">
        <v>84454.550000000076</v>
      </c>
      <c r="U70" s="2">
        <v>84470.210000000079</v>
      </c>
      <c r="V70" s="2">
        <v>84491.450000000084</v>
      </c>
      <c r="W70" s="2">
        <v>84513.110000000088</v>
      </c>
      <c r="X70" s="2">
        <v>84534.760000000082</v>
      </c>
      <c r="Y70" s="2">
        <v>84555.780000000086</v>
      </c>
      <c r="Z70" s="2">
        <v>84570.880000000092</v>
      </c>
      <c r="AA70" s="2">
        <v>84571.850000000093</v>
      </c>
      <c r="AB70" s="2">
        <v>84583.590000000098</v>
      </c>
      <c r="AC70" s="2">
        <v>84590.690000000104</v>
      </c>
      <c r="AD70" s="2">
        <v>84596.750000000102</v>
      </c>
      <c r="AE70" s="2">
        <v>84604.200000000099</v>
      </c>
      <c r="AF70" s="3"/>
      <c r="AG70" s="51">
        <f t="shared" si="2"/>
        <v>84604.200000000099</v>
      </c>
      <c r="AH70" s="44">
        <v>84097.04</v>
      </c>
    </row>
    <row r="71" spans="1:34" x14ac:dyDescent="0.35">
      <c r="A71" s="33" t="s">
        <v>77</v>
      </c>
      <c r="B71" s="10">
        <v>74042.240000000093</v>
      </c>
      <c r="C71" s="2">
        <v>74063.710000000094</v>
      </c>
      <c r="D71" s="2">
        <v>74082.900000000096</v>
      </c>
      <c r="E71" s="2">
        <v>74089.780000000101</v>
      </c>
      <c r="F71" s="2">
        <v>74089.780000000101</v>
      </c>
      <c r="G71" s="2">
        <v>74089.780000000101</v>
      </c>
      <c r="H71" s="2">
        <v>74089.780000000101</v>
      </c>
      <c r="I71" s="2">
        <v>74089.780000000101</v>
      </c>
      <c r="J71" s="2">
        <v>74089.780000000101</v>
      </c>
      <c r="K71" s="2">
        <v>74089.780000000101</v>
      </c>
      <c r="L71" s="2">
        <v>74089.780000000101</v>
      </c>
      <c r="M71" s="2">
        <v>74095.090000000098</v>
      </c>
      <c r="N71" s="2">
        <v>74095.090000000098</v>
      </c>
      <c r="O71" s="2">
        <v>74095.090000000098</v>
      </c>
      <c r="P71" s="2">
        <v>74096.980000000098</v>
      </c>
      <c r="Q71" s="2">
        <v>74100.800000000105</v>
      </c>
      <c r="R71" s="2">
        <v>74103.370000000112</v>
      </c>
      <c r="S71" s="2">
        <v>74107.500000000116</v>
      </c>
      <c r="T71" s="2">
        <v>74107.500000000116</v>
      </c>
      <c r="U71" s="2">
        <v>74124.04000000011</v>
      </c>
      <c r="V71" s="2">
        <v>74138.970000000103</v>
      </c>
      <c r="W71" s="2">
        <v>74157.380000000107</v>
      </c>
      <c r="X71" s="2">
        <v>74171.220000000103</v>
      </c>
      <c r="Y71" s="2">
        <v>74181.220000000103</v>
      </c>
      <c r="Z71" s="2">
        <v>74200.750000000102</v>
      </c>
      <c r="AA71" s="2">
        <v>74212.900000000096</v>
      </c>
      <c r="AB71" s="2">
        <v>74223.570000000094</v>
      </c>
      <c r="AC71" s="2">
        <v>74224.680000000095</v>
      </c>
      <c r="AD71" s="2">
        <v>74241.220000000088</v>
      </c>
      <c r="AE71" s="2">
        <v>74259.430000000095</v>
      </c>
      <c r="AF71" s="3"/>
      <c r="AG71" s="51">
        <f t="shared" si="2"/>
        <v>74259.430000000095</v>
      </c>
      <c r="AH71" s="44">
        <v>74020.59</v>
      </c>
    </row>
    <row r="72" spans="1:34" x14ac:dyDescent="0.35">
      <c r="A72" s="33" t="s">
        <v>78</v>
      </c>
      <c r="B72" s="10">
        <v>77090.109999999899</v>
      </c>
      <c r="C72" s="2">
        <v>77090.109999999899</v>
      </c>
      <c r="D72" s="2">
        <v>77094.609999999899</v>
      </c>
      <c r="E72" s="2">
        <v>77111.949999999895</v>
      </c>
      <c r="F72" s="2">
        <v>77132.979999999894</v>
      </c>
      <c r="G72" s="2">
        <v>77140.009999999893</v>
      </c>
      <c r="H72" s="2">
        <v>77140.009999999893</v>
      </c>
      <c r="I72" s="2">
        <v>77140.009999999893</v>
      </c>
      <c r="J72" s="2">
        <v>77140.009999999893</v>
      </c>
      <c r="K72" s="2">
        <v>77140.009999999893</v>
      </c>
      <c r="L72" s="2">
        <v>77140.009999999893</v>
      </c>
      <c r="M72" s="2">
        <v>77140.009999999893</v>
      </c>
      <c r="N72" s="2">
        <v>77149.859999999899</v>
      </c>
      <c r="O72" s="2">
        <v>77167.409999999902</v>
      </c>
      <c r="P72" s="2">
        <v>77188.639999999898</v>
      </c>
      <c r="Q72" s="2">
        <v>77206.459999999905</v>
      </c>
      <c r="R72" s="2">
        <v>77216.94999999991</v>
      </c>
      <c r="S72" s="2">
        <v>77229.969999999914</v>
      </c>
      <c r="T72" s="2">
        <v>77229.969999999914</v>
      </c>
      <c r="U72" s="2">
        <v>77229.969999999914</v>
      </c>
      <c r="V72" s="2">
        <v>77230.019999999917</v>
      </c>
      <c r="W72" s="2">
        <v>77230.019999999917</v>
      </c>
      <c r="X72" s="2">
        <v>77230.019999999917</v>
      </c>
      <c r="Y72" s="2">
        <v>77230.019999999917</v>
      </c>
      <c r="Z72" s="2">
        <v>77230.019999999917</v>
      </c>
      <c r="AA72" s="2">
        <v>77230.019999999917</v>
      </c>
      <c r="AB72" s="2">
        <v>77232.259999999922</v>
      </c>
      <c r="AC72" s="2">
        <v>77242.119999999923</v>
      </c>
      <c r="AD72" s="2">
        <v>77253.059999999925</v>
      </c>
      <c r="AE72" s="2">
        <v>77274.199999999924</v>
      </c>
      <c r="AF72" s="3"/>
      <c r="AG72" s="51">
        <f t="shared" si="2"/>
        <v>77274.199999999924</v>
      </c>
      <c r="AH72" s="44">
        <v>77081.47</v>
      </c>
    </row>
    <row r="73" spans="1:34" x14ac:dyDescent="0.35">
      <c r="A73" s="33" t="s">
        <v>79</v>
      </c>
      <c r="B73" s="10">
        <v>79248.769999999873</v>
      </c>
      <c r="C73" s="2">
        <v>79264.009999999878</v>
      </c>
      <c r="D73" s="2">
        <v>79282.769999999873</v>
      </c>
      <c r="E73" s="2">
        <v>79301.209999999875</v>
      </c>
      <c r="F73" s="2">
        <v>79322.259999999878</v>
      </c>
      <c r="G73" s="2">
        <v>79343.719999999885</v>
      </c>
      <c r="H73" s="2">
        <v>79360.469999999885</v>
      </c>
      <c r="I73" s="2">
        <v>79380.769999999888</v>
      </c>
      <c r="J73" s="2">
        <v>79402.289999999892</v>
      </c>
      <c r="K73" s="2">
        <v>79423.669999999896</v>
      </c>
      <c r="L73" s="2">
        <v>79444.949999999895</v>
      </c>
      <c r="M73" s="2">
        <v>79466.1899999999</v>
      </c>
      <c r="N73" s="2">
        <v>79487.559999999896</v>
      </c>
      <c r="O73" s="2">
        <v>79501.169999999896</v>
      </c>
      <c r="P73" s="2">
        <v>79501.169999999896</v>
      </c>
      <c r="Q73" s="2">
        <v>79501.169999999896</v>
      </c>
      <c r="R73" s="2">
        <v>79501.169999999896</v>
      </c>
      <c r="S73" s="2">
        <v>79508.259999999893</v>
      </c>
      <c r="T73" s="2">
        <v>79527.559999999896</v>
      </c>
      <c r="U73" s="2">
        <v>79548.95999999989</v>
      </c>
      <c r="V73" s="2">
        <v>79570.219999999885</v>
      </c>
      <c r="W73" s="2">
        <v>79584.109999999884</v>
      </c>
      <c r="X73" s="2">
        <v>79601.819999999891</v>
      </c>
      <c r="Y73" s="2">
        <v>79623.599999999889</v>
      </c>
      <c r="Z73" s="2">
        <v>79625.159999999887</v>
      </c>
      <c r="AA73" s="2">
        <v>79646.179999999891</v>
      </c>
      <c r="AB73" s="2">
        <v>79665.679999999891</v>
      </c>
      <c r="AC73" s="2">
        <v>79668.299999999886</v>
      </c>
      <c r="AD73" s="2">
        <v>79668.299999999886</v>
      </c>
      <c r="AE73" s="2">
        <v>79673.559999999881</v>
      </c>
      <c r="AF73" s="3"/>
      <c r="AG73" s="51">
        <f t="shared" si="2"/>
        <v>79673.559999999881</v>
      </c>
      <c r="AH73" s="44">
        <v>79240.179999999993</v>
      </c>
    </row>
    <row r="74" spans="1:34" x14ac:dyDescent="0.35">
      <c r="A74" s="33" t="s">
        <v>80</v>
      </c>
      <c r="B74" s="10">
        <v>84461.079999999987</v>
      </c>
      <c r="C74" s="2">
        <v>84480.059999999983</v>
      </c>
      <c r="D74" s="2">
        <v>84489.189999999988</v>
      </c>
      <c r="E74" s="2">
        <v>84498.989999999991</v>
      </c>
      <c r="F74" s="2">
        <v>84505.59</v>
      </c>
      <c r="G74" s="2">
        <v>84506.95</v>
      </c>
      <c r="H74" s="2">
        <v>84506.95</v>
      </c>
      <c r="I74" s="2">
        <v>84506.95</v>
      </c>
      <c r="J74" s="2">
        <v>84519.069999999992</v>
      </c>
      <c r="K74" s="2">
        <v>84540.59</v>
      </c>
      <c r="L74" s="2">
        <v>84549.489999999991</v>
      </c>
      <c r="M74" s="2">
        <v>84552.799999999988</v>
      </c>
      <c r="N74" s="2">
        <v>84570.439999999988</v>
      </c>
      <c r="O74" s="2">
        <v>84586.309999999983</v>
      </c>
      <c r="P74" s="2">
        <v>84608.00999999998</v>
      </c>
      <c r="Q74" s="2">
        <v>84616.609999999986</v>
      </c>
      <c r="R74" s="2">
        <v>84634.839999999982</v>
      </c>
      <c r="S74" s="2">
        <v>84652.169999999984</v>
      </c>
      <c r="T74" s="2">
        <v>84665.76999999999</v>
      </c>
      <c r="U74" s="2">
        <v>84685.109999999986</v>
      </c>
      <c r="V74" s="2">
        <v>84706.779999999984</v>
      </c>
      <c r="W74" s="2">
        <v>84727.959999999977</v>
      </c>
      <c r="X74" s="2">
        <v>84742.979999999981</v>
      </c>
      <c r="Y74" s="2">
        <v>84746.969999999987</v>
      </c>
      <c r="Z74" s="2">
        <v>84760.449999999983</v>
      </c>
      <c r="AA74" s="2">
        <v>84781.369999999981</v>
      </c>
      <c r="AB74" s="2">
        <v>84786.239999999976</v>
      </c>
      <c r="AC74" s="2">
        <v>84789.839999999982</v>
      </c>
      <c r="AD74" s="2">
        <v>84802.869999999981</v>
      </c>
      <c r="AE74" s="2">
        <v>84819.219999999987</v>
      </c>
      <c r="AF74" s="3"/>
      <c r="AG74" s="51">
        <f t="shared" si="2"/>
        <v>84819.219999999987</v>
      </c>
      <c r="AH74" s="44">
        <v>84443.85</v>
      </c>
    </row>
    <row r="75" spans="1:34" x14ac:dyDescent="0.35">
      <c r="A75" s="33" t="s">
        <v>81</v>
      </c>
      <c r="B75" s="10">
        <v>83457.359999999841</v>
      </c>
      <c r="C75" s="2">
        <v>83457.359999999841</v>
      </c>
      <c r="D75" s="2">
        <v>83457.359999999841</v>
      </c>
      <c r="E75" s="2">
        <v>83457.359999999841</v>
      </c>
      <c r="F75" s="2">
        <v>83478.089999999836</v>
      </c>
      <c r="G75" s="2">
        <v>83499.37999999983</v>
      </c>
      <c r="H75" s="2">
        <v>83513.439999999828</v>
      </c>
      <c r="I75" s="2">
        <v>83531.009999999835</v>
      </c>
      <c r="J75" s="2">
        <v>83531.009999999835</v>
      </c>
      <c r="K75" s="2">
        <v>83541.259999999835</v>
      </c>
      <c r="L75" s="2">
        <v>83562.619999999835</v>
      </c>
      <c r="M75" s="2">
        <v>83579.759999999835</v>
      </c>
      <c r="N75" s="2">
        <v>83580.829999999842</v>
      </c>
      <c r="O75" s="2">
        <v>83580.829999999842</v>
      </c>
      <c r="P75" s="2">
        <v>83580.829999999842</v>
      </c>
      <c r="Q75" s="2">
        <v>83580.829999999842</v>
      </c>
      <c r="R75" s="2">
        <v>83596.149999999849</v>
      </c>
      <c r="S75" s="2">
        <v>83611.969999999856</v>
      </c>
      <c r="T75" s="2">
        <v>83633.559999999852</v>
      </c>
      <c r="U75" s="2">
        <v>83649.489999999845</v>
      </c>
      <c r="V75" s="2">
        <v>83663.309999999852</v>
      </c>
      <c r="W75" s="2">
        <v>83682.779999999853</v>
      </c>
      <c r="X75" s="2">
        <v>83704.069999999847</v>
      </c>
      <c r="Y75" s="2">
        <v>83725.289999999848</v>
      </c>
      <c r="Z75" s="2">
        <v>83740.509999999849</v>
      </c>
      <c r="AA75" s="2">
        <v>83755.589999999851</v>
      </c>
      <c r="AB75" s="2">
        <v>83776.629999999845</v>
      </c>
      <c r="AC75" s="2">
        <v>83777.039999999848</v>
      </c>
      <c r="AD75" s="2">
        <v>83790.599999999846</v>
      </c>
      <c r="AE75" s="2">
        <v>83800.22999999985</v>
      </c>
      <c r="AF75" s="3"/>
      <c r="AG75" s="51">
        <f t="shared" si="2"/>
        <v>83800.22999999985</v>
      </c>
      <c r="AH75" s="44">
        <v>83439.210000000006</v>
      </c>
    </row>
    <row r="76" spans="1:34" x14ac:dyDescent="0.35">
      <c r="A76" s="33" t="s">
        <v>82</v>
      </c>
      <c r="B76" s="10">
        <v>83658.900000000183</v>
      </c>
      <c r="C76" s="2">
        <v>83678.85000000018</v>
      </c>
      <c r="D76" s="2">
        <v>83696.170000000187</v>
      </c>
      <c r="E76" s="2">
        <v>83715.490000000194</v>
      </c>
      <c r="F76" s="2">
        <v>83736.580000000191</v>
      </c>
      <c r="G76" s="2">
        <v>83757.340000000186</v>
      </c>
      <c r="H76" s="2">
        <v>83770.86000000019</v>
      </c>
      <c r="I76" s="2">
        <v>83792.370000000185</v>
      </c>
      <c r="J76" s="2">
        <v>83814.060000000187</v>
      </c>
      <c r="K76" s="2">
        <v>83820.450000000186</v>
      </c>
      <c r="L76" s="2">
        <v>83839.280000000188</v>
      </c>
      <c r="M76" s="2">
        <v>83859.920000000187</v>
      </c>
      <c r="N76" s="2">
        <v>83881.990000000194</v>
      </c>
      <c r="O76" s="2">
        <v>83903.400000000198</v>
      </c>
      <c r="P76" s="2">
        <v>83924.900000000198</v>
      </c>
      <c r="Q76" s="2">
        <v>83939.390000000203</v>
      </c>
      <c r="R76" s="2">
        <v>83955.370000000199</v>
      </c>
      <c r="S76" s="2">
        <v>83971.320000000196</v>
      </c>
      <c r="T76" s="2">
        <v>83992.650000000198</v>
      </c>
      <c r="U76" s="2">
        <v>84013.620000000199</v>
      </c>
      <c r="V76" s="2">
        <v>84035.440000000206</v>
      </c>
      <c r="W76" s="2">
        <v>84056.290000000212</v>
      </c>
      <c r="X76" s="2">
        <v>84076.720000000205</v>
      </c>
      <c r="Y76" s="2">
        <v>84087.750000000204</v>
      </c>
      <c r="Z76" s="2">
        <v>84102.310000000201</v>
      </c>
      <c r="AA76" s="2">
        <v>84122.900000000198</v>
      </c>
      <c r="AB76" s="2">
        <v>84144.270000000193</v>
      </c>
      <c r="AC76" s="2">
        <v>84145.920000000187</v>
      </c>
      <c r="AD76" s="2">
        <v>84161.550000000192</v>
      </c>
      <c r="AE76" s="2">
        <v>84182.920000000187</v>
      </c>
      <c r="AF76" s="3"/>
      <c r="AG76" s="51">
        <f t="shared" si="2"/>
        <v>84182.920000000187</v>
      </c>
      <c r="AH76" s="44">
        <v>83637.94</v>
      </c>
    </row>
    <row r="77" spans="1:34" x14ac:dyDescent="0.35">
      <c r="A77" s="33" t="s">
        <v>83</v>
      </c>
      <c r="B77" s="10">
        <v>82788.739999999962</v>
      </c>
      <c r="C77" s="2">
        <v>82788.739999999962</v>
      </c>
      <c r="D77" s="2">
        <v>82788.739999999962</v>
      </c>
      <c r="E77" s="2">
        <v>82788.739999999962</v>
      </c>
      <c r="F77" s="2">
        <v>82788.739999999962</v>
      </c>
      <c r="G77" s="2">
        <v>82794.699999999968</v>
      </c>
      <c r="H77" s="2">
        <v>82810.949999999968</v>
      </c>
      <c r="I77" s="2">
        <v>82818.849999999962</v>
      </c>
      <c r="J77" s="2">
        <v>82836.349999999962</v>
      </c>
      <c r="K77" s="2">
        <v>82857.209999999963</v>
      </c>
      <c r="L77" s="2">
        <v>82865.569999999963</v>
      </c>
      <c r="M77" s="2">
        <v>82878.419999999969</v>
      </c>
      <c r="N77" s="2">
        <v>82899.859999999971</v>
      </c>
      <c r="O77" s="2">
        <v>82921.619999999966</v>
      </c>
      <c r="P77" s="2">
        <v>82923.169999999969</v>
      </c>
      <c r="Q77" s="2">
        <v>82933.979999999967</v>
      </c>
      <c r="R77" s="2">
        <v>82955.319999999963</v>
      </c>
      <c r="S77" s="2">
        <v>82976.759999999966</v>
      </c>
      <c r="T77" s="2">
        <v>82988.65999999996</v>
      </c>
      <c r="U77" s="2">
        <v>83009.859999999957</v>
      </c>
      <c r="V77" s="2">
        <v>83015.779999999955</v>
      </c>
      <c r="W77" s="2">
        <v>83036.669999999955</v>
      </c>
      <c r="X77" s="2">
        <v>83056.319999999949</v>
      </c>
      <c r="Y77" s="2">
        <v>83056.399999999951</v>
      </c>
      <c r="Z77" s="2">
        <v>83066.659999999945</v>
      </c>
      <c r="AA77" s="2">
        <v>83087.599999999948</v>
      </c>
      <c r="AB77" s="2">
        <v>83108.719999999943</v>
      </c>
      <c r="AC77" s="2">
        <v>83108.719999999943</v>
      </c>
      <c r="AD77" s="2">
        <v>83115.399999999936</v>
      </c>
      <c r="AE77" s="2">
        <v>83128.649999999936</v>
      </c>
      <c r="AF77" s="3"/>
      <c r="AG77" s="51">
        <f t="shared" si="2"/>
        <v>83128.649999999936</v>
      </c>
      <c r="AH77" s="44">
        <v>82788.740000000005</v>
      </c>
    </row>
    <row r="78" spans="1:34" x14ac:dyDescent="0.35">
      <c r="A78" s="33" t="s">
        <v>84</v>
      </c>
      <c r="B78" s="10">
        <v>85393.37</v>
      </c>
      <c r="C78" s="2">
        <v>85393.37</v>
      </c>
      <c r="D78" s="2">
        <v>85393.37</v>
      </c>
      <c r="E78" s="2">
        <v>85393.37</v>
      </c>
      <c r="F78" s="2">
        <v>85393.37</v>
      </c>
      <c r="G78" s="2">
        <v>85393.37</v>
      </c>
      <c r="H78" s="2">
        <v>85393.37</v>
      </c>
      <c r="I78" s="2">
        <v>85393.37</v>
      </c>
      <c r="J78" s="2">
        <v>85393.37</v>
      </c>
      <c r="K78" s="2">
        <v>85393.37</v>
      </c>
      <c r="L78" s="2">
        <v>85404.59</v>
      </c>
      <c r="M78" s="2">
        <v>85413.42</v>
      </c>
      <c r="N78" s="2">
        <v>85432.86</v>
      </c>
      <c r="O78" s="2">
        <v>85449.89</v>
      </c>
      <c r="P78" s="2">
        <v>85471.11</v>
      </c>
      <c r="Q78" s="2">
        <v>85492.41</v>
      </c>
      <c r="R78" s="2">
        <v>85511.52</v>
      </c>
      <c r="S78" s="2">
        <v>85531.930000000008</v>
      </c>
      <c r="T78" s="2">
        <v>85552.57</v>
      </c>
      <c r="U78" s="2">
        <v>85574.22</v>
      </c>
      <c r="V78" s="2">
        <v>85595.39</v>
      </c>
      <c r="W78" s="2">
        <v>85612.09</v>
      </c>
      <c r="X78" s="2">
        <v>85617.58</v>
      </c>
      <c r="Y78" s="2">
        <v>85636.87</v>
      </c>
      <c r="Z78" s="2">
        <v>85657.36</v>
      </c>
      <c r="AA78" s="2">
        <v>85669</v>
      </c>
      <c r="AB78" s="2">
        <v>85690.26</v>
      </c>
      <c r="AC78" s="2">
        <v>85694.25</v>
      </c>
      <c r="AD78" s="2">
        <v>85708.65</v>
      </c>
      <c r="AE78" s="2">
        <v>85728.939999999988</v>
      </c>
      <c r="AF78" s="3"/>
      <c r="AG78" s="51">
        <f t="shared" si="2"/>
        <v>85728.939999999988</v>
      </c>
      <c r="AH78" s="44">
        <v>85383.1</v>
      </c>
    </row>
    <row r="79" spans="1:34" x14ac:dyDescent="0.35">
      <c r="A79" s="33" t="s">
        <v>85</v>
      </c>
      <c r="B79" s="10">
        <v>85710.97999999988</v>
      </c>
      <c r="C79" s="2">
        <v>85732.679999999877</v>
      </c>
      <c r="D79" s="2">
        <v>85753.819999999876</v>
      </c>
      <c r="E79" s="2">
        <v>85775.269999999873</v>
      </c>
      <c r="F79" s="2">
        <v>85781.47999999988</v>
      </c>
      <c r="G79" s="2">
        <v>85789.08999999988</v>
      </c>
      <c r="H79" s="2">
        <v>85810.899999999878</v>
      </c>
      <c r="I79" s="2">
        <v>85832.33999999988</v>
      </c>
      <c r="J79" s="2">
        <v>85852.609999999884</v>
      </c>
      <c r="K79" s="2">
        <v>85874.119999999879</v>
      </c>
      <c r="L79" s="2">
        <v>85895.439999999886</v>
      </c>
      <c r="M79" s="2">
        <v>85912.079999999885</v>
      </c>
      <c r="N79" s="2">
        <v>85932.359999999884</v>
      </c>
      <c r="O79" s="2">
        <v>85954.049999999886</v>
      </c>
      <c r="P79" s="2">
        <v>85970.669999999882</v>
      </c>
      <c r="Q79" s="2">
        <v>85992.009999999878</v>
      </c>
      <c r="R79" s="2">
        <v>86013.069999999876</v>
      </c>
      <c r="S79" s="2">
        <v>86034.009999999878</v>
      </c>
      <c r="T79" s="2">
        <v>86055.209999999875</v>
      </c>
      <c r="U79" s="2">
        <v>86060.509999999878</v>
      </c>
      <c r="V79" s="2">
        <v>86060.509999999878</v>
      </c>
      <c r="W79" s="2">
        <v>86079.759999999878</v>
      </c>
      <c r="X79" s="2">
        <v>86100.629999999874</v>
      </c>
      <c r="Y79" s="2">
        <v>86104.58999999988</v>
      </c>
      <c r="Z79" s="2">
        <v>86121.119999999879</v>
      </c>
      <c r="AA79" s="2">
        <v>86136.139999999883</v>
      </c>
      <c r="AB79" s="2">
        <v>86157.609999999884</v>
      </c>
      <c r="AC79" s="2">
        <v>86158.409999999887</v>
      </c>
      <c r="AD79" s="2">
        <v>86178.999999999884</v>
      </c>
      <c r="AE79" s="2">
        <v>86200.279999999882</v>
      </c>
      <c r="AF79" s="3"/>
      <c r="AG79" s="51">
        <f t="shared" si="2"/>
        <v>86200.279999999882</v>
      </c>
      <c r="AH79" s="44">
        <v>85690.37</v>
      </c>
    </row>
    <row r="80" spans="1:34" x14ac:dyDescent="0.35">
      <c r="A80" s="33" t="s">
        <v>86</v>
      </c>
      <c r="B80" s="10">
        <v>83880.369999999893</v>
      </c>
      <c r="C80" s="2">
        <v>83898.769999999888</v>
      </c>
      <c r="D80" s="2">
        <v>83906.889999999883</v>
      </c>
      <c r="E80" s="2">
        <v>83926.889999999883</v>
      </c>
      <c r="F80" s="2">
        <v>83946.669999999882</v>
      </c>
      <c r="G80" s="2">
        <v>83967.939999999886</v>
      </c>
      <c r="H80" s="2">
        <v>83989.179999999891</v>
      </c>
      <c r="I80" s="2">
        <v>84010.639999999898</v>
      </c>
      <c r="J80" s="2">
        <v>84031.9399999999</v>
      </c>
      <c r="K80" s="2">
        <v>84050.839999999895</v>
      </c>
      <c r="L80" s="2">
        <v>84072.249999999898</v>
      </c>
      <c r="M80" s="2">
        <v>84091.389999999898</v>
      </c>
      <c r="N80" s="2">
        <v>84096.539999999892</v>
      </c>
      <c r="O80" s="2">
        <v>84096.539999999892</v>
      </c>
      <c r="P80" s="2">
        <v>84113.199999999895</v>
      </c>
      <c r="Q80" s="2">
        <v>84130.70999999989</v>
      </c>
      <c r="R80" s="2">
        <v>84150.889999999883</v>
      </c>
      <c r="S80" s="2">
        <v>84172.58999999988</v>
      </c>
      <c r="T80" s="2">
        <v>84184.049999999886</v>
      </c>
      <c r="U80" s="2">
        <v>84204.779999999882</v>
      </c>
      <c r="V80" s="2">
        <v>84226.58999999988</v>
      </c>
      <c r="W80" s="2">
        <v>84248.22999999988</v>
      </c>
      <c r="X80" s="2">
        <v>84268.849999999875</v>
      </c>
      <c r="Y80" s="2">
        <v>84290.179999999877</v>
      </c>
      <c r="Z80" s="2">
        <v>84311.319999999876</v>
      </c>
      <c r="AA80" s="2">
        <v>84332.22999999988</v>
      </c>
      <c r="AB80" s="2">
        <v>84353.419999999882</v>
      </c>
      <c r="AC80" s="2">
        <v>84354.269999999888</v>
      </c>
      <c r="AD80" s="2">
        <v>84375.819999999891</v>
      </c>
      <c r="AE80" s="2">
        <v>84390.869999999893</v>
      </c>
      <c r="AF80" s="3"/>
      <c r="AG80" s="51">
        <f t="shared" si="2"/>
        <v>84390.869999999893</v>
      </c>
      <c r="AH80" s="44">
        <v>83859.22</v>
      </c>
    </row>
    <row r="81" spans="1:34" x14ac:dyDescent="0.35">
      <c r="A81" s="33" t="s">
        <v>87</v>
      </c>
      <c r="B81" s="10">
        <v>83598.140000000159</v>
      </c>
      <c r="C81" s="2">
        <v>83619.440000000162</v>
      </c>
      <c r="D81" s="2">
        <v>83639.630000000165</v>
      </c>
      <c r="E81" s="2">
        <v>83659.580000000162</v>
      </c>
      <c r="F81" s="2">
        <v>83680.100000000166</v>
      </c>
      <c r="G81" s="2">
        <v>83700.650000000169</v>
      </c>
      <c r="H81" s="2">
        <v>83721.280000000173</v>
      </c>
      <c r="I81" s="2">
        <v>83739.780000000173</v>
      </c>
      <c r="J81" s="2">
        <v>83761.320000000167</v>
      </c>
      <c r="K81" s="2">
        <v>83783.360000000161</v>
      </c>
      <c r="L81" s="2">
        <v>83786.810000000158</v>
      </c>
      <c r="M81" s="2">
        <v>83792.390000000159</v>
      </c>
      <c r="N81" s="2">
        <v>83804.150000000154</v>
      </c>
      <c r="O81" s="2">
        <v>83824.740000000151</v>
      </c>
      <c r="P81" s="2">
        <v>83846.390000000145</v>
      </c>
      <c r="Q81" s="2">
        <v>83865.280000000144</v>
      </c>
      <c r="R81" s="2">
        <v>83882.580000000147</v>
      </c>
      <c r="S81" s="2">
        <v>83903.640000000145</v>
      </c>
      <c r="T81" s="2">
        <v>83921.920000000144</v>
      </c>
      <c r="U81" s="2">
        <v>83931.350000000137</v>
      </c>
      <c r="V81" s="2">
        <v>83931.950000000143</v>
      </c>
      <c r="W81" s="2">
        <v>83931.950000000143</v>
      </c>
      <c r="X81" s="2">
        <v>83938.800000000148</v>
      </c>
      <c r="Y81" s="2">
        <v>83959.77000000015</v>
      </c>
      <c r="Z81" s="2">
        <v>83979.540000000154</v>
      </c>
      <c r="AA81" s="2">
        <v>83998.930000000153</v>
      </c>
      <c r="AB81" s="2">
        <v>84020.210000000152</v>
      </c>
      <c r="AC81" s="2">
        <v>84031.950000000157</v>
      </c>
      <c r="AD81" s="2">
        <v>84039.910000000164</v>
      </c>
      <c r="AE81" s="2">
        <v>84039.910000000164</v>
      </c>
      <c r="AF81" s="3"/>
      <c r="AG81" s="51">
        <f t="shared" si="2"/>
        <v>84039.910000000164</v>
      </c>
      <c r="AH81" s="44">
        <v>83577.08</v>
      </c>
    </row>
    <row r="82" spans="1:34" x14ac:dyDescent="0.35">
      <c r="A82" s="33" t="s">
        <v>88</v>
      </c>
      <c r="B82" s="10">
        <v>83959.419999999896</v>
      </c>
      <c r="C82" s="2">
        <v>83978.20999999989</v>
      </c>
      <c r="D82" s="2">
        <v>83993.849999999889</v>
      </c>
      <c r="E82" s="2">
        <v>84014.829999999885</v>
      </c>
      <c r="F82" s="2">
        <v>84031.069999999891</v>
      </c>
      <c r="G82" s="2">
        <v>84048.009999999893</v>
      </c>
      <c r="H82" s="2">
        <v>84069.529999999897</v>
      </c>
      <c r="I82" s="2">
        <v>84086.999999999898</v>
      </c>
      <c r="J82" s="2">
        <v>84093.309999999896</v>
      </c>
      <c r="K82" s="2">
        <v>84093.309999999896</v>
      </c>
      <c r="L82" s="2">
        <v>84113.5799999999</v>
      </c>
      <c r="M82" s="2">
        <v>84134.979999999894</v>
      </c>
      <c r="N82" s="2">
        <v>84156.419999999896</v>
      </c>
      <c r="O82" s="2">
        <v>84175.149999999892</v>
      </c>
      <c r="P82" s="2">
        <v>84180.179999999891</v>
      </c>
      <c r="Q82" s="2">
        <v>84182.879999999888</v>
      </c>
      <c r="R82" s="2">
        <v>84196.769999999888</v>
      </c>
      <c r="S82" s="2">
        <v>84215.539999999892</v>
      </c>
      <c r="T82" s="2">
        <v>84231.509999999893</v>
      </c>
      <c r="U82" s="2">
        <v>84252.739999999889</v>
      </c>
      <c r="V82" s="2">
        <v>84267.45999999989</v>
      </c>
      <c r="W82" s="2">
        <v>84286.579999999885</v>
      </c>
      <c r="X82" s="2">
        <v>84289.039999999892</v>
      </c>
      <c r="Y82" s="2">
        <v>84289.039999999892</v>
      </c>
      <c r="Z82" s="2">
        <v>84289.039999999892</v>
      </c>
      <c r="AA82" s="2">
        <v>84289.039999999892</v>
      </c>
      <c r="AB82" s="2">
        <v>84294.809999999896</v>
      </c>
      <c r="AC82" s="2">
        <v>84300.809999999896</v>
      </c>
      <c r="AD82" s="2">
        <v>84319.969999999899</v>
      </c>
      <c r="AE82" s="2">
        <v>84337.219999999899</v>
      </c>
      <c r="AF82" s="3"/>
      <c r="AG82" s="51">
        <f t="shared" si="2"/>
        <v>84337.219999999899</v>
      </c>
      <c r="AH82" s="44">
        <v>83937.919999999998</v>
      </c>
    </row>
    <row r="83" spans="1:34" x14ac:dyDescent="0.35">
      <c r="A83" s="33" t="s">
        <v>89</v>
      </c>
      <c r="B83" s="10">
        <v>83831.329999999682</v>
      </c>
      <c r="C83" s="2">
        <v>83853.729999999676</v>
      </c>
      <c r="D83" s="2">
        <v>83868.199999999677</v>
      </c>
      <c r="E83" s="2">
        <v>83884.579999999682</v>
      </c>
      <c r="F83" s="2">
        <v>83904.779999999679</v>
      </c>
      <c r="G83" s="2">
        <v>83926.079999999682</v>
      </c>
      <c r="H83" s="2">
        <v>83947.029999999679</v>
      </c>
      <c r="I83" s="2">
        <v>83967.74999999968</v>
      </c>
      <c r="J83" s="2">
        <v>83989.459999999686</v>
      </c>
      <c r="K83" s="2">
        <v>83995.009999999689</v>
      </c>
      <c r="L83" s="2">
        <v>84011.539999999688</v>
      </c>
      <c r="M83" s="2">
        <v>84033.029999999693</v>
      </c>
      <c r="N83" s="2">
        <v>84055.449999999691</v>
      </c>
      <c r="O83" s="2">
        <v>84076.969999999696</v>
      </c>
      <c r="P83" s="2">
        <v>84098.139999999694</v>
      </c>
      <c r="Q83" s="2">
        <v>84120.429999999687</v>
      </c>
      <c r="R83" s="2">
        <v>84141.809999999692</v>
      </c>
      <c r="S83" s="2">
        <v>84163.309999999692</v>
      </c>
      <c r="T83" s="2">
        <v>84184.669999999693</v>
      </c>
      <c r="U83" s="2">
        <v>84205.899999999689</v>
      </c>
      <c r="V83" s="2">
        <v>84213.069999999687</v>
      </c>
      <c r="W83" s="2">
        <v>84213.069999999687</v>
      </c>
      <c r="X83" s="2">
        <v>84226.849999999686</v>
      </c>
      <c r="Y83" s="2">
        <v>84242.759999999689</v>
      </c>
      <c r="Z83" s="2">
        <v>84263.829999999696</v>
      </c>
      <c r="AA83" s="2">
        <v>84285.529999999693</v>
      </c>
      <c r="AB83" s="2">
        <v>84306.699999999691</v>
      </c>
      <c r="AC83" s="2">
        <v>84308.059999999692</v>
      </c>
      <c r="AD83" s="2">
        <v>84324.769999999698</v>
      </c>
      <c r="AE83" s="2">
        <v>84346.019999999698</v>
      </c>
      <c r="AF83" s="3"/>
      <c r="AG83" s="51">
        <f t="shared" si="2"/>
        <v>84346.019999999698</v>
      </c>
      <c r="AH83" s="44">
        <v>83809.78</v>
      </c>
    </row>
    <row r="84" spans="1:34" x14ac:dyDescent="0.35">
      <c r="A84" s="33" t="s">
        <v>90</v>
      </c>
      <c r="B84" s="10">
        <v>85287.29</v>
      </c>
      <c r="C84" s="2">
        <v>85287.29</v>
      </c>
      <c r="D84" s="2">
        <v>85287.29</v>
      </c>
      <c r="E84" s="2">
        <v>85287.29</v>
      </c>
      <c r="F84" s="2">
        <v>85287.29</v>
      </c>
      <c r="G84" s="2">
        <v>85287.29</v>
      </c>
      <c r="H84" s="2">
        <v>85287.29</v>
      </c>
      <c r="I84" s="2">
        <v>85287.29</v>
      </c>
      <c r="J84" s="2">
        <v>85287.29</v>
      </c>
      <c r="K84" s="2">
        <v>85287.29</v>
      </c>
      <c r="L84" s="2">
        <v>85287.29</v>
      </c>
      <c r="M84" s="2">
        <v>85287.29</v>
      </c>
      <c r="N84" s="2">
        <v>85287.29</v>
      </c>
      <c r="O84" s="2">
        <v>85287.29</v>
      </c>
      <c r="P84" s="2">
        <v>85287.29</v>
      </c>
      <c r="Q84" s="2">
        <v>85287.29</v>
      </c>
      <c r="R84" s="2">
        <v>85287.29</v>
      </c>
      <c r="S84" s="2">
        <v>85287.29</v>
      </c>
      <c r="T84" s="2">
        <v>85287.29</v>
      </c>
      <c r="U84" s="2">
        <v>85287.29</v>
      </c>
      <c r="V84" s="2">
        <v>85287.29</v>
      </c>
      <c r="W84" s="2">
        <v>85287.29</v>
      </c>
      <c r="X84" s="2">
        <v>85287.29</v>
      </c>
      <c r="Y84" s="2">
        <v>85287.29</v>
      </c>
      <c r="Z84" s="2">
        <v>85287.29</v>
      </c>
      <c r="AA84" s="2">
        <v>85288.01999999999</v>
      </c>
      <c r="AB84" s="2">
        <v>85300.04</v>
      </c>
      <c r="AC84" s="2">
        <v>85304.81</v>
      </c>
      <c r="AD84" s="2">
        <v>85322.52</v>
      </c>
      <c r="AE84" s="2">
        <v>85337.590000000011</v>
      </c>
      <c r="AF84" s="3"/>
      <c r="AG84" s="51">
        <f t="shared" si="2"/>
        <v>85337.590000000011</v>
      </c>
      <c r="AH84" s="44">
        <v>85287.29</v>
      </c>
    </row>
    <row r="85" spans="1:34" x14ac:dyDescent="0.35">
      <c r="A85" s="33" t="s">
        <v>91</v>
      </c>
      <c r="B85" s="10">
        <v>84970.499999999709</v>
      </c>
      <c r="C85" s="2">
        <v>84992.559999999707</v>
      </c>
      <c r="D85" s="2">
        <v>85013.399999999703</v>
      </c>
      <c r="E85" s="2">
        <v>85032.079999999696</v>
      </c>
      <c r="F85" s="2">
        <v>85052.389999999694</v>
      </c>
      <c r="G85" s="2">
        <v>85073.72999999969</v>
      </c>
      <c r="H85" s="2">
        <v>85087.549999999697</v>
      </c>
      <c r="I85" s="2">
        <v>85098.149999999703</v>
      </c>
      <c r="J85" s="2">
        <v>85116.479999999705</v>
      </c>
      <c r="K85" s="2">
        <v>85126.959999999701</v>
      </c>
      <c r="L85" s="2">
        <v>85148.289999999703</v>
      </c>
      <c r="M85" s="2">
        <v>85163.059999999707</v>
      </c>
      <c r="N85" s="2">
        <v>85183.189999999711</v>
      </c>
      <c r="O85" s="2">
        <v>85201.96999999971</v>
      </c>
      <c r="P85" s="2">
        <v>85224.369999999704</v>
      </c>
      <c r="Q85" s="2">
        <v>85243.119999999704</v>
      </c>
      <c r="R85" s="2">
        <v>85264.629999999699</v>
      </c>
      <c r="S85" s="2">
        <v>85286.259999999704</v>
      </c>
      <c r="T85" s="2">
        <v>85303.999999999709</v>
      </c>
      <c r="U85" s="2">
        <v>85323.189999999711</v>
      </c>
      <c r="V85" s="2">
        <v>85340.60999999971</v>
      </c>
      <c r="W85" s="2">
        <v>85357.239999999714</v>
      </c>
      <c r="X85" s="2">
        <v>85378.049999999712</v>
      </c>
      <c r="Y85" s="2">
        <v>85398.029999999708</v>
      </c>
      <c r="Z85" s="2">
        <v>85413.929999999702</v>
      </c>
      <c r="AA85" s="2">
        <v>85433.699999999706</v>
      </c>
      <c r="AB85" s="2">
        <v>85454.889999999708</v>
      </c>
      <c r="AC85" s="2">
        <v>85456.449999999706</v>
      </c>
      <c r="AD85" s="2">
        <v>85474.5999999997</v>
      </c>
      <c r="AE85" s="2">
        <v>85474.5999999997</v>
      </c>
      <c r="AF85" s="3"/>
      <c r="AG85" s="51">
        <f t="shared" si="2"/>
        <v>85474.5999999997</v>
      </c>
      <c r="AH85" s="44">
        <v>84948.91</v>
      </c>
    </row>
    <row r="86" spans="1:34" x14ac:dyDescent="0.35">
      <c r="A86" s="33" t="s">
        <v>92</v>
      </c>
      <c r="B86" s="10">
        <v>85145.520000000135</v>
      </c>
      <c r="C86" s="2">
        <v>85166.310000000129</v>
      </c>
      <c r="D86" s="2">
        <v>85185.940000000133</v>
      </c>
      <c r="E86" s="2">
        <v>85206.120000000126</v>
      </c>
      <c r="F86" s="2">
        <v>85225.430000000124</v>
      </c>
      <c r="G86" s="2">
        <v>85245.91000000012</v>
      </c>
      <c r="H86" s="2">
        <v>85267.300000000119</v>
      </c>
      <c r="I86" s="2">
        <v>85289.080000000118</v>
      </c>
      <c r="J86" s="2">
        <v>85309.620000000112</v>
      </c>
      <c r="K86" s="2">
        <v>85330.620000000112</v>
      </c>
      <c r="L86" s="2">
        <v>85346.820000000109</v>
      </c>
      <c r="M86" s="2">
        <v>85368.850000000108</v>
      </c>
      <c r="N86" s="2">
        <v>85390.250000000102</v>
      </c>
      <c r="O86" s="2">
        <v>85406.790000000095</v>
      </c>
      <c r="P86" s="2">
        <v>85428.370000000097</v>
      </c>
      <c r="Q86" s="2">
        <v>85444.100000000093</v>
      </c>
      <c r="R86" s="2">
        <v>85466.0600000001</v>
      </c>
      <c r="S86" s="2">
        <v>85487.440000000104</v>
      </c>
      <c r="T86" s="2">
        <v>85505.730000000098</v>
      </c>
      <c r="U86" s="2">
        <v>85527.380000000092</v>
      </c>
      <c r="V86" s="2">
        <v>85544.810000000085</v>
      </c>
      <c r="W86" s="2">
        <v>85566.520000000091</v>
      </c>
      <c r="X86" s="2">
        <v>85582.750000000087</v>
      </c>
      <c r="Y86" s="2">
        <v>85603.900000000081</v>
      </c>
      <c r="Z86" s="2">
        <v>85624.580000000075</v>
      </c>
      <c r="AA86" s="2">
        <v>85645.630000000077</v>
      </c>
      <c r="AB86" s="2">
        <v>85663.720000000074</v>
      </c>
      <c r="AC86" s="2">
        <v>85671.630000000077</v>
      </c>
      <c r="AD86" s="2">
        <v>85692.720000000074</v>
      </c>
      <c r="AE86" s="2">
        <v>85713.890000000072</v>
      </c>
      <c r="AF86" s="3"/>
      <c r="AG86" s="51">
        <f t="shared" si="2"/>
        <v>85713.890000000072</v>
      </c>
      <c r="AH86" s="44">
        <v>85124.89</v>
      </c>
    </row>
    <row r="87" spans="1:34" x14ac:dyDescent="0.35">
      <c r="A87" s="33" t="s">
        <v>93</v>
      </c>
      <c r="B87" s="10">
        <v>78884.279999999926</v>
      </c>
      <c r="C87" s="2">
        <v>78905.529999999926</v>
      </c>
      <c r="D87" s="2">
        <v>78923.959999999919</v>
      </c>
      <c r="E87" s="2">
        <v>78945.089999999924</v>
      </c>
      <c r="F87" s="2">
        <v>78967.289999999921</v>
      </c>
      <c r="G87" s="2">
        <v>78989.019999999917</v>
      </c>
      <c r="H87" s="2">
        <v>79010.629999999917</v>
      </c>
      <c r="I87" s="2">
        <v>79032.489999999918</v>
      </c>
      <c r="J87" s="2">
        <v>79052.629999999917</v>
      </c>
      <c r="K87" s="2">
        <v>79057.959999999919</v>
      </c>
      <c r="L87" s="2">
        <v>79068.079999999914</v>
      </c>
      <c r="M87" s="2">
        <v>79089.469999999914</v>
      </c>
      <c r="N87" s="2">
        <v>79110.979999999909</v>
      </c>
      <c r="O87" s="2">
        <v>79132.489999999903</v>
      </c>
      <c r="P87" s="2">
        <v>79154.249999999898</v>
      </c>
      <c r="Q87" s="2">
        <v>79175.469999999899</v>
      </c>
      <c r="R87" s="2">
        <v>79196.489999999903</v>
      </c>
      <c r="S87" s="2">
        <v>79204.05999999991</v>
      </c>
      <c r="T87" s="2">
        <v>79225.649999999907</v>
      </c>
      <c r="U87" s="2">
        <v>79247.289999999906</v>
      </c>
      <c r="V87" s="2">
        <v>79268.8299999999</v>
      </c>
      <c r="W87" s="2">
        <v>79290.549999999901</v>
      </c>
      <c r="X87" s="2">
        <v>79310.869999999908</v>
      </c>
      <c r="Y87" s="2">
        <v>79330.319999999905</v>
      </c>
      <c r="Z87" s="2">
        <v>79351.469999999899</v>
      </c>
      <c r="AA87" s="2">
        <v>79372.809999999896</v>
      </c>
      <c r="AB87" s="2">
        <v>79394.259999999893</v>
      </c>
      <c r="AC87" s="2">
        <v>79395.389999999898</v>
      </c>
      <c r="AD87" s="2">
        <v>79414.259999999893</v>
      </c>
      <c r="AE87" s="2">
        <v>79432.989999999889</v>
      </c>
      <c r="AF87" s="3"/>
      <c r="AG87" s="51">
        <f t="shared" si="2"/>
        <v>79432.989999999889</v>
      </c>
      <c r="AH87" s="44">
        <v>78863.23</v>
      </c>
    </row>
    <row r="88" spans="1:34" x14ac:dyDescent="0.35">
      <c r="A88" s="33" t="s">
        <v>94</v>
      </c>
      <c r="B88" s="10">
        <v>86699.069999999861</v>
      </c>
      <c r="C88" s="2">
        <v>86720.209999999861</v>
      </c>
      <c r="D88" s="2">
        <v>86740.819999999861</v>
      </c>
      <c r="E88" s="2">
        <v>86759.319999999861</v>
      </c>
      <c r="F88" s="2">
        <v>86780.939999999857</v>
      </c>
      <c r="G88" s="2">
        <v>86802.289999999863</v>
      </c>
      <c r="H88" s="2">
        <v>86816.019999999859</v>
      </c>
      <c r="I88" s="2">
        <v>86835.279999999853</v>
      </c>
      <c r="J88" s="2">
        <v>86856.59999999986</v>
      </c>
      <c r="K88" s="2">
        <v>86867.389999999854</v>
      </c>
      <c r="L88" s="2">
        <v>86881.959999999861</v>
      </c>
      <c r="M88" s="2">
        <v>86902.619999999864</v>
      </c>
      <c r="N88" s="2">
        <v>86923.34999999986</v>
      </c>
      <c r="O88" s="2">
        <v>86944.479999999865</v>
      </c>
      <c r="P88" s="2">
        <v>86949.249999999869</v>
      </c>
      <c r="Q88" s="2">
        <v>86955.85999999987</v>
      </c>
      <c r="R88" s="2">
        <v>86966.199999999866</v>
      </c>
      <c r="S88" s="2">
        <v>86979.98999999986</v>
      </c>
      <c r="T88" s="2">
        <v>87001.929999999862</v>
      </c>
      <c r="U88" s="2">
        <v>87023.139999999868</v>
      </c>
      <c r="V88" s="2">
        <v>87044.35999999987</v>
      </c>
      <c r="W88" s="2">
        <v>87065.949999999866</v>
      </c>
      <c r="X88" s="2">
        <v>87086.71999999987</v>
      </c>
      <c r="Y88" s="2">
        <v>87107.279999999868</v>
      </c>
      <c r="Z88" s="2">
        <v>87123.929999999862</v>
      </c>
      <c r="AA88" s="2">
        <v>87144.959999999861</v>
      </c>
      <c r="AB88" s="2">
        <v>87166.389999999854</v>
      </c>
      <c r="AC88" s="2">
        <v>87167.169999999853</v>
      </c>
      <c r="AD88" s="2">
        <v>87182.299999999857</v>
      </c>
      <c r="AE88" s="2">
        <v>87201.299999999857</v>
      </c>
      <c r="AF88" s="3"/>
      <c r="AG88" s="51">
        <f t="shared" si="2"/>
        <v>87201.299999999857</v>
      </c>
      <c r="AH88" s="44">
        <v>86678.03</v>
      </c>
    </row>
    <row r="89" spans="1:34" x14ac:dyDescent="0.35">
      <c r="A89" s="33" t="s">
        <v>95</v>
      </c>
      <c r="B89" s="10">
        <v>82741.809999999692</v>
      </c>
      <c r="C89" s="2">
        <v>82762.749999999694</v>
      </c>
      <c r="D89" s="2">
        <v>82777.199999999691</v>
      </c>
      <c r="E89" s="2">
        <v>82797.639999999694</v>
      </c>
      <c r="F89" s="2">
        <v>82817.8499999997</v>
      </c>
      <c r="G89" s="2">
        <v>82837.959999999701</v>
      </c>
      <c r="H89" s="2">
        <v>82859.629999999699</v>
      </c>
      <c r="I89" s="2">
        <v>82881.139999999694</v>
      </c>
      <c r="J89" s="2">
        <v>82902.299999999697</v>
      </c>
      <c r="K89" s="2">
        <v>82924.539999999703</v>
      </c>
      <c r="L89" s="2">
        <v>82944.839999999705</v>
      </c>
      <c r="M89" s="2">
        <v>82963.229999999705</v>
      </c>
      <c r="N89" s="2">
        <v>82978.759999999704</v>
      </c>
      <c r="O89" s="2">
        <v>82998.549999999697</v>
      </c>
      <c r="P89" s="2">
        <v>83019.829999999696</v>
      </c>
      <c r="Q89" s="2">
        <v>83042.049999999697</v>
      </c>
      <c r="R89" s="2">
        <v>83062.959999999701</v>
      </c>
      <c r="S89" s="2">
        <v>83075.619999999704</v>
      </c>
      <c r="T89" s="2">
        <v>83094.229999999705</v>
      </c>
      <c r="U89" s="2">
        <v>83115.579999999711</v>
      </c>
      <c r="V89" s="2">
        <v>83136.71999999971</v>
      </c>
      <c r="W89" s="2">
        <v>83150.039999999717</v>
      </c>
      <c r="X89" s="2">
        <v>83170.309999999721</v>
      </c>
      <c r="Y89" s="2">
        <v>83191.389999999723</v>
      </c>
      <c r="Z89" s="2">
        <v>83208.599999999729</v>
      </c>
      <c r="AA89" s="2">
        <v>83225.139999999723</v>
      </c>
      <c r="AB89" s="2">
        <v>83246.58999999972</v>
      </c>
      <c r="AC89" s="2">
        <v>83248.189999999726</v>
      </c>
      <c r="AD89" s="2">
        <v>83268.989999999729</v>
      </c>
      <c r="AE89" s="2">
        <v>83282.939999999726</v>
      </c>
      <c r="AF89" s="3"/>
      <c r="AG89" s="51">
        <f t="shared" si="2"/>
        <v>83282.939999999726</v>
      </c>
      <c r="AH89" s="44">
        <v>82721.279999999999</v>
      </c>
    </row>
    <row r="90" spans="1:34" x14ac:dyDescent="0.35">
      <c r="A90" s="33" t="s">
        <v>96</v>
      </c>
      <c r="B90" s="10">
        <v>84232.449999999866</v>
      </c>
      <c r="C90" s="2">
        <v>84246.629999999859</v>
      </c>
      <c r="D90" s="2">
        <v>84265.549999999857</v>
      </c>
      <c r="E90" s="2">
        <v>84281.139999999854</v>
      </c>
      <c r="F90" s="2">
        <v>84298.149999999849</v>
      </c>
      <c r="G90" s="2">
        <v>84312.639999999854</v>
      </c>
      <c r="H90" s="2">
        <v>84326.259999999849</v>
      </c>
      <c r="I90" s="2">
        <v>84343.939999999842</v>
      </c>
      <c r="J90" s="2">
        <v>84358.799999999843</v>
      </c>
      <c r="K90" s="2">
        <v>84379.569999999847</v>
      </c>
      <c r="L90" s="2">
        <v>84399.24999999984</v>
      </c>
      <c r="M90" s="2">
        <v>84420.139999999839</v>
      </c>
      <c r="N90" s="2">
        <v>84440.279999999839</v>
      </c>
      <c r="O90" s="2">
        <v>84455.609999999841</v>
      </c>
      <c r="P90" s="2">
        <v>84462.859999999841</v>
      </c>
      <c r="Q90" s="2">
        <v>84462.859999999841</v>
      </c>
      <c r="R90" s="2">
        <v>84463.279999999839</v>
      </c>
      <c r="S90" s="2">
        <v>84479.559999999838</v>
      </c>
      <c r="T90" s="2">
        <v>84499.309999999838</v>
      </c>
      <c r="U90" s="2">
        <v>84520.899999999834</v>
      </c>
      <c r="V90" s="2">
        <v>84542.079999999827</v>
      </c>
      <c r="W90" s="2">
        <v>84563.149999999834</v>
      </c>
      <c r="X90" s="2">
        <v>84584.539999999834</v>
      </c>
      <c r="Y90" s="2">
        <v>84604.709999999832</v>
      </c>
      <c r="Z90" s="2">
        <v>84620.669999999838</v>
      </c>
      <c r="AA90" s="2">
        <v>84641.599999999831</v>
      </c>
      <c r="AB90" s="2">
        <v>84659.709999999832</v>
      </c>
      <c r="AC90" s="2">
        <v>84660.609999999826</v>
      </c>
      <c r="AD90" s="2">
        <v>84681.949999999822</v>
      </c>
      <c r="AE90" s="2">
        <v>84693.729999999821</v>
      </c>
      <c r="AF90" s="3"/>
      <c r="AG90" s="51">
        <f t="shared" si="2"/>
        <v>84693.729999999821</v>
      </c>
      <c r="AH90" s="44">
        <v>84218.47</v>
      </c>
    </row>
    <row r="91" spans="1:34" x14ac:dyDescent="0.35">
      <c r="A91" s="33" t="s">
        <v>97</v>
      </c>
      <c r="B91" s="10">
        <v>85231.890000000014</v>
      </c>
      <c r="C91" s="2">
        <v>85252.910000000018</v>
      </c>
      <c r="D91" s="2">
        <v>85273.220000000016</v>
      </c>
      <c r="E91" s="2">
        <v>85287.830000000016</v>
      </c>
      <c r="F91" s="2">
        <v>85303.110000000015</v>
      </c>
      <c r="G91" s="2">
        <v>85320.920000000013</v>
      </c>
      <c r="H91" s="2">
        <v>85323.910000000018</v>
      </c>
      <c r="I91" s="2">
        <v>85330.260000000024</v>
      </c>
      <c r="J91" s="2">
        <v>85333.840000000026</v>
      </c>
      <c r="K91" s="2">
        <v>85333.840000000026</v>
      </c>
      <c r="L91" s="2">
        <v>85333.840000000026</v>
      </c>
      <c r="M91" s="2">
        <v>85333.840000000026</v>
      </c>
      <c r="N91" s="2">
        <v>85344.730000000025</v>
      </c>
      <c r="O91" s="2">
        <v>85363.320000000022</v>
      </c>
      <c r="P91" s="2">
        <v>85377.840000000026</v>
      </c>
      <c r="Q91" s="2">
        <v>85398.450000000026</v>
      </c>
      <c r="R91" s="2">
        <v>85415.440000000031</v>
      </c>
      <c r="S91" s="2">
        <v>85428.010000000038</v>
      </c>
      <c r="T91" s="2">
        <v>85449.000000000044</v>
      </c>
      <c r="U91" s="2">
        <v>85467.84000000004</v>
      </c>
      <c r="V91" s="2">
        <v>85489.750000000044</v>
      </c>
      <c r="W91" s="2">
        <v>85510.060000000041</v>
      </c>
      <c r="X91" s="2">
        <v>85524.890000000043</v>
      </c>
      <c r="Y91" s="2">
        <v>85545.800000000047</v>
      </c>
      <c r="Z91" s="2">
        <v>85557.830000000045</v>
      </c>
      <c r="AA91" s="2">
        <v>85565.440000000046</v>
      </c>
      <c r="AB91" s="2">
        <v>85569.310000000041</v>
      </c>
      <c r="AC91" s="2">
        <v>85575.140000000043</v>
      </c>
      <c r="AD91" s="2">
        <v>85596.530000000042</v>
      </c>
      <c r="AE91" s="2">
        <v>85618.000000000044</v>
      </c>
      <c r="AF91" s="3"/>
      <c r="AG91" s="51">
        <f t="shared" si="2"/>
        <v>85618.000000000044</v>
      </c>
      <c r="AH91" s="44">
        <v>85210.96</v>
      </c>
    </row>
    <row r="92" spans="1:34" x14ac:dyDescent="0.35">
      <c r="A92" s="33" t="s">
        <v>98</v>
      </c>
      <c r="B92" s="10">
        <v>84184.61000000003</v>
      </c>
      <c r="C92" s="2">
        <v>84206.040000000023</v>
      </c>
      <c r="D92" s="2">
        <v>84220.190000000017</v>
      </c>
      <c r="E92" s="2">
        <v>84234.780000000013</v>
      </c>
      <c r="F92" s="2">
        <v>84256.260000000009</v>
      </c>
      <c r="G92" s="2">
        <v>84276.82</v>
      </c>
      <c r="H92" s="2">
        <v>84293.35</v>
      </c>
      <c r="I92" s="2">
        <v>84314.69</v>
      </c>
      <c r="J92" s="2">
        <v>84335.94</v>
      </c>
      <c r="K92" s="2">
        <v>84357.69</v>
      </c>
      <c r="L92" s="2">
        <v>84378.28</v>
      </c>
      <c r="M92" s="2">
        <v>84399.75</v>
      </c>
      <c r="N92" s="2">
        <v>84419.73</v>
      </c>
      <c r="O92" s="2">
        <v>84441.01</v>
      </c>
      <c r="P92" s="2">
        <v>84459.47</v>
      </c>
      <c r="Q92" s="2">
        <v>84471.930000000008</v>
      </c>
      <c r="R92" s="2">
        <v>84493.150000000009</v>
      </c>
      <c r="S92" s="2">
        <v>84510.760000000009</v>
      </c>
      <c r="T92" s="2">
        <v>84530.510000000009</v>
      </c>
      <c r="U92" s="2">
        <v>84547.610000000015</v>
      </c>
      <c r="V92" s="2">
        <v>84563.580000000016</v>
      </c>
      <c r="W92" s="2">
        <v>84585.150000000023</v>
      </c>
      <c r="X92" s="2">
        <v>84605.49000000002</v>
      </c>
      <c r="Y92" s="2">
        <v>84626.690000000017</v>
      </c>
      <c r="Z92" s="2">
        <v>84647.320000000022</v>
      </c>
      <c r="AA92" s="2">
        <v>84667.730000000025</v>
      </c>
      <c r="AB92" s="2">
        <v>84688.60000000002</v>
      </c>
      <c r="AC92" s="2">
        <v>84689.99000000002</v>
      </c>
      <c r="AD92" s="2">
        <v>84711.160000000018</v>
      </c>
      <c r="AE92" s="2">
        <v>84733.020000000019</v>
      </c>
      <c r="AF92" s="3"/>
      <c r="AG92" s="51">
        <f t="shared" si="2"/>
        <v>84733.020000000019</v>
      </c>
      <c r="AH92" s="44">
        <v>84165.15</v>
      </c>
    </row>
    <row r="93" spans="1:34" x14ac:dyDescent="0.35">
      <c r="A93" s="33" t="s">
        <v>99</v>
      </c>
      <c r="B93" s="10">
        <v>81463.920000000187</v>
      </c>
      <c r="C93" s="2">
        <v>81463.920000000187</v>
      </c>
      <c r="D93" s="2">
        <v>81474.920000000187</v>
      </c>
      <c r="E93" s="2">
        <v>81491.97000000019</v>
      </c>
      <c r="F93" s="2">
        <v>81502.710000000196</v>
      </c>
      <c r="G93" s="2">
        <v>81502.710000000196</v>
      </c>
      <c r="H93" s="2">
        <v>81509.530000000203</v>
      </c>
      <c r="I93" s="2">
        <v>81528.120000000199</v>
      </c>
      <c r="J93" s="2">
        <v>81532.000000000204</v>
      </c>
      <c r="K93" s="2">
        <v>81553.740000000209</v>
      </c>
      <c r="L93" s="2">
        <v>81573.630000000208</v>
      </c>
      <c r="M93" s="2">
        <v>81594.85000000021</v>
      </c>
      <c r="N93" s="2">
        <v>81616.720000000205</v>
      </c>
      <c r="O93" s="2">
        <v>81637.880000000208</v>
      </c>
      <c r="P93" s="2">
        <v>81658.230000000214</v>
      </c>
      <c r="Q93" s="2">
        <v>81675.530000000217</v>
      </c>
      <c r="R93" s="2">
        <v>81697.490000000224</v>
      </c>
      <c r="S93" s="2">
        <v>81719.230000000229</v>
      </c>
      <c r="T93" s="2">
        <v>81740.690000000235</v>
      </c>
      <c r="U93" s="2">
        <v>81760.640000000232</v>
      </c>
      <c r="V93" s="2">
        <v>81776.070000000225</v>
      </c>
      <c r="W93" s="2">
        <v>81787.190000000221</v>
      </c>
      <c r="X93" s="2">
        <v>81808.410000000222</v>
      </c>
      <c r="Y93" s="2">
        <v>81830.380000000223</v>
      </c>
      <c r="Z93" s="2">
        <v>81843.770000000222</v>
      </c>
      <c r="AA93" s="2">
        <v>81843.770000000222</v>
      </c>
      <c r="AB93" s="2">
        <v>81853.240000000224</v>
      </c>
      <c r="AC93" s="2">
        <v>81854.660000000222</v>
      </c>
      <c r="AD93" s="2">
        <v>81870.950000000215</v>
      </c>
      <c r="AE93" s="2">
        <v>81886.130000000208</v>
      </c>
      <c r="AF93" s="3"/>
      <c r="AG93" s="51">
        <f t="shared" si="2"/>
        <v>81886.130000000208</v>
      </c>
      <c r="AH93" s="44">
        <v>81462.2</v>
      </c>
    </row>
    <row r="94" spans="1:34" x14ac:dyDescent="0.35">
      <c r="A94" s="293" t="s">
        <v>100</v>
      </c>
      <c r="B94" s="10">
        <v>81277.610000000015</v>
      </c>
      <c r="C94" s="2">
        <v>81277.610000000015</v>
      </c>
      <c r="D94" s="2">
        <v>81277.610000000015</v>
      </c>
      <c r="E94" s="2">
        <v>81277.610000000015</v>
      </c>
      <c r="F94" s="2">
        <v>81277.610000000015</v>
      </c>
      <c r="G94" s="2">
        <v>81277.610000000015</v>
      </c>
      <c r="H94" s="2">
        <v>81277.610000000015</v>
      </c>
      <c r="I94" s="2">
        <v>81277.610000000015</v>
      </c>
      <c r="J94" s="2">
        <v>81277.610000000015</v>
      </c>
      <c r="K94" s="2">
        <v>81277.610000000015</v>
      </c>
      <c r="L94" s="2">
        <v>81277.610000000015</v>
      </c>
      <c r="M94" s="2">
        <v>81277.610000000015</v>
      </c>
      <c r="N94" s="2">
        <v>81277.610000000015</v>
      </c>
      <c r="O94" s="2">
        <v>81277.610000000015</v>
      </c>
      <c r="P94" s="2">
        <v>81277.610000000015</v>
      </c>
      <c r="Q94" s="2">
        <v>81277.610000000015</v>
      </c>
      <c r="R94" s="2">
        <v>81277.610000000015</v>
      </c>
      <c r="S94" s="2">
        <v>81277.610000000015</v>
      </c>
      <c r="T94" s="2">
        <v>81277.610000000015</v>
      </c>
      <c r="U94" s="2">
        <v>81277.610000000015</v>
      </c>
      <c r="V94" s="2">
        <v>81277.610000000015</v>
      </c>
      <c r="W94" s="2">
        <v>81277.610000000015</v>
      </c>
      <c r="X94" s="2">
        <v>81277.610000000015</v>
      </c>
      <c r="Y94" s="2">
        <v>81277.610000000015</v>
      </c>
      <c r="Z94" s="2">
        <v>81277.610000000015</v>
      </c>
      <c r="AA94" s="2">
        <v>81277.610000000015</v>
      </c>
      <c r="AB94" s="2">
        <v>81277.610000000015</v>
      </c>
      <c r="AC94" s="2">
        <v>81277.610000000015</v>
      </c>
      <c r="AD94" s="2">
        <v>81277.610000000015</v>
      </c>
      <c r="AE94" s="2">
        <v>81277.610000000015</v>
      </c>
      <c r="AF94" s="3"/>
      <c r="AG94" s="51">
        <f t="shared" si="2"/>
        <v>81277.610000000015</v>
      </c>
      <c r="AH94" s="44">
        <v>81277.61</v>
      </c>
    </row>
    <row r="95" spans="1:34" x14ac:dyDescent="0.35">
      <c r="A95" s="33" t="s">
        <v>101</v>
      </c>
      <c r="B95" s="10">
        <v>82396.239999999932</v>
      </c>
      <c r="C95" s="2">
        <v>82411.509999999937</v>
      </c>
      <c r="D95" s="2">
        <v>82428.029999999941</v>
      </c>
      <c r="E95" s="2">
        <v>82448.829999999944</v>
      </c>
      <c r="F95" s="2">
        <v>82467.159999999945</v>
      </c>
      <c r="G95" s="2">
        <v>82486.149999999951</v>
      </c>
      <c r="H95" s="2">
        <v>82507.679999999949</v>
      </c>
      <c r="I95" s="2">
        <v>82529.209999999948</v>
      </c>
      <c r="J95" s="2">
        <v>82532.859999999942</v>
      </c>
      <c r="K95" s="2">
        <v>82543.619999999937</v>
      </c>
      <c r="L95" s="2">
        <v>82562.199999999939</v>
      </c>
      <c r="M95" s="2">
        <v>82582.909999999945</v>
      </c>
      <c r="N95" s="2">
        <v>82598.389999999941</v>
      </c>
      <c r="O95" s="2">
        <v>82619.869999999937</v>
      </c>
      <c r="P95" s="2">
        <v>82636.139999999941</v>
      </c>
      <c r="Q95" s="2">
        <v>82656.959999999948</v>
      </c>
      <c r="R95" s="2">
        <v>82679.269999999946</v>
      </c>
      <c r="S95" s="2">
        <v>82698.03999999995</v>
      </c>
      <c r="T95" s="2">
        <v>82702.409999999945</v>
      </c>
      <c r="U95" s="2">
        <v>82702.409999999945</v>
      </c>
      <c r="V95" s="2">
        <v>82712.229999999952</v>
      </c>
      <c r="W95" s="2">
        <v>82730.109999999957</v>
      </c>
      <c r="X95" s="2">
        <v>82745.509999999951</v>
      </c>
      <c r="Y95" s="2">
        <v>82760.759999999951</v>
      </c>
      <c r="Z95" s="2">
        <v>82780.799999999945</v>
      </c>
      <c r="AA95" s="2">
        <v>82802.119999999952</v>
      </c>
      <c r="AB95" s="2">
        <v>82823.279999999955</v>
      </c>
      <c r="AC95" s="2">
        <v>82824.969999999958</v>
      </c>
      <c r="AD95" s="2">
        <v>82839.289999999964</v>
      </c>
      <c r="AE95" s="2">
        <v>82852.099999999962</v>
      </c>
      <c r="AF95" s="3"/>
      <c r="AG95" s="51">
        <f t="shared" si="2"/>
        <v>82852.099999999962</v>
      </c>
      <c r="AH95" s="44">
        <v>82379.42</v>
      </c>
    </row>
    <row r="96" spans="1:34" x14ac:dyDescent="0.35">
      <c r="A96" s="33" t="s">
        <v>102</v>
      </c>
      <c r="B96" s="10">
        <v>83799.700000000143</v>
      </c>
      <c r="C96" s="2">
        <v>83815.330000000147</v>
      </c>
      <c r="D96" s="2">
        <v>83818.27000000015</v>
      </c>
      <c r="E96" s="2">
        <v>83838.050000000148</v>
      </c>
      <c r="F96" s="2">
        <v>83855.970000000147</v>
      </c>
      <c r="G96" s="2">
        <v>83875.090000000142</v>
      </c>
      <c r="H96" s="2">
        <v>83888.76000000014</v>
      </c>
      <c r="I96" s="2">
        <v>83909.990000000136</v>
      </c>
      <c r="J96" s="2">
        <v>83929.520000000135</v>
      </c>
      <c r="K96" s="2">
        <v>83929.520000000135</v>
      </c>
      <c r="L96" s="2">
        <v>83931.01000000014</v>
      </c>
      <c r="M96" s="2">
        <v>83949.01000000014</v>
      </c>
      <c r="N96" s="2">
        <v>83970.640000000145</v>
      </c>
      <c r="O96" s="2">
        <v>83981.210000000152</v>
      </c>
      <c r="P96" s="2">
        <v>83981.210000000152</v>
      </c>
      <c r="Q96" s="2">
        <v>83981.370000000155</v>
      </c>
      <c r="R96" s="2">
        <v>84000.900000000154</v>
      </c>
      <c r="S96" s="2">
        <v>84022.50000000016</v>
      </c>
      <c r="T96" s="2">
        <v>84031.570000000167</v>
      </c>
      <c r="U96" s="2">
        <v>84049.00000000016</v>
      </c>
      <c r="V96" s="2">
        <v>84068.760000000155</v>
      </c>
      <c r="W96" s="2">
        <v>84090.450000000157</v>
      </c>
      <c r="X96" s="2">
        <v>84111.960000000152</v>
      </c>
      <c r="Y96" s="2">
        <v>84131.230000000156</v>
      </c>
      <c r="Z96" s="2">
        <v>84131.230000000156</v>
      </c>
      <c r="AA96" s="2">
        <v>84131.230000000156</v>
      </c>
      <c r="AB96" s="2">
        <v>84131.230000000156</v>
      </c>
      <c r="AC96" s="2">
        <v>84133.190000000162</v>
      </c>
      <c r="AD96" s="2">
        <v>84151.490000000165</v>
      </c>
      <c r="AE96" s="2">
        <v>84164.460000000166</v>
      </c>
      <c r="AF96" s="3"/>
      <c r="AG96" s="51">
        <f t="shared" si="2"/>
        <v>84164.460000000166</v>
      </c>
      <c r="AH96" s="44">
        <v>83781.509999999995</v>
      </c>
    </row>
    <row r="97" spans="1:34" x14ac:dyDescent="0.35">
      <c r="A97" s="33" t="s">
        <v>103</v>
      </c>
      <c r="B97" s="10">
        <v>84554.159999999756</v>
      </c>
      <c r="C97" s="2">
        <v>84575.219999999754</v>
      </c>
      <c r="D97" s="2">
        <v>84595.249999999753</v>
      </c>
      <c r="E97" s="2">
        <v>84613.56999999976</v>
      </c>
      <c r="F97" s="2">
        <v>84633.56999999976</v>
      </c>
      <c r="G97" s="2">
        <v>84644.689999999755</v>
      </c>
      <c r="H97" s="2">
        <v>84658.229999999749</v>
      </c>
      <c r="I97" s="2">
        <v>84679.589999999749</v>
      </c>
      <c r="J97" s="2">
        <v>84701.009999999747</v>
      </c>
      <c r="K97" s="2">
        <v>84718.299999999741</v>
      </c>
      <c r="L97" s="2">
        <v>84728.199999999735</v>
      </c>
      <c r="M97" s="2">
        <v>84746.149999999732</v>
      </c>
      <c r="N97" s="2">
        <v>84767.529999999737</v>
      </c>
      <c r="O97" s="2">
        <v>84778.469999999739</v>
      </c>
      <c r="P97" s="2">
        <v>84796.509999999733</v>
      </c>
      <c r="Q97" s="2">
        <v>84818.129999999728</v>
      </c>
      <c r="R97" s="2">
        <v>84835.789999999732</v>
      </c>
      <c r="S97" s="2">
        <v>84841.889999999737</v>
      </c>
      <c r="T97" s="2">
        <v>84860.059999999736</v>
      </c>
      <c r="U97" s="2">
        <v>84878.999999999738</v>
      </c>
      <c r="V97" s="2">
        <v>84899.859999999739</v>
      </c>
      <c r="W97" s="2">
        <v>84904.929999999746</v>
      </c>
      <c r="X97" s="2">
        <v>84904.929999999746</v>
      </c>
      <c r="Y97" s="2">
        <v>84922.349999999744</v>
      </c>
      <c r="Z97" s="2">
        <v>84943.539999999746</v>
      </c>
      <c r="AA97" s="2">
        <v>84958.359999999753</v>
      </c>
      <c r="AB97" s="2">
        <v>84970.909999999756</v>
      </c>
      <c r="AC97" s="2">
        <v>84977.099999999758</v>
      </c>
      <c r="AD97" s="2">
        <v>84984.559999999765</v>
      </c>
      <c r="AE97" s="2">
        <v>84997.389999999767</v>
      </c>
      <c r="AF97" s="3"/>
      <c r="AG97" s="51">
        <f t="shared" si="2"/>
        <v>84997.389999999767</v>
      </c>
      <c r="AH97" s="44">
        <v>84532.78</v>
      </c>
    </row>
    <row r="98" spans="1:34" x14ac:dyDescent="0.35">
      <c r="A98" s="33" t="s">
        <v>104</v>
      </c>
      <c r="B98" s="10">
        <v>82677.370000000257</v>
      </c>
      <c r="C98" s="2">
        <v>82697.520000000251</v>
      </c>
      <c r="D98" s="2">
        <v>82718.630000000252</v>
      </c>
      <c r="E98" s="2">
        <v>82736.840000000258</v>
      </c>
      <c r="F98" s="2">
        <v>82756.220000000263</v>
      </c>
      <c r="G98" s="2">
        <v>82776.220000000263</v>
      </c>
      <c r="H98" s="2">
        <v>82797.880000000267</v>
      </c>
      <c r="I98" s="2">
        <v>82819.350000000268</v>
      </c>
      <c r="J98" s="2">
        <v>82840.990000000267</v>
      </c>
      <c r="K98" s="2">
        <v>82862.030000000261</v>
      </c>
      <c r="L98" s="2">
        <v>82877.300000000265</v>
      </c>
      <c r="M98" s="2">
        <v>82898.600000000268</v>
      </c>
      <c r="N98" s="2">
        <v>82920.050000000265</v>
      </c>
      <c r="O98" s="2">
        <v>82934.780000000261</v>
      </c>
      <c r="P98" s="2">
        <v>82950.150000000256</v>
      </c>
      <c r="Q98" s="2">
        <v>82969.31000000026</v>
      </c>
      <c r="R98" s="2">
        <v>82982.220000000263</v>
      </c>
      <c r="S98" s="2">
        <v>83003.92000000026</v>
      </c>
      <c r="T98" s="2">
        <v>83017.320000000254</v>
      </c>
      <c r="U98" s="2">
        <v>83027.680000000255</v>
      </c>
      <c r="V98" s="2">
        <v>83049.240000000253</v>
      </c>
      <c r="W98" s="2">
        <v>83067.19000000025</v>
      </c>
      <c r="X98" s="2">
        <v>83086.240000000253</v>
      </c>
      <c r="Y98" s="2">
        <v>83098.370000000257</v>
      </c>
      <c r="Z98" s="2">
        <v>83114.92000000026</v>
      </c>
      <c r="AA98" s="2">
        <v>83125.840000000258</v>
      </c>
      <c r="AB98" s="2">
        <v>83144.770000000251</v>
      </c>
      <c r="AC98" s="2">
        <v>83145.80000000025</v>
      </c>
      <c r="AD98" s="2">
        <v>83166.80000000025</v>
      </c>
      <c r="AE98" s="2">
        <v>83188.320000000254</v>
      </c>
      <c r="AF98" s="3"/>
      <c r="AG98" s="51">
        <f t="shared" si="2"/>
        <v>83188.320000000254</v>
      </c>
      <c r="AH98" s="44">
        <v>82656.14</v>
      </c>
    </row>
    <row r="99" spans="1:34" x14ac:dyDescent="0.35">
      <c r="A99" s="33" t="s">
        <v>105</v>
      </c>
      <c r="B99" s="10">
        <v>81973.279999999999</v>
      </c>
      <c r="C99" s="2">
        <v>81973.279999999999</v>
      </c>
      <c r="D99" s="2">
        <v>81973.279999999999</v>
      </c>
      <c r="E99" s="2">
        <v>81973.279999999999</v>
      </c>
      <c r="F99" s="2">
        <v>81973.279999999999</v>
      </c>
      <c r="G99" s="2">
        <v>81973.279999999999</v>
      </c>
      <c r="H99" s="2">
        <v>81973.279999999999</v>
      </c>
      <c r="I99" s="2">
        <v>81973.279999999999</v>
      </c>
      <c r="J99" s="2">
        <v>81973.279999999999</v>
      </c>
      <c r="K99" s="2">
        <v>81973.279999999999</v>
      </c>
      <c r="L99" s="2">
        <v>81973.279999999999</v>
      </c>
      <c r="M99" s="2">
        <v>81973.279999999999</v>
      </c>
      <c r="N99" s="2">
        <v>81973.279999999999</v>
      </c>
      <c r="O99" s="2">
        <v>81973.279999999999</v>
      </c>
      <c r="P99" s="2">
        <v>81973.279999999999</v>
      </c>
      <c r="Q99" s="2">
        <v>81973.279999999999</v>
      </c>
      <c r="R99" s="2">
        <v>81973.279999999999</v>
      </c>
      <c r="S99" s="2">
        <v>81973.279999999999</v>
      </c>
      <c r="T99" s="2">
        <v>81973.279999999999</v>
      </c>
      <c r="U99" s="2">
        <v>81973.279999999999</v>
      </c>
      <c r="V99" s="2">
        <v>81973.279999999999</v>
      </c>
      <c r="W99" s="2">
        <v>81973.279999999999</v>
      </c>
      <c r="X99" s="2">
        <v>81973.279999999999</v>
      </c>
      <c r="Y99" s="2">
        <v>81973.279999999999</v>
      </c>
      <c r="Z99" s="2">
        <v>81973.279999999999</v>
      </c>
      <c r="AA99" s="2">
        <v>81973.279999999999</v>
      </c>
      <c r="AB99" s="2">
        <v>81973.279999999999</v>
      </c>
      <c r="AC99" s="2">
        <v>81973.279999999999</v>
      </c>
      <c r="AD99" s="2">
        <v>81973.279999999999</v>
      </c>
      <c r="AE99" s="2">
        <v>81973.279999999999</v>
      </c>
      <c r="AF99" s="3"/>
      <c r="AG99" s="51">
        <f t="shared" si="2"/>
        <v>81973.279999999999</v>
      </c>
      <c r="AH99" s="44">
        <v>81973.279999999999</v>
      </c>
    </row>
    <row r="100" spans="1:34" x14ac:dyDescent="0.35">
      <c r="A100" s="33" t="s">
        <v>106</v>
      </c>
      <c r="B100" s="10">
        <v>79883.240000000078</v>
      </c>
      <c r="C100" s="2">
        <v>79898.43000000008</v>
      </c>
      <c r="D100" s="2">
        <v>79920.020000000077</v>
      </c>
      <c r="E100" s="2">
        <v>79940.300000000076</v>
      </c>
      <c r="F100" s="2">
        <v>79960.31000000007</v>
      </c>
      <c r="G100" s="2">
        <v>79976.070000000065</v>
      </c>
      <c r="H100" s="2">
        <v>79995.370000000068</v>
      </c>
      <c r="I100" s="2">
        <v>80016.900000000067</v>
      </c>
      <c r="J100" s="2">
        <v>80028.570000000065</v>
      </c>
      <c r="K100" s="2">
        <v>80050.250000000058</v>
      </c>
      <c r="L100" s="2">
        <v>80070.840000000055</v>
      </c>
      <c r="M100" s="2">
        <v>80091.650000000052</v>
      </c>
      <c r="N100" s="2">
        <v>80111.180000000051</v>
      </c>
      <c r="O100" s="2">
        <v>80132.360000000044</v>
      </c>
      <c r="P100" s="2">
        <v>80153.410000000047</v>
      </c>
      <c r="Q100" s="2">
        <v>80174.810000000041</v>
      </c>
      <c r="R100" s="2">
        <v>80194.560000000041</v>
      </c>
      <c r="S100" s="2">
        <v>80203.34000000004</v>
      </c>
      <c r="T100" s="2">
        <v>80203.34000000004</v>
      </c>
      <c r="U100" s="2">
        <v>80203.34000000004</v>
      </c>
      <c r="V100" s="2">
        <v>80212.440000000046</v>
      </c>
      <c r="W100" s="2">
        <v>80225.440000000046</v>
      </c>
      <c r="X100" s="2">
        <v>80246.720000000045</v>
      </c>
      <c r="Y100" s="2">
        <v>80267.73000000004</v>
      </c>
      <c r="Z100" s="2">
        <v>80288.640000000043</v>
      </c>
      <c r="AA100" s="2">
        <v>80309.310000000041</v>
      </c>
      <c r="AB100" s="2">
        <v>80310.570000000036</v>
      </c>
      <c r="AC100" s="2">
        <v>80310.570000000036</v>
      </c>
      <c r="AD100" s="2">
        <v>80310.570000000036</v>
      </c>
      <c r="AE100" s="2">
        <v>80310.570000000036</v>
      </c>
      <c r="AF100" s="3"/>
      <c r="AG100" s="51">
        <f t="shared" ref="AG100:AG106" si="3">MAX(B100:AF100)</f>
        <v>80310.570000000036</v>
      </c>
      <c r="AH100" s="44">
        <v>79861.95</v>
      </c>
    </row>
    <row r="101" spans="1:34" x14ac:dyDescent="0.35">
      <c r="A101" s="33" t="s">
        <v>107</v>
      </c>
      <c r="B101" s="10">
        <v>82536.710000000036</v>
      </c>
      <c r="C101" s="2">
        <v>82558.080000000031</v>
      </c>
      <c r="D101" s="2">
        <v>82574.690000000031</v>
      </c>
      <c r="E101" s="2">
        <v>82591.430000000037</v>
      </c>
      <c r="F101" s="2">
        <v>82600.350000000035</v>
      </c>
      <c r="G101" s="2">
        <v>82622.100000000035</v>
      </c>
      <c r="H101" s="2">
        <v>82636.710000000036</v>
      </c>
      <c r="I101" s="2">
        <v>82644.740000000034</v>
      </c>
      <c r="J101" s="2">
        <v>82664.700000000041</v>
      </c>
      <c r="K101" s="2">
        <v>82672.250000000044</v>
      </c>
      <c r="L101" s="2">
        <v>82690.650000000038</v>
      </c>
      <c r="M101" s="2">
        <v>82711.140000000043</v>
      </c>
      <c r="N101" s="2">
        <v>82730.020000000048</v>
      </c>
      <c r="O101" s="2">
        <v>82751.390000000043</v>
      </c>
      <c r="P101" s="2">
        <v>82753.560000000041</v>
      </c>
      <c r="Q101" s="2">
        <v>82773.48000000004</v>
      </c>
      <c r="R101" s="2">
        <v>82794.900000000038</v>
      </c>
      <c r="S101" s="2">
        <v>82814.900000000038</v>
      </c>
      <c r="T101" s="2">
        <v>82835.920000000042</v>
      </c>
      <c r="U101" s="2">
        <v>82856.760000000038</v>
      </c>
      <c r="V101" s="2">
        <v>82877.84000000004</v>
      </c>
      <c r="W101" s="2">
        <v>82897.48000000004</v>
      </c>
      <c r="X101" s="2">
        <v>82912.240000000034</v>
      </c>
      <c r="Y101" s="2">
        <v>82921.48000000004</v>
      </c>
      <c r="Z101" s="2">
        <v>82938.890000000043</v>
      </c>
      <c r="AA101" s="2">
        <v>82959.48000000004</v>
      </c>
      <c r="AB101" s="2">
        <v>82980.350000000035</v>
      </c>
      <c r="AC101" s="2">
        <v>82986.150000000038</v>
      </c>
      <c r="AD101" s="2">
        <v>82996.650000000038</v>
      </c>
      <c r="AE101" s="2">
        <v>83018.080000000031</v>
      </c>
      <c r="AF101" s="3"/>
      <c r="AG101" s="51">
        <f t="shared" si="3"/>
        <v>83018.080000000031</v>
      </c>
      <c r="AH101" s="44">
        <v>82515.509999999995</v>
      </c>
    </row>
    <row r="102" spans="1:34" x14ac:dyDescent="0.35">
      <c r="A102" s="33" t="s">
        <v>108</v>
      </c>
      <c r="B102" s="10">
        <v>83167.599999999962</v>
      </c>
      <c r="C102" s="2">
        <v>83167.599999999962</v>
      </c>
      <c r="D102" s="2">
        <v>83167.599999999962</v>
      </c>
      <c r="E102" s="2">
        <v>83167.599999999962</v>
      </c>
      <c r="F102" s="2">
        <v>83167.599999999962</v>
      </c>
      <c r="G102" s="2">
        <v>83185.419999999969</v>
      </c>
      <c r="H102" s="2">
        <v>83195.669999999969</v>
      </c>
      <c r="I102" s="2">
        <v>83213.439999999973</v>
      </c>
      <c r="J102" s="2">
        <v>83234.609999999971</v>
      </c>
      <c r="K102" s="2">
        <v>83250.829999999973</v>
      </c>
      <c r="L102" s="2">
        <v>83268.429999999978</v>
      </c>
      <c r="M102" s="2">
        <v>83289.929999999978</v>
      </c>
      <c r="N102" s="2">
        <v>83304.279999999984</v>
      </c>
      <c r="O102" s="2">
        <v>83316.309999999983</v>
      </c>
      <c r="P102" s="2">
        <v>83333.239999999976</v>
      </c>
      <c r="Q102" s="2">
        <v>83353.879999999976</v>
      </c>
      <c r="R102" s="2">
        <v>83374.859999999971</v>
      </c>
      <c r="S102" s="2">
        <v>83396.159999999974</v>
      </c>
      <c r="T102" s="2">
        <v>83416.459999999977</v>
      </c>
      <c r="U102" s="2">
        <v>83438.229999999981</v>
      </c>
      <c r="V102" s="2">
        <v>83453.75999999998</v>
      </c>
      <c r="W102" s="2">
        <v>83475.39999999998</v>
      </c>
      <c r="X102" s="2">
        <v>83495.209999999977</v>
      </c>
      <c r="Y102" s="2">
        <v>83513.709999999977</v>
      </c>
      <c r="Z102" s="2">
        <v>83527.909999999974</v>
      </c>
      <c r="AA102" s="2">
        <v>83548.439999999973</v>
      </c>
      <c r="AB102" s="2">
        <v>83569.63999999997</v>
      </c>
      <c r="AC102" s="2">
        <v>83570.229999999967</v>
      </c>
      <c r="AD102" s="2">
        <v>83591.549999999974</v>
      </c>
      <c r="AE102" s="2">
        <v>83611.739999999976</v>
      </c>
      <c r="AF102" s="3"/>
      <c r="AG102" s="51">
        <f t="shared" si="3"/>
        <v>83611.739999999976</v>
      </c>
      <c r="AH102" s="44">
        <v>83167.539999999994</v>
      </c>
    </row>
    <row r="103" spans="1:34" x14ac:dyDescent="0.35">
      <c r="A103" s="33" t="s">
        <v>109</v>
      </c>
      <c r="B103" s="10">
        <v>82081.210000000123</v>
      </c>
      <c r="C103" s="2">
        <v>82102.550000000119</v>
      </c>
      <c r="D103" s="2">
        <v>82121.900000000125</v>
      </c>
      <c r="E103" s="2">
        <v>82141.360000000132</v>
      </c>
      <c r="F103" s="2">
        <v>82162.630000000136</v>
      </c>
      <c r="G103" s="2">
        <v>82184.320000000138</v>
      </c>
      <c r="H103" s="2">
        <v>82188.100000000137</v>
      </c>
      <c r="I103" s="2">
        <v>82188.100000000137</v>
      </c>
      <c r="J103" s="2">
        <v>82188.100000000137</v>
      </c>
      <c r="K103" s="2">
        <v>82200.590000000142</v>
      </c>
      <c r="L103" s="2">
        <v>82220.980000000141</v>
      </c>
      <c r="M103" s="2">
        <v>82242.520000000135</v>
      </c>
      <c r="N103" s="2">
        <v>82254.860000000132</v>
      </c>
      <c r="O103" s="2">
        <v>82269.28000000013</v>
      </c>
      <c r="P103" s="2">
        <v>82290.010000000126</v>
      </c>
      <c r="Q103" s="2">
        <v>82311.02000000012</v>
      </c>
      <c r="R103" s="2">
        <v>82330.170000000115</v>
      </c>
      <c r="S103" s="2">
        <v>82350.700000000114</v>
      </c>
      <c r="T103" s="2">
        <v>82372.080000000118</v>
      </c>
      <c r="U103" s="2">
        <v>82393.230000000112</v>
      </c>
      <c r="V103" s="2">
        <v>82414.580000000118</v>
      </c>
      <c r="W103" s="2">
        <v>82436.070000000123</v>
      </c>
      <c r="X103" s="2">
        <v>82456.150000000125</v>
      </c>
      <c r="Y103" s="2">
        <v>82477.750000000131</v>
      </c>
      <c r="Z103" s="2">
        <v>82499.000000000131</v>
      </c>
      <c r="AA103" s="2">
        <v>82520.310000000129</v>
      </c>
      <c r="AB103" s="2">
        <v>82530.490000000122</v>
      </c>
      <c r="AC103" s="2">
        <v>82531.610000000117</v>
      </c>
      <c r="AD103" s="2">
        <v>82542.120000000112</v>
      </c>
      <c r="AE103" s="2">
        <v>82563.750000000116</v>
      </c>
      <c r="AF103" s="3"/>
      <c r="AG103" s="51">
        <f t="shared" si="3"/>
        <v>82563.750000000116</v>
      </c>
      <c r="AH103" s="44">
        <v>82059.95</v>
      </c>
    </row>
    <row r="104" spans="1:34" x14ac:dyDescent="0.35">
      <c r="A104" s="33" t="s">
        <v>110</v>
      </c>
      <c r="B104" s="10">
        <v>83421.380000000165</v>
      </c>
      <c r="C104" s="2">
        <v>83441.520000000164</v>
      </c>
      <c r="D104" s="2">
        <v>83462.940000000162</v>
      </c>
      <c r="E104" s="2">
        <v>83482.960000000166</v>
      </c>
      <c r="F104" s="2">
        <v>83502.470000000161</v>
      </c>
      <c r="G104" s="2">
        <v>83517.930000000168</v>
      </c>
      <c r="H104" s="2">
        <v>83534.790000000168</v>
      </c>
      <c r="I104" s="2">
        <v>83534.790000000168</v>
      </c>
      <c r="J104" s="2">
        <v>83543.210000000166</v>
      </c>
      <c r="K104" s="2">
        <v>83551.920000000173</v>
      </c>
      <c r="L104" s="2">
        <v>83563.390000000174</v>
      </c>
      <c r="M104" s="2">
        <v>83581.87000000017</v>
      </c>
      <c r="N104" s="2">
        <v>83601.270000000164</v>
      </c>
      <c r="O104" s="2">
        <v>83601.490000000165</v>
      </c>
      <c r="P104" s="2">
        <v>83605.350000000166</v>
      </c>
      <c r="Q104" s="2">
        <v>83626.530000000159</v>
      </c>
      <c r="R104" s="2">
        <v>83647.840000000157</v>
      </c>
      <c r="S104" s="2">
        <v>83669.670000000158</v>
      </c>
      <c r="T104" s="2">
        <v>83690.670000000158</v>
      </c>
      <c r="U104" s="2">
        <v>83712.980000000156</v>
      </c>
      <c r="V104" s="2">
        <v>83728.450000000157</v>
      </c>
      <c r="W104" s="2">
        <v>83749.340000000157</v>
      </c>
      <c r="X104" s="2">
        <v>83770.900000000154</v>
      </c>
      <c r="Y104" s="2">
        <v>83790.800000000148</v>
      </c>
      <c r="Z104" s="2">
        <v>83810.420000000144</v>
      </c>
      <c r="AA104" s="2">
        <v>83831.500000000146</v>
      </c>
      <c r="AB104" s="2">
        <v>83852.390000000145</v>
      </c>
      <c r="AC104" s="2">
        <v>83853.480000000141</v>
      </c>
      <c r="AD104" s="2">
        <v>83874.890000000145</v>
      </c>
      <c r="AE104" s="2">
        <v>83895.730000000141</v>
      </c>
      <c r="AF104" s="3"/>
      <c r="AG104" s="51">
        <f t="shared" si="3"/>
        <v>83895.730000000141</v>
      </c>
      <c r="AH104" s="44">
        <v>83400.38</v>
      </c>
    </row>
    <row r="105" spans="1:34" x14ac:dyDescent="0.35">
      <c r="A105" s="33" t="s">
        <v>111</v>
      </c>
      <c r="B105" s="10">
        <v>74995.090000000055</v>
      </c>
      <c r="C105" s="2">
        <v>75011.840000000055</v>
      </c>
      <c r="D105" s="2">
        <v>75025.870000000054</v>
      </c>
      <c r="E105" s="2">
        <v>75040.420000000056</v>
      </c>
      <c r="F105" s="2">
        <v>75052.71000000005</v>
      </c>
      <c r="G105" s="2">
        <v>75067.260000000053</v>
      </c>
      <c r="H105" s="2">
        <v>75068.560000000056</v>
      </c>
      <c r="I105" s="2">
        <v>75068.560000000056</v>
      </c>
      <c r="J105" s="2">
        <v>75083.130000000063</v>
      </c>
      <c r="K105" s="2">
        <v>75098.590000000069</v>
      </c>
      <c r="L105" s="2">
        <v>75111.70000000007</v>
      </c>
      <c r="M105" s="2">
        <v>75132.45000000007</v>
      </c>
      <c r="N105" s="2">
        <v>75146.610000000073</v>
      </c>
      <c r="O105" s="2">
        <v>75152.890000000072</v>
      </c>
      <c r="P105" s="2">
        <v>75173.220000000074</v>
      </c>
      <c r="Q105" s="2">
        <v>75193.500000000073</v>
      </c>
      <c r="R105" s="2">
        <v>75209.460000000079</v>
      </c>
      <c r="S105" s="2">
        <v>75229.720000000074</v>
      </c>
      <c r="T105" s="2">
        <v>75251.490000000078</v>
      </c>
      <c r="U105" s="2">
        <v>75268.700000000084</v>
      </c>
      <c r="V105" s="2">
        <v>75272.57000000008</v>
      </c>
      <c r="W105" s="2">
        <v>75275.890000000087</v>
      </c>
      <c r="X105" s="2">
        <v>75293.44000000009</v>
      </c>
      <c r="Y105" s="2">
        <v>75315.350000000093</v>
      </c>
      <c r="Z105" s="2">
        <v>75335.380000000092</v>
      </c>
      <c r="AA105" s="2">
        <v>75351.920000000086</v>
      </c>
      <c r="AB105" s="2">
        <v>75373.000000000087</v>
      </c>
      <c r="AC105" s="2">
        <v>75373.94000000009</v>
      </c>
      <c r="AD105" s="2">
        <v>75394.590000000084</v>
      </c>
      <c r="AE105" s="2">
        <v>75415.250000000087</v>
      </c>
      <c r="AF105" s="3"/>
      <c r="AG105" s="51">
        <f t="shared" si="3"/>
        <v>75415.250000000087</v>
      </c>
      <c r="AH105" s="44">
        <v>74981.259999999995</v>
      </c>
    </row>
    <row r="106" spans="1:34" ht="15" thickBot="1" x14ac:dyDescent="0.4">
      <c r="A106" s="34" t="s">
        <v>112</v>
      </c>
      <c r="B106" s="11">
        <v>82985.76999999996</v>
      </c>
      <c r="C106" s="4">
        <v>83007.029999999955</v>
      </c>
      <c r="D106" s="4">
        <v>83028.549999999959</v>
      </c>
      <c r="E106" s="4">
        <v>83049.329999999958</v>
      </c>
      <c r="F106" s="4">
        <v>83070.919999999955</v>
      </c>
      <c r="G106" s="4">
        <v>83092.28999999995</v>
      </c>
      <c r="H106" s="4">
        <v>83110.809999999954</v>
      </c>
      <c r="I106" s="4">
        <v>83132.26999999996</v>
      </c>
      <c r="J106" s="4">
        <v>83153.929999999964</v>
      </c>
      <c r="K106" s="4">
        <v>83164.77999999997</v>
      </c>
      <c r="L106" s="4">
        <v>83186.569999999963</v>
      </c>
      <c r="M106" s="4">
        <v>83206.039999999964</v>
      </c>
      <c r="N106" s="4">
        <v>83227.619999999966</v>
      </c>
      <c r="O106" s="4">
        <v>83249.329999999973</v>
      </c>
      <c r="P106" s="4">
        <v>83270.739999999976</v>
      </c>
      <c r="Q106" s="4">
        <v>83292.229999999981</v>
      </c>
      <c r="R106" s="4">
        <v>83312.869999999981</v>
      </c>
      <c r="S106" s="4">
        <v>83334.159999999974</v>
      </c>
      <c r="T106" s="4">
        <v>83355.179999999978</v>
      </c>
      <c r="U106" s="4">
        <v>83377.139999999985</v>
      </c>
      <c r="V106" s="4">
        <v>83398.389999999985</v>
      </c>
      <c r="W106" s="4">
        <v>83420.559999999983</v>
      </c>
      <c r="X106" s="4">
        <v>83422.409999999989</v>
      </c>
      <c r="Y106" s="4">
        <v>83426.309999999983</v>
      </c>
      <c r="Z106" s="4">
        <v>83448.209999999977</v>
      </c>
      <c r="AA106" s="4">
        <v>83469.469999999972</v>
      </c>
      <c r="AB106" s="4">
        <v>83487.829999999973</v>
      </c>
      <c r="AC106" s="4">
        <v>83489.64999999998</v>
      </c>
      <c r="AD106" s="4">
        <v>83510.969999999987</v>
      </c>
      <c r="AE106" s="4">
        <v>83532.309999999983</v>
      </c>
      <c r="AF106" s="5"/>
      <c r="AG106" s="52">
        <f t="shared" si="3"/>
        <v>83532.309999999983</v>
      </c>
      <c r="AH106" s="44">
        <v>82964.27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45444</v>
      </c>
      <c r="C108" s="46">
        <v>45445</v>
      </c>
      <c r="D108" s="46">
        <v>45446</v>
      </c>
      <c r="E108" s="46">
        <v>45447</v>
      </c>
      <c r="F108" s="46">
        <v>45448</v>
      </c>
      <c r="G108" s="46">
        <v>45449</v>
      </c>
      <c r="H108" s="46">
        <v>45450</v>
      </c>
      <c r="I108" s="46">
        <v>45451</v>
      </c>
      <c r="J108" s="46">
        <v>45452</v>
      </c>
      <c r="K108" s="46">
        <v>45453</v>
      </c>
      <c r="L108" s="46">
        <v>45454</v>
      </c>
      <c r="M108" s="46">
        <v>45455</v>
      </c>
      <c r="N108" s="46">
        <v>45456</v>
      </c>
      <c r="O108" s="46">
        <v>45457</v>
      </c>
      <c r="P108" s="46">
        <v>45458</v>
      </c>
      <c r="Q108" s="46">
        <v>45459</v>
      </c>
      <c r="R108" s="46">
        <v>45460</v>
      </c>
      <c r="S108" s="46">
        <v>45461</v>
      </c>
      <c r="T108" s="46">
        <v>45462</v>
      </c>
      <c r="U108" s="46">
        <v>45463</v>
      </c>
      <c r="V108" s="46">
        <v>45464</v>
      </c>
      <c r="W108" s="46">
        <v>45465</v>
      </c>
      <c r="X108" s="46">
        <v>45466</v>
      </c>
      <c r="Y108" s="46">
        <v>45467</v>
      </c>
      <c r="Z108" s="46">
        <v>45468</v>
      </c>
      <c r="AA108" s="46">
        <v>45469</v>
      </c>
      <c r="AB108" s="46">
        <v>45470</v>
      </c>
      <c r="AC108" s="46">
        <v>45471</v>
      </c>
      <c r="AD108" s="46">
        <v>45472</v>
      </c>
      <c r="AE108" s="46">
        <v>45473</v>
      </c>
      <c r="AF108" s="49"/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18">
        <v>39376.839999999989</v>
      </c>
      <c r="C109" s="14">
        <v>39384.689999999988</v>
      </c>
      <c r="D109" s="14">
        <v>39405.639999999985</v>
      </c>
      <c r="E109" s="14">
        <v>39426.029999999984</v>
      </c>
      <c r="F109" s="14">
        <v>39441.559999999983</v>
      </c>
      <c r="G109" s="14">
        <v>39444.389999999985</v>
      </c>
      <c r="H109" s="14">
        <v>39450.269999999982</v>
      </c>
      <c r="I109" s="14">
        <v>39470.50999999998</v>
      </c>
      <c r="J109" s="14">
        <v>39492.189999999981</v>
      </c>
      <c r="K109" s="14">
        <v>39512.319999999978</v>
      </c>
      <c r="L109" s="14">
        <v>39525.679999999978</v>
      </c>
      <c r="M109" s="14">
        <v>39541.089999999982</v>
      </c>
      <c r="N109" s="14">
        <v>39556.779999999984</v>
      </c>
      <c r="O109" s="14">
        <v>39577.859999999986</v>
      </c>
      <c r="P109" s="14">
        <v>39594.609999999986</v>
      </c>
      <c r="Q109" s="14">
        <v>39610.129999999983</v>
      </c>
      <c r="R109" s="14">
        <v>39631.089999999982</v>
      </c>
      <c r="S109" s="14">
        <v>39647.989999999983</v>
      </c>
      <c r="T109" s="14">
        <v>39658.699999999983</v>
      </c>
      <c r="U109" s="14">
        <v>39679.589999999982</v>
      </c>
      <c r="V109" s="14">
        <v>39691.339999999982</v>
      </c>
      <c r="W109" s="14">
        <v>39712.819999999985</v>
      </c>
      <c r="X109" s="14">
        <v>39726.209999999985</v>
      </c>
      <c r="Y109" s="14">
        <v>39747.239999999983</v>
      </c>
      <c r="Z109" s="14">
        <v>39766.239999999983</v>
      </c>
      <c r="AA109" s="14">
        <v>39787.069999999985</v>
      </c>
      <c r="AB109" s="14">
        <v>39796.069999999985</v>
      </c>
      <c r="AC109" s="14">
        <v>39799.979999999989</v>
      </c>
      <c r="AD109" s="14">
        <v>39813.259999999987</v>
      </c>
      <c r="AE109" s="14">
        <v>39827.179999999986</v>
      </c>
      <c r="AF109" s="22"/>
      <c r="AG109" s="51">
        <f t="shared" ref="AG109:AG124" si="4">MAX(B109:AF109)</f>
        <v>39827.179999999986</v>
      </c>
      <c r="AH109" s="44">
        <v>39373.07</v>
      </c>
    </row>
    <row r="110" spans="1:34" x14ac:dyDescent="0.35">
      <c r="A110" s="26" t="s">
        <v>114</v>
      </c>
      <c r="B110" s="19">
        <v>39487.900000000089</v>
      </c>
      <c r="C110" s="2">
        <v>39487.900000000089</v>
      </c>
      <c r="D110" s="2">
        <v>39490.30000000009</v>
      </c>
      <c r="E110" s="2">
        <v>39510.210000000094</v>
      </c>
      <c r="F110" s="2">
        <v>39532.010000000097</v>
      </c>
      <c r="G110" s="2">
        <v>39553.380000000099</v>
      </c>
      <c r="H110" s="2">
        <v>39575.0600000001</v>
      </c>
      <c r="I110" s="2">
        <v>39596.530000000101</v>
      </c>
      <c r="J110" s="2">
        <v>39618.0600000001</v>
      </c>
      <c r="K110" s="2">
        <v>39639.710000000101</v>
      </c>
      <c r="L110" s="2">
        <v>39659.830000000104</v>
      </c>
      <c r="M110" s="2">
        <v>39677.160000000105</v>
      </c>
      <c r="N110" s="2">
        <v>39696.120000000104</v>
      </c>
      <c r="O110" s="2">
        <v>39717.570000000102</v>
      </c>
      <c r="P110" s="2">
        <v>39738.8500000001</v>
      </c>
      <c r="Q110" s="2">
        <v>39753.200000000099</v>
      </c>
      <c r="R110" s="2">
        <v>39774.180000000102</v>
      </c>
      <c r="S110" s="2">
        <v>39791.900000000103</v>
      </c>
      <c r="T110" s="2">
        <v>39808.810000000107</v>
      </c>
      <c r="U110" s="2">
        <v>39827.730000000105</v>
      </c>
      <c r="V110" s="2">
        <v>39849.120000000104</v>
      </c>
      <c r="W110" s="2">
        <v>39870.420000000107</v>
      </c>
      <c r="X110" s="2">
        <v>39891.72000000011</v>
      </c>
      <c r="Y110" s="2">
        <v>39913.050000000112</v>
      </c>
      <c r="Z110" s="2">
        <v>39933.060000000114</v>
      </c>
      <c r="AA110" s="2">
        <v>39954.720000000118</v>
      </c>
      <c r="AB110" s="2">
        <v>39976.27000000012</v>
      </c>
      <c r="AC110" s="2">
        <v>39977.290000000117</v>
      </c>
      <c r="AD110" s="2">
        <v>39999.460000000116</v>
      </c>
      <c r="AE110" s="2">
        <v>40020.250000000116</v>
      </c>
      <c r="AF110" s="7"/>
      <c r="AG110" s="51">
        <f t="shared" si="4"/>
        <v>40020.250000000116</v>
      </c>
      <c r="AH110" s="44">
        <v>39487.9</v>
      </c>
    </row>
    <row r="111" spans="1:34" x14ac:dyDescent="0.35">
      <c r="A111" s="26" t="s">
        <v>115</v>
      </c>
      <c r="B111" s="19">
        <v>35073.71</v>
      </c>
      <c r="C111" s="2">
        <v>35094.5</v>
      </c>
      <c r="D111" s="2">
        <v>35115.21</v>
      </c>
      <c r="E111" s="2">
        <v>35125.040000000001</v>
      </c>
      <c r="F111" s="2">
        <v>35139.74</v>
      </c>
      <c r="G111" s="2">
        <v>35157.24</v>
      </c>
      <c r="H111" s="2">
        <v>35179.07</v>
      </c>
      <c r="I111" s="2">
        <v>35201.07</v>
      </c>
      <c r="J111" s="2">
        <v>35212.050000000003</v>
      </c>
      <c r="K111" s="2">
        <v>35223.18</v>
      </c>
      <c r="L111" s="2">
        <v>35241.879999999997</v>
      </c>
      <c r="M111" s="2">
        <v>35245.199999999997</v>
      </c>
      <c r="N111" s="2">
        <v>35259.82</v>
      </c>
      <c r="O111" s="2">
        <v>35279.97</v>
      </c>
      <c r="P111" s="2">
        <v>35301.49</v>
      </c>
      <c r="Q111" s="2">
        <v>35322.42</v>
      </c>
      <c r="R111" s="2">
        <v>35342.25</v>
      </c>
      <c r="S111" s="2">
        <v>35360.46</v>
      </c>
      <c r="T111" s="2">
        <v>35381.799999999996</v>
      </c>
      <c r="U111" s="2">
        <v>35403.53</v>
      </c>
      <c r="V111" s="2">
        <v>35424.99</v>
      </c>
      <c r="W111" s="2">
        <v>35437.21</v>
      </c>
      <c r="X111" s="2">
        <v>35453.96</v>
      </c>
      <c r="Y111" s="2">
        <v>35469.9</v>
      </c>
      <c r="Z111" s="2">
        <v>35484.44</v>
      </c>
      <c r="AA111" s="2">
        <v>35504.270000000004</v>
      </c>
      <c r="AB111" s="2">
        <v>35513.120000000003</v>
      </c>
      <c r="AC111" s="2">
        <v>35513.770000000004</v>
      </c>
      <c r="AD111" s="2">
        <v>35534.920000000006</v>
      </c>
      <c r="AE111" s="2">
        <v>35556.310000000005</v>
      </c>
      <c r="AF111" s="7"/>
      <c r="AG111" s="51">
        <f t="shared" si="4"/>
        <v>35556.310000000005</v>
      </c>
      <c r="AH111" s="44">
        <v>35052.620000000003</v>
      </c>
    </row>
    <row r="112" spans="1:34" x14ac:dyDescent="0.35">
      <c r="A112" s="26" t="s">
        <v>116</v>
      </c>
      <c r="B112" s="19">
        <v>34904.019999999931</v>
      </c>
      <c r="C112" s="2">
        <v>34925.109999999928</v>
      </c>
      <c r="D112" s="2">
        <v>34945.419999999925</v>
      </c>
      <c r="E112" s="2">
        <v>34961.959999999926</v>
      </c>
      <c r="F112" s="2">
        <v>34978.469999999928</v>
      </c>
      <c r="G112" s="2">
        <v>35000.089999999931</v>
      </c>
      <c r="H112" s="2">
        <v>35021.959999999934</v>
      </c>
      <c r="I112" s="2">
        <v>35038.489999999932</v>
      </c>
      <c r="J112" s="2">
        <v>35060.129999999932</v>
      </c>
      <c r="K112" s="2">
        <v>35075.329999999929</v>
      </c>
      <c r="L112" s="2">
        <v>35078.989999999932</v>
      </c>
      <c r="M112" s="2">
        <v>35078.989999999932</v>
      </c>
      <c r="N112" s="2">
        <v>35093.29999999993</v>
      </c>
      <c r="O112" s="2">
        <v>35114.179999999928</v>
      </c>
      <c r="P112" s="2">
        <v>35131.149999999929</v>
      </c>
      <c r="Q112" s="2">
        <v>35151.849999999926</v>
      </c>
      <c r="R112" s="2">
        <v>35171.579999999929</v>
      </c>
      <c r="S112" s="2">
        <v>35175.219999999928</v>
      </c>
      <c r="T112" s="2">
        <v>35175.219999999928</v>
      </c>
      <c r="U112" s="2">
        <v>35175.219999999928</v>
      </c>
      <c r="V112" s="2">
        <v>35180.22999999993</v>
      </c>
      <c r="W112" s="2">
        <v>35191.18999999993</v>
      </c>
      <c r="X112" s="2">
        <v>35199.11999999993</v>
      </c>
      <c r="Y112" s="2">
        <v>35219.54999999993</v>
      </c>
      <c r="Z112" s="2">
        <v>35240.529999999933</v>
      </c>
      <c r="AA112" s="2">
        <v>35261.929999999935</v>
      </c>
      <c r="AB112" s="2">
        <v>35283.429999999935</v>
      </c>
      <c r="AC112" s="2">
        <v>35284.939999999937</v>
      </c>
      <c r="AD112" s="2">
        <v>35306.389999999934</v>
      </c>
      <c r="AE112" s="2">
        <v>35325.689999999937</v>
      </c>
      <c r="AF112" s="7"/>
      <c r="AG112" s="51">
        <f t="shared" si="4"/>
        <v>35325.689999999937</v>
      </c>
      <c r="AH112" s="44">
        <v>34882.54</v>
      </c>
    </row>
    <row r="113" spans="1:34" x14ac:dyDescent="0.35">
      <c r="A113" s="26" t="s">
        <v>117</v>
      </c>
      <c r="B113" s="19">
        <v>33927.76999999999</v>
      </c>
      <c r="C113" s="2">
        <v>33938.44999999999</v>
      </c>
      <c r="D113" s="2">
        <v>33949.939999999988</v>
      </c>
      <c r="E113" s="2">
        <v>33965.719999999987</v>
      </c>
      <c r="F113" s="2">
        <v>33987.479999999989</v>
      </c>
      <c r="G113" s="2">
        <v>34008.409999999989</v>
      </c>
      <c r="H113" s="2">
        <v>34022.399999999987</v>
      </c>
      <c r="I113" s="2">
        <v>34043.929999999986</v>
      </c>
      <c r="J113" s="2">
        <v>34064.939999999988</v>
      </c>
      <c r="K113" s="2">
        <v>34067.089999999989</v>
      </c>
      <c r="L113" s="2">
        <v>34073.739999999991</v>
      </c>
      <c r="M113" s="2">
        <v>34090.339999999989</v>
      </c>
      <c r="N113" s="2">
        <v>34110.739999999991</v>
      </c>
      <c r="O113" s="2">
        <v>34129.119999999988</v>
      </c>
      <c r="P113" s="2">
        <v>34150.55999999999</v>
      </c>
      <c r="Q113" s="2">
        <v>34166.389999999992</v>
      </c>
      <c r="R113" s="2">
        <v>34187.489999999991</v>
      </c>
      <c r="S113" s="2">
        <v>34208.849999999991</v>
      </c>
      <c r="T113" s="2">
        <v>34230.009999999995</v>
      </c>
      <c r="U113" s="2">
        <v>34249.249999999993</v>
      </c>
      <c r="V113" s="2">
        <v>34249.249999999993</v>
      </c>
      <c r="W113" s="2">
        <v>34253.849999999991</v>
      </c>
      <c r="X113" s="2">
        <v>34274.959999999992</v>
      </c>
      <c r="Y113" s="2">
        <v>34294.219999999994</v>
      </c>
      <c r="Z113" s="2">
        <v>34308.209999999992</v>
      </c>
      <c r="AA113" s="2">
        <v>34329.749999999993</v>
      </c>
      <c r="AB113" s="2">
        <v>34351.149999999994</v>
      </c>
      <c r="AC113" s="2">
        <v>34352.079999999994</v>
      </c>
      <c r="AD113" s="2">
        <v>34373.579999999994</v>
      </c>
      <c r="AE113" s="2">
        <v>34388.369999999995</v>
      </c>
      <c r="AF113" s="7"/>
      <c r="AG113" s="51">
        <f t="shared" si="4"/>
        <v>34388.369999999995</v>
      </c>
      <c r="AH113" s="44">
        <v>33918.58</v>
      </c>
    </row>
    <row r="114" spans="1:34" x14ac:dyDescent="0.35">
      <c r="A114" s="26" t="s">
        <v>118</v>
      </c>
      <c r="B114" s="19">
        <v>25560.67000000002</v>
      </c>
      <c r="C114" s="2">
        <v>25579.85000000002</v>
      </c>
      <c r="D114" s="2">
        <v>25592.550000000021</v>
      </c>
      <c r="E114" s="2">
        <v>25613.040000000023</v>
      </c>
      <c r="F114" s="2">
        <v>25634.420000000024</v>
      </c>
      <c r="G114" s="2">
        <v>25655.960000000025</v>
      </c>
      <c r="H114" s="2">
        <v>25676.830000000024</v>
      </c>
      <c r="I114" s="2">
        <v>25691.370000000024</v>
      </c>
      <c r="J114" s="2">
        <v>25705.290000000023</v>
      </c>
      <c r="K114" s="2">
        <v>25726.900000000023</v>
      </c>
      <c r="L114" s="2">
        <v>25747.110000000022</v>
      </c>
      <c r="M114" s="2">
        <v>25768.480000000021</v>
      </c>
      <c r="N114" s="2">
        <v>25783.860000000022</v>
      </c>
      <c r="O114" s="2">
        <v>25804.680000000022</v>
      </c>
      <c r="P114" s="2">
        <v>25825.780000000021</v>
      </c>
      <c r="Q114" s="2">
        <v>25847.220000000019</v>
      </c>
      <c r="R114" s="2">
        <v>25868.15000000002</v>
      </c>
      <c r="S114" s="2">
        <v>25889.700000000019</v>
      </c>
      <c r="T114" s="2">
        <v>25904.210000000017</v>
      </c>
      <c r="U114" s="2">
        <v>25911.850000000017</v>
      </c>
      <c r="V114" s="2">
        <v>25925.780000000017</v>
      </c>
      <c r="W114" s="2">
        <v>25946.870000000017</v>
      </c>
      <c r="X114" s="2">
        <v>25968.030000000017</v>
      </c>
      <c r="Y114" s="2">
        <v>25988.080000000016</v>
      </c>
      <c r="Z114" s="2">
        <v>25999.440000000017</v>
      </c>
      <c r="AA114" s="2">
        <v>26020.580000000016</v>
      </c>
      <c r="AB114" s="2">
        <v>26035.770000000015</v>
      </c>
      <c r="AC114" s="2">
        <v>26042.260000000017</v>
      </c>
      <c r="AD114" s="2">
        <v>26062.310000000016</v>
      </c>
      <c r="AE114" s="2">
        <v>26075.390000000018</v>
      </c>
      <c r="AF114" s="7"/>
      <c r="AG114" s="51">
        <f t="shared" si="4"/>
        <v>26075.390000000018</v>
      </c>
      <c r="AH114" s="44">
        <v>25540.43</v>
      </c>
    </row>
    <row r="115" spans="1:34" x14ac:dyDescent="0.35">
      <c r="A115" s="26" t="s">
        <v>119</v>
      </c>
      <c r="B115" s="19">
        <v>24332.579999999998</v>
      </c>
      <c r="C115" s="2">
        <v>24347.26</v>
      </c>
      <c r="D115" s="2">
        <v>24368.42</v>
      </c>
      <c r="E115" s="2">
        <v>24388.48</v>
      </c>
      <c r="F115" s="2">
        <v>24410.05</v>
      </c>
      <c r="G115" s="2">
        <v>24431.040000000001</v>
      </c>
      <c r="H115" s="2">
        <v>24448.240000000002</v>
      </c>
      <c r="I115" s="2">
        <v>24463.530000000002</v>
      </c>
      <c r="J115" s="2">
        <v>24484.600000000002</v>
      </c>
      <c r="K115" s="2">
        <v>24504.49</v>
      </c>
      <c r="L115" s="2">
        <v>24522.940000000002</v>
      </c>
      <c r="M115" s="2">
        <v>24544.680000000004</v>
      </c>
      <c r="N115" s="2">
        <v>24559.900000000005</v>
      </c>
      <c r="O115" s="2">
        <v>24580.430000000004</v>
      </c>
      <c r="P115" s="2">
        <v>24601.700000000004</v>
      </c>
      <c r="Q115" s="2">
        <v>24623.050000000003</v>
      </c>
      <c r="R115" s="2">
        <v>24643.65</v>
      </c>
      <c r="S115" s="2">
        <v>24643.65</v>
      </c>
      <c r="T115" s="2">
        <v>24654.190000000002</v>
      </c>
      <c r="U115" s="2">
        <v>24675.79</v>
      </c>
      <c r="V115" s="2">
        <v>24697.73</v>
      </c>
      <c r="W115" s="2">
        <v>24718.86</v>
      </c>
      <c r="X115" s="2">
        <v>24730.5</v>
      </c>
      <c r="Y115" s="2">
        <v>24748.29</v>
      </c>
      <c r="Z115" s="2">
        <v>24769.52</v>
      </c>
      <c r="AA115" s="2">
        <v>24790.41</v>
      </c>
      <c r="AB115" s="2">
        <v>24811.42</v>
      </c>
      <c r="AC115" s="2">
        <v>24812.51</v>
      </c>
      <c r="AD115" s="2">
        <v>24833.82</v>
      </c>
      <c r="AE115" s="2">
        <v>24853.59</v>
      </c>
      <c r="AF115" s="7"/>
      <c r="AG115" s="51">
        <f t="shared" si="4"/>
        <v>24853.59</v>
      </c>
      <c r="AH115" s="44">
        <v>24332.58</v>
      </c>
    </row>
    <row r="116" spans="1:34" x14ac:dyDescent="0.35">
      <c r="A116" s="26" t="s">
        <v>120</v>
      </c>
      <c r="B116" s="19">
        <v>24757.620000000032</v>
      </c>
      <c r="C116" s="2">
        <v>24779.600000000031</v>
      </c>
      <c r="D116" s="2">
        <v>24796.920000000031</v>
      </c>
      <c r="E116" s="2">
        <v>24808.890000000032</v>
      </c>
      <c r="F116" s="2">
        <v>24828.81000000003</v>
      </c>
      <c r="G116" s="2">
        <v>24845.70000000003</v>
      </c>
      <c r="H116" s="2">
        <v>24863.36000000003</v>
      </c>
      <c r="I116" s="2">
        <v>24884.81000000003</v>
      </c>
      <c r="J116" s="2">
        <v>24896.410000000029</v>
      </c>
      <c r="K116" s="2">
        <v>24904.11000000003</v>
      </c>
      <c r="L116" s="2">
        <v>24925.490000000031</v>
      </c>
      <c r="M116" s="2">
        <v>24946.250000000029</v>
      </c>
      <c r="N116" s="2">
        <v>24956.240000000031</v>
      </c>
      <c r="O116" s="2">
        <v>24975.460000000032</v>
      </c>
      <c r="P116" s="2">
        <v>24996.81000000003</v>
      </c>
      <c r="Q116" s="2">
        <v>25017.940000000031</v>
      </c>
      <c r="R116" s="2">
        <v>25038.980000000032</v>
      </c>
      <c r="S116" s="2">
        <v>25059.660000000033</v>
      </c>
      <c r="T116" s="2">
        <v>25081.410000000033</v>
      </c>
      <c r="U116" s="2">
        <v>25103.030000000032</v>
      </c>
      <c r="V116" s="2">
        <v>25122.090000000033</v>
      </c>
      <c r="W116" s="2">
        <v>25136.910000000033</v>
      </c>
      <c r="X116" s="2">
        <v>25151.960000000032</v>
      </c>
      <c r="Y116" s="2">
        <v>25168.750000000033</v>
      </c>
      <c r="Z116" s="2">
        <v>25185.000000000033</v>
      </c>
      <c r="AA116" s="2">
        <v>25203.430000000033</v>
      </c>
      <c r="AB116" s="2">
        <v>25224.240000000034</v>
      </c>
      <c r="AC116" s="2">
        <v>25229.390000000036</v>
      </c>
      <c r="AD116" s="2">
        <v>25250.570000000036</v>
      </c>
      <c r="AE116" s="2">
        <v>25271.920000000035</v>
      </c>
      <c r="AF116" s="7"/>
      <c r="AG116" s="51">
        <f t="shared" si="4"/>
        <v>25271.920000000035</v>
      </c>
      <c r="AH116" s="44">
        <v>24736.26</v>
      </c>
    </row>
    <row r="117" spans="1:34" x14ac:dyDescent="0.35">
      <c r="A117" s="26" t="s">
        <v>121</v>
      </c>
      <c r="B117" s="19">
        <v>24219.65</v>
      </c>
      <c r="C117" s="2">
        <v>24239.670000000002</v>
      </c>
      <c r="D117" s="2">
        <v>24257.120000000003</v>
      </c>
      <c r="E117" s="2">
        <v>24267.300000000003</v>
      </c>
      <c r="F117" s="2">
        <v>24286.440000000002</v>
      </c>
      <c r="G117" s="2">
        <v>24305.300000000003</v>
      </c>
      <c r="H117" s="2">
        <v>24324.710000000003</v>
      </c>
      <c r="I117" s="2">
        <v>24346.250000000004</v>
      </c>
      <c r="J117" s="2">
        <v>24351.040000000005</v>
      </c>
      <c r="K117" s="2">
        <v>24351.040000000005</v>
      </c>
      <c r="L117" s="2">
        <v>24351.040000000005</v>
      </c>
      <c r="M117" s="2">
        <v>24351.040000000005</v>
      </c>
      <c r="N117" s="2">
        <v>24357.080000000005</v>
      </c>
      <c r="O117" s="2">
        <v>24365.970000000005</v>
      </c>
      <c r="P117" s="2">
        <v>24385.300000000007</v>
      </c>
      <c r="Q117" s="2">
        <v>24406.040000000008</v>
      </c>
      <c r="R117" s="2">
        <v>24425.340000000007</v>
      </c>
      <c r="S117" s="2">
        <v>24446.440000000006</v>
      </c>
      <c r="T117" s="2">
        <v>24466.770000000008</v>
      </c>
      <c r="U117" s="2">
        <v>24487.730000000007</v>
      </c>
      <c r="V117" s="2">
        <v>24487.750000000007</v>
      </c>
      <c r="W117" s="2">
        <v>24503.200000000008</v>
      </c>
      <c r="X117" s="2">
        <v>24523.100000000009</v>
      </c>
      <c r="Y117" s="2">
        <v>24537.580000000009</v>
      </c>
      <c r="Z117" s="2">
        <v>24558.900000000009</v>
      </c>
      <c r="AA117" s="2">
        <v>24565.130000000008</v>
      </c>
      <c r="AB117" s="2">
        <v>24579.920000000009</v>
      </c>
      <c r="AC117" s="2">
        <v>24580.80000000001</v>
      </c>
      <c r="AD117" s="2">
        <v>24587.69000000001</v>
      </c>
      <c r="AE117" s="2">
        <v>24587.69000000001</v>
      </c>
      <c r="AF117" s="7"/>
      <c r="AG117" s="51">
        <f t="shared" si="4"/>
        <v>24587.69000000001</v>
      </c>
      <c r="AH117" s="44">
        <v>24201.8</v>
      </c>
    </row>
    <row r="118" spans="1:34" x14ac:dyDescent="0.35">
      <c r="A118" s="26" t="s">
        <v>122</v>
      </c>
      <c r="B118" s="19">
        <v>6043.8999999999969</v>
      </c>
      <c r="C118" s="2">
        <v>6066.319999999997</v>
      </c>
      <c r="D118" s="2">
        <v>6085.4799999999968</v>
      </c>
      <c r="E118" s="2">
        <v>6100.8699999999972</v>
      </c>
      <c r="F118" s="2">
        <v>6114.6499999999969</v>
      </c>
      <c r="G118" s="2">
        <v>6123.2999999999965</v>
      </c>
      <c r="H118" s="2">
        <v>6143.2099999999964</v>
      </c>
      <c r="I118" s="2">
        <v>6154.4899999999961</v>
      </c>
      <c r="J118" s="2">
        <v>6170.3699999999963</v>
      </c>
      <c r="K118" s="2">
        <v>6189.7699999999959</v>
      </c>
      <c r="L118" s="2">
        <v>6203.9999999999955</v>
      </c>
      <c r="M118" s="2">
        <v>6225.3499999999958</v>
      </c>
      <c r="N118" s="2">
        <v>6246.7399999999961</v>
      </c>
      <c r="O118" s="2">
        <v>6265.7299999999959</v>
      </c>
      <c r="P118" s="2">
        <v>6280.2999999999956</v>
      </c>
      <c r="Q118" s="2">
        <v>6298.9599999999955</v>
      </c>
      <c r="R118" s="2">
        <v>6318.9099999999953</v>
      </c>
      <c r="S118" s="2">
        <v>6324.1499999999951</v>
      </c>
      <c r="T118" s="2">
        <v>6345.8599999999951</v>
      </c>
      <c r="U118" s="2">
        <v>6367.1099999999951</v>
      </c>
      <c r="V118" s="2">
        <v>6387.0699999999952</v>
      </c>
      <c r="W118" s="2">
        <v>6408.1099999999951</v>
      </c>
      <c r="X118" s="2">
        <v>6428.2799999999952</v>
      </c>
      <c r="Y118" s="2">
        <v>6439.229999999995</v>
      </c>
      <c r="Z118" s="2">
        <v>6459.479999999995</v>
      </c>
      <c r="AA118" s="2">
        <v>6480.9199999999946</v>
      </c>
      <c r="AB118" s="2">
        <v>6501.4399999999951</v>
      </c>
      <c r="AC118" s="2">
        <v>6501.9499999999953</v>
      </c>
      <c r="AD118" s="2">
        <v>6522.7999999999956</v>
      </c>
      <c r="AE118" s="2">
        <v>6544.0999999999958</v>
      </c>
      <c r="AF118" s="7"/>
      <c r="AG118" s="51">
        <f t="shared" si="4"/>
        <v>6544.0999999999958</v>
      </c>
      <c r="AH118" s="44">
        <v>6022.3</v>
      </c>
    </row>
    <row r="119" spans="1:34" x14ac:dyDescent="0.35">
      <c r="A119" s="26" t="s">
        <v>123</v>
      </c>
      <c r="B119" s="19">
        <v>6362.6000000000013</v>
      </c>
      <c r="C119" s="2">
        <v>6383.8600000000015</v>
      </c>
      <c r="D119" s="2">
        <v>6405.3600000000015</v>
      </c>
      <c r="E119" s="2">
        <v>6425.9600000000019</v>
      </c>
      <c r="F119" s="2">
        <v>6446.300000000002</v>
      </c>
      <c r="G119" s="2">
        <v>6466.550000000002</v>
      </c>
      <c r="H119" s="2">
        <v>6482.6400000000021</v>
      </c>
      <c r="I119" s="2">
        <v>6504.5600000000022</v>
      </c>
      <c r="J119" s="2">
        <v>6526.260000000002</v>
      </c>
      <c r="K119" s="2">
        <v>6547.1600000000017</v>
      </c>
      <c r="L119" s="2">
        <v>6568.300000000002</v>
      </c>
      <c r="M119" s="2">
        <v>6589.4500000000016</v>
      </c>
      <c r="N119" s="2">
        <v>6611.1200000000017</v>
      </c>
      <c r="O119" s="2">
        <v>6632.1200000000017</v>
      </c>
      <c r="P119" s="2">
        <v>6653.760000000002</v>
      </c>
      <c r="Q119" s="2">
        <v>6675.2200000000021</v>
      </c>
      <c r="R119" s="2">
        <v>6695.5200000000023</v>
      </c>
      <c r="S119" s="2">
        <v>6716.2700000000023</v>
      </c>
      <c r="T119" s="2">
        <v>6737.4800000000023</v>
      </c>
      <c r="U119" s="2">
        <v>6758.9900000000025</v>
      </c>
      <c r="V119" s="2">
        <v>6776.1700000000028</v>
      </c>
      <c r="W119" s="2">
        <v>6776.1700000000028</v>
      </c>
      <c r="X119" s="2">
        <v>6776.1700000000028</v>
      </c>
      <c r="Y119" s="2">
        <v>6779.3800000000028</v>
      </c>
      <c r="Z119" s="2">
        <v>6797.8900000000031</v>
      </c>
      <c r="AA119" s="2">
        <v>6811.3600000000033</v>
      </c>
      <c r="AB119" s="2">
        <v>6832.2900000000036</v>
      </c>
      <c r="AC119" s="2">
        <v>6833.3300000000036</v>
      </c>
      <c r="AD119" s="2">
        <v>6854.6900000000032</v>
      </c>
      <c r="AE119" s="2">
        <v>6873.6500000000033</v>
      </c>
      <c r="AF119" s="7"/>
      <c r="AG119" s="51">
        <f t="shared" si="4"/>
        <v>6873.6500000000033</v>
      </c>
      <c r="AH119" s="44">
        <v>6341.04</v>
      </c>
    </row>
    <row r="120" spans="1:34" x14ac:dyDescent="0.35">
      <c r="A120" s="26" t="s">
        <v>124</v>
      </c>
      <c r="B120" s="19">
        <v>5793.1599999999962</v>
      </c>
      <c r="C120" s="2">
        <v>5814.6299999999965</v>
      </c>
      <c r="D120" s="2">
        <v>5835.0599999999968</v>
      </c>
      <c r="E120" s="2">
        <v>5855.6399999999967</v>
      </c>
      <c r="F120" s="2">
        <v>5874.6999999999971</v>
      </c>
      <c r="G120" s="2">
        <v>5895.7999999999975</v>
      </c>
      <c r="H120" s="2">
        <v>5917.0499999999975</v>
      </c>
      <c r="I120" s="2">
        <v>5937.3399999999974</v>
      </c>
      <c r="J120" s="2">
        <v>5958.2499999999973</v>
      </c>
      <c r="K120" s="2">
        <v>5979.2699999999977</v>
      </c>
      <c r="L120" s="2">
        <v>6000.7799999999979</v>
      </c>
      <c r="M120" s="2">
        <v>6022.3099999999977</v>
      </c>
      <c r="N120" s="2">
        <v>6043.7499999999973</v>
      </c>
      <c r="O120" s="2">
        <v>6064.6799999999976</v>
      </c>
      <c r="P120" s="2">
        <v>6086.2899999999972</v>
      </c>
      <c r="Q120" s="2">
        <v>6107.9499999999971</v>
      </c>
      <c r="R120" s="2">
        <v>6127.779999999997</v>
      </c>
      <c r="S120" s="2">
        <v>6137.7299999999968</v>
      </c>
      <c r="T120" s="2">
        <v>6159.4199999999964</v>
      </c>
      <c r="U120" s="2">
        <v>6181.3199999999961</v>
      </c>
      <c r="V120" s="2">
        <v>6203.4299999999957</v>
      </c>
      <c r="W120" s="2">
        <v>6223.7299999999959</v>
      </c>
      <c r="X120" s="2">
        <v>6244.9799999999959</v>
      </c>
      <c r="Y120" s="2">
        <v>6266.1799999999957</v>
      </c>
      <c r="Z120" s="2">
        <v>6267.2299999999959</v>
      </c>
      <c r="AA120" s="2">
        <v>6267.5999999999958</v>
      </c>
      <c r="AB120" s="2">
        <v>6273.359999999996</v>
      </c>
      <c r="AC120" s="2">
        <v>6273.359999999996</v>
      </c>
      <c r="AD120" s="2">
        <v>6286.3499999999958</v>
      </c>
      <c r="AE120" s="2">
        <v>6294.7099999999955</v>
      </c>
      <c r="AF120" s="7"/>
      <c r="AG120" s="51">
        <f t="shared" si="4"/>
        <v>6294.7099999999955</v>
      </c>
      <c r="AH120" s="44">
        <v>5771.68</v>
      </c>
    </row>
    <row r="121" spans="1:34" x14ac:dyDescent="0.35">
      <c r="A121" s="26" t="s">
        <v>125</v>
      </c>
      <c r="B121" s="19">
        <v>4154.6800000000012</v>
      </c>
      <c r="C121" s="2">
        <v>4172.5000000000009</v>
      </c>
      <c r="D121" s="2">
        <v>4173.0400000000009</v>
      </c>
      <c r="E121" s="2">
        <v>4194.0600000000013</v>
      </c>
      <c r="F121" s="2">
        <v>4215.7100000000009</v>
      </c>
      <c r="G121" s="2">
        <v>4237.3700000000008</v>
      </c>
      <c r="H121" s="2">
        <v>4258.4700000000012</v>
      </c>
      <c r="I121" s="2">
        <v>4274.5100000000011</v>
      </c>
      <c r="J121" s="2">
        <v>4295.9900000000007</v>
      </c>
      <c r="K121" s="2">
        <v>4317.7600000000011</v>
      </c>
      <c r="L121" s="2">
        <v>4327.8000000000011</v>
      </c>
      <c r="M121" s="2">
        <v>4344.2800000000007</v>
      </c>
      <c r="N121" s="2">
        <v>4365.4500000000007</v>
      </c>
      <c r="O121" s="2">
        <v>4380.5400000000009</v>
      </c>
      <c r="P121" s="2">
        <v>4401.9800000000005</v>
      </c>
      <c r="Q121" s="2">
        <v>4423.1400000000003</v>
      </c>
      <c r="R121" s="2">
        <v>4444.68</v>
      </c>
      <c r="S121" s="2">
        <v>4466.1900000000005</v>
      </c>
      <c r="T121" s="2">
        <v>4487.8300000000008</v>
      </c>
      <c r="U121" s="2">
        <v>4509.5600000000004</v>
      </c>
      <c r="V121" s="2">
        <v>4531.34</v>
      </c>
      <c r="W121" s="2">
        <v>4552.8100000000004</v>
      </c>
      <c r="X121" s="2">
        <v>4573.2800000000007</v>
      </c>
      <c r="Y121" s="2">
        <v>4595.2300000000005</v>
      </c>
      <c r="Z121" s="2">
        <v>4616.6200000000008</v>
      </c>
      <c r="AA121" s="2">
        <v>4637.5800000000008</v>
      </c>
      <c r="AB121" s="2">
        <v>4658.0500000000011</v>
      </c>
      <c r="AC121" s="2">
        <v>4659.0400000000009</v>
      </c>
      <c r="AD121" s="2">
        <v>4679.9100000000008</v>
      </c>
      <c r="AE121" s="2">
        <v>4684.6900000000005</v>
      </c>
      <c r="AF121" s="7"/>
      <c r="AG121" s="51">
        <f t="shared" si="4"/>
        <v>4684.6900000000005</v>
      </c>
      <c r="AH121" s="44">
        <v>4133.51</v>
      </c>
    </row>
    <row r="122" spans="1:34" x14ac:dyDescent="0.35">
      <c r="A122" s="26" t="s">
        <v>126</v>
      </c>
      <c r="B122" s="19">
        <v>5292.9199999999964</v>
      </c>
      <c r="C122" s="2">
        <v>5313.8799999999965</v>
      </c>
      <c r="D122" s="2">
        <v>5333.7599999999966</v>
      </c>
      <c r="E122" s="2">
        <v>5355.2699999999968</v>
      </c>
      <c r="F122" s="2">
        <v>5376.9399999999969</v>
      </c>
      <c r="G122" s="2">
        <v>5398.4299999999967</v>
      </c>
      <c r="H122" s="2">
        <v>5416.1699999999964</v>
      </c>
      <c r="I122" s="2">
        <v>5435.1399999999967</v>
      </c>
      <c r="J122" s="2">
        <v>5451.8299999999963</v>
      </c>
      <c r="K122" s="2">
        <v>5453.2299999999959</v>
      </c>
      <c r="L122" s="2">
        <v>5473.6199999999963</v>
      </c>
      <c r="M122" s="2">
        <v>5495.1299999999965</v>
      </c>
      <c r="N122" s="2">
        <v>5516.109999999996</v>
      </c>
      <c r="O122" s="2">
        <v>5537.109999999996</v>
      </c>
      <c r="P122" s="2">
        <v>5558.9599999999964</v>
      </c>
      <c r="Q122" s="2">
        <v>5579.649999999996</v>
      </c>
      <c r="R122" s="2">
        <v>5599.6599999999962</v>
      </c>
      <c r="S122" s="2">
        <v>5621.0999999999958</v>
      </c>
      <c r="T122" s="2">
        <v>5642.9499999999962</v>
      </c>
      <c r="U122" s="2">
        <v>5664.9199999999964</v>
      </c>
      <c r="V122" s="2">
        <v>5686.7199999999966</v>
      </c>
      <c r="W122" s="2">
        <v>5707.8099999999968</v>
      </c>
      <c r="X122" s="2">
        <v>5729.4699999999966</v>
      </c>
      <c r="Y122" s="2">
        <v>5750.3999999999969</v>
      </c>
      <c r="Z122" s="2">
        <v>5770.9199999999973</v>
      </c>
      <c r="AA122" s="2">
        <v>5790.9399999999978</v>
      </c>
      <c r="AB122" s="2">
        <v>5812.0099999999975</v>
      </c>
      <c r="AC122" s="2">
        <v>5812.7599999999975</v>
      </c>
      <c r="AD122" s="2">
        <v>5833.6599999999971</v>
      </c>
      <c r="AE122" s="2">
        <v>5850.819999999997</v>
      </c>
      <c r="AF122" s="7"/>
      <c r="AG122" s="51">
        <f t="shared" si="4"/>
        <v>5850.819999999997</v>
      </c>
      <c r="AH122" s="44">
        <v>5271.47</v>
      </c>
    </row>
    <row r="123" spans="1:34" x14ac:dyDescent="0.35">
      <c r="A123" s="26" t="s">
        <v>127</v>
      </c>
      <c r="B123" s="19">
        <v>5486.1799999999976</v>
      </c>
      <c r="C123" s="2">
        <v>5507.5599999999977</v>
      </c>
      <c r="D123" s="2">
        <v>5527.4799999999977</v>
      </c>
      <c r="E123" s="2">
        <v>5543.6399999999976</v>
      </c>
      <c r="F123" s="2">
        <v>5553.909999999998</v>
      </c>
      <c r="G123" s="2">
        <v>5566.4399999999978</v>
      </c>
      <c r="H123" s="2">
        <v>5576.1699999999973</v>
      </c>
      <c r="I123" s="2">
        <v>5597.319999999997</v>
      </c>
      <c r="J123" s="2">
        <v>5618.7599999999966</v>
      </c>
      <c r="K123" s="2">
        <v>5638.9799999999968</v>
      </c>
      <c r="L123" s="2">
        <v>5658.6599999999971</v>
      </c>
      <c r="M123" s="2">
        <v>5677.279999999997</v>
      </c>
      <c r="N123" s="2">
        <v>5698.0799999999972</v>
      </c>
      <c r="O123" s="2">
        <v>5719.1199999999972</v>
      </c>
      <c r="P123" s="2">
        <v>5740.569999999997</v>
      </c>
      <c r="Q123" s="2">
        <v>5760.4799999999968</v>
      </c>
      <c r="R123" s="2">
        <v>5771.4499999999971</v>
      </c>
      <c r="S123" s="2">
        <v>5792.7999999999975</v>
      </c>
      <c r="T123" s="2">
        <v>5814.2599999999975</v>
      </c>
      <c r="U123" s="2">
        <v>5835.8899999999976</v>
      </c>
      <c r="V123" s="2">
        <v>5857.2199999999975</v>
      </c>
      <c r="W123" s="2">
        <v>5878.7499999999973</v>
      </c>
      <c r="X123" s="2">
        <v>5894.6799999999976</v>
      </c>
      <c r="Y123" s="2">
        <v>5909.1199999999972</v>
      </c>
      <c r="Z123" s="2">
        <v>5929.3099999999968</v>
      </c>
      <c r="AA123" s="2">
        <v>5949.4499999999971</v>
      </c>
      <c r="AB123" s="2">
        <v>5968.3699999999972</v>
      </c>
      <c r="AC123" s="2">
        <v>5969.3799999999974</v>
      </c>
      <c r="AD123" s="2">
        <v>5990.1499999999978</v>
      </c>
      <c r="AE123" s="2">
        <v>6010.5399999999981</v>
      </c>
      <c r="AF123" s="7"/>
      <c r="AG123" s="51">
        <f t="shared" si="4"/>
        <v>6010.5399999999981</v>
      </c>
      <c r="AH123" s="44">
        <v>5471.74</v>
      </c>
    </row>
    <row r="124" spans="1:34" ht="15" thickBot="1" x14ac:dyDescent="0.4">
      <c r="A124" s="36" t="s">
        <v>128</v>
      </c>
      <c r="B124" s="20">
        <v>5247.7899999999945</v>
      </c>
      <c r="C124" s="4">
        <v>5269.1699999999946</v>
      </c>
      <c r="D124" s="4">
        <v>5289.2799999999943</v>
      </c>
      <c r="E124" s="4">
        <v>5310.1299999999947</v>
      </c>
      <c r="F124" s="4">
        <v>5330.8999999999951</v>
      </c>
      <c r="G124" s="4">
        <v>5348.769999999995</v>
      </c>
      <c r="H124" s="4">
        <v>5370.2499999999945</v>
      </c>
      <c r="I124" s="4">
        <v>5391.3499999999949</v>
      </c>
      <c r="J124" s="4">
        <v>5412.6399999999949</v>
      </c>
      <c r="K124" s="4">
        <v>5434.2999999999947</v>
      </c>
      <c r="L124" s="4">
        <v>5450.5499999999947</v>
      </c>
      <c r="M124" s="4">
        <v>5471.3499999999949</v>
      </c>
      <c r="N124" s="4">
        <v>5492.3599999999951</v>
      </c>
      <c r="O124" s="4">
        <v>5511.2599999999948</v>
      </c>
      <c r="P124" s="4">
        <v>5518.1999999999944</v>
      </c>
      <c r="Q124" s="4">
        <v>5518.1999999999944</v>
      </c>
      <c r="R124" s="4">
        <v>5532.8999999999942</v>
      </c>
      <c r="S124" s="4">
        <v>5553.8199999999943</v>
      </c>
      <c r="T124" s="4">
        <v>5573.1499999999942</v>
      </c>
      <c r="U124" s="4">
        <v>5581.2699999999941</v>
      </c>
      <c r="V124" s="4">
        <v>5601.5799999999945</v>
      </c>
      <c r="W124" s="4">
        <v>5622.5799999999945</v>
      </c>
      <c r="X124" s="4">
        <v>5644.1499999999942</v>
      </c>
      <c r="Y124" s="4">
        <v>5665.099999999994</v>
      </c>
      <c r="Z124" s="4">
        <v>5686.3999999999942</v>
      </c>
      <c r="AA124" s="4">
        <v>5704.6799999999939</v>
      </c>
      <c r="AB124" s="4">
        <v>5723.2299999999941</v>
      </c>
      <c r="AC124" s="4">
        <v>5727.7699999999941</v>
      </c>
      <c r="AD124" s="4">
        <v>5749.6199999999944</v>
      </c>
      <c r="AE124" s="4">
        <v>5770.7099999999946</v>
      </c>
      <c r="AF124" s="8"/>
      <c r="AG124" s="52">
        <f t="shared" si="4"/>
        <v>5770.7099999999946</v>
      </c>
      <c r="AH124" s="44">
        <v>5226.0600000000004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45444</v>
      </c>
      <c r="C126" s="46">
        <v>45445</v>
      </c>
      <c r="D126" s="46">
        <v>45446</v>
      </c>
      <c r="E126" s="46">
        <v>45447</v>
      </c>
      <c r="F126" s="46">
        <v>45448</v>
      </c>
      <c r="G126" s="46">
        <v>45449</v>
      </c>
      <c r="H126" s="46">
        <v>45450</v>
      </c>
      <c r="I126" s="46">
        <v>45451</v>
      </c>
      <c r="J126" s="46">
        <v>45452</v>
      </c>
      <c r="K126" s="46">
        <v>45453</v>
      </c>
      <c r="L126" s="46">
        <v>45454</v>
      </c>
      <c r="M126" s="46">
        <v>45455</v>
      </c>
      <c r="N126" s="46">
        <v>45456</v>
      </c>
      <c r="O126" s="46">
        <v>45457</v>
      </c>
      <c r="P126" s="46">
        <v>45458</v>
      </c>
      <c r="Q126" s="46">
        <v>45459</v>
      </c>
      <c r="R126" s="46">
        <v>45460</v>
      </c>
      <c r="S126" s="46">
        <v>45461</v>
      </c>
      <c r="T126" s="46">
        <v>45462</v>
      </c>
      <c r="U126" s="46">
        <v>45463</v>
      </c>
      <c r="V126" s="46">
        <v>45464</v>
      </c>
      <c r="W126" s="46">
        <v>45465</v>
      </c>
      <c r="X126" s="46">
        <v>45466</v>
      </c>
      <c r="Y126" s="46">
        <v>45467</v>
      </c>
      <c r="Z126" s="46">
        <v>45468</v>
      </c>
      <c r="AA126" s="46">
        <v>45469</v>
      </c>
      <c r="AB126" s="46">
        <v>45470</v>
      </c>
      <c r="AC126" s="46">
        <v>45471</v>
      </c>
      <c r="AD126" s="46">
        <v>45472</v>
      </c>
      <c r="AE126" s="46">
        <v>45473</v>
      </c>
      <c r="AF126" s="46"/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19">
        <v>87652.000000000015</v>
      </c>
      <c r="C127" s="2">
        <v>87652.000000000015</v>
      </c>
      <c r="D127" s="2">
        <v>87652.000000000015</v>
      </c>
      <c r="E127" s="2">
        <v>87652.000000000015</v>
      </c>
      <c r="F127" s="2">
        <v>87652.000000000015</v>
      </c>
      <c r="G127" s="2">
        <v>87652.000000000015</v>
      </c>
      <c r="H127" s="2">
        <v>87652.000000000015</v>
      </c>
      <c r="I127" s="2">
        <v>87652.000000000015</v>
      </c>
      <c r="J127" s="2">
        <v>87652.000000000015</v>
      </c>
      <c r="K127" s="2">
        <v>87652.000000000015</v>
      </c>
      <c r="L127" s="2">
        <v>87652.000000000015</v>
      </c>
      <c r="M127" s="2">
        <v>87652.000000000015</v>
      </c>
      <c r="N127" s="2">
        <v>87652.000000000015</v>
      </c>
      <c r="O127" s="2">
        <v>87652.000000000015</v>
      </c>
      <c r="P127" s="2">
        <v>87652.000000000015</v>
      </c>
      <c r="Q127" s="2">
        <v>87652.000000000015</v>
      </c>
      <c r="R127" s="2">
        <v>87652.000000000015</v>
      </c>
      <c r="S127" s="2">
        <v>87652.000000000015</v>
      </c>
      <c r="T127" s="2">
        <v>87652.000000000015</v>
      </c>
      <c r="U127" s="2">
        <v>87652.000000000015</v>
      </c>
      <c r="V127" s="2">
        <v>87652.000000000015</v>
      </c>
      <c r="W127" s="2">
        <v>87652.000000000015</v>
      </c>
      <c r="X127" s="2">
        <v>87652.000000000015</v>
      </c>
      <c r="Y127" s="2">
        <v>87652.000000000015</v>
      </c>
      <c r="Z127" s="2">
        <v>87652.000000000015</v>
      </c>
      <c r="AA127" s="2">
        <v>87652.000000000015</v>
      </c>
      <c r="AB127" s="2">
        <v>87652.000000000015</v>
      </c>
      <c r="AC127" s="2">
        <v>87652.000000000015</v>
      </c>
      <c r="AD127" s="2">
        <v>87652.000000000015</v>
      </c>
      <c r="AE127" s="2">
        <v>87652.000000000015</v>
      </c>
      <c r="AF127" s="7"/>
      <c r="AG127" s="54">
        <f t="shared" ref="AG127:AG163" si="5">MAX(B127:AF127)</f>
        <v>87652.000000000015</v>
      </c>
      <c r="AH127" s="44">
        <v>87652</v>
      </c>
    </row>
    <row r="128" spans="1:34" x14ac:dyDescent="0.35">
      <c r="A128" s="40" t="s">
        <v>297</v>
      </c>
      <c r="B128" s="18">
        <v>111713.7</v>
      </c>
      <c r="C128" s="14">
        <v>111720.09999999999</v>
      </c>
      <c r="D128" s="14">
        <v>111720.09999999999</v>
      </c>
      <c r="E128" s="14">
        <v>111720.09999999999</v>
      </c>
      <c r="F128" s="14">
        <v>111720.09999999999</v>
      </c>
      <c r="G128" s="14">
        <v>111720.09999999999</v>
      </c>
      <c r="H128" s="14">
        <v>111720.09999999999</v>
      </c>
      <c r="I128" s="14">
        <v>111720.09999999999</v>
      </c>
      <c r="J128" s="14">
        <v>111720.09999999999</v>
      </c>
      <c r="K128" s="14">
        <v>111780.99999999999</v>
      </c>
      <c r="L128" s="14">
        <v>111784.99999999999</v>
      </c>
      <c r="M128" s="14">
        <v>111785.59999999999</v>
      </c>
      <c r="N128" s="14">
        <v>111792.9</v>
      </c>
      <c r="O128" s="14">
        <v>111792.9</v>
      </c>
      <c r="P128" s="14">
        <v>111792.9</v>
      </c>
      <c r="Q128" s="14">
        <v>111819.9</v>
      </c>
      <c r="R128" s="14">
        <v>111819.9</v>
      </c>
      <c r="S128" s="14">
        <v>111819.9</v>
      </c>
      <c r="T128" s="14">
        <v>111819.9</v>
      </c>
      <c r="U128" s="14">
        <v>111847.5</v>
      </c>
      <c r="V128" s="14">
        <v>111847.5</v>
      </c>
      <c r="W128" s="14">
        <v>111847.5</v>
      </c>
      <c r="X128" s="14">
        <v>111859.4</v>
      </c>
      <c r="Y128" s="14">
        <v>111871.4</v>
      </c>
      <c r="Z128" s="14">
        <v>111871.4</v>
      </c>
      <c r="AA128" s="14">
        <v>111871.4</v>
      </c>
      <c r="AB128" s="14">
        <v>111871.4</v>
      </c>
      <c r="AC128" s="14">
        <v>111871.4</v>
      </c>
      <c r="AD128" s="14">
        <v>111871.4</v>
      </c>
      <c r="AE128" s="14">
        <v>111885.4</v>
      </c>
      <c r="AF128" s="22"/>
      <c r="AG128" s="53">
        <f t="shared" si="5"/>
        <v>111885.4</v>
      </c>
      <c r="AH128" s="44">
        <v>111697</v>
      </c>
    </row>
    <row r="129" spans="1:34" x14ac:dyDescent="0.35">
      <c r="A129" s="27" t="s">
        <v>271</v>
      </c>
      <c r="B129" s="19">
        <v>104167.2</v>
      </c>
      <c r="C129" s="2">
        <v>104167.2</v>
      </c>
      <c r="D129" s="2">
        <v>104167.2</v>
      </c>
      <c r="E129" s="2">
        <v>104167.2</v>
      </c>
      <c r="F129" s="2">
        <v>104167.2</v>
      </c>
      <c r="G129" s="2">
        <v>104167.2</v>
      </c>
      <c r="H129" s="2">
        <v>104167.2</v>
      </c>
      <c r="I129" s="2">
        <v>104167.2</v>
      </c>
      <c r="J129" s="2">
        <v>104167.2</v>
      </c>
      <c r="K129" s="2">
        <v>104167.2</v>
      </c>
      <c r="L129" s="2">
        <v>104167.2</v>
      </c>
      <c r="M129" s="2">
        <v>104167.2</v>
      </c>
      <c r="N129" s="2">
        <v>104167.2</v>
      </c>
      <c r="O129" s="2">
        <v>104167.2</v>
      </c>
      <c r="P129" s="2">
        <v>104167.2</v>
      </c>
      <c r="Q129" s="2">
        <v>104167.2</v>
      </c>
      <c r="R129" s="2">
        <v>104167.2</v>
      </c>
      <c r="S129" s="2">
        <v>104167.2</v>
      </c>
      <c r="T129" s="2">
        <v>104167.2</v>
      </c>
      <c r="U129" s="2">
        <v>104167.9</v>
      </c>
      <c r="V129" s="2">
        <v>104167.9</v>
      </c>
      <c r="W129" s="2">
        <v>104167.9</v>
      </c>
      <c r="X129" s="2">
        <v>104167.9</v>
      </c>
      <c r="Y129" s="2">
        <v>104167.9</v>
      </c>
      <c r="Z129" s="2">
        <v>104167.9</v>
      </c>
      <c r="AA129" s="2">
        <v>104174.9</v>
      </c>
      <c r="AB129" s="2">
        <v>104174.9</v>
      </c>
      <c r="AC129" s="2">
        <v>104174.9</v>
      </c>
      <c r="AD129" s="2">
        <v>104174.9</v>
      </c>
      <c r="AE129" s="2">
        <v>104221.5</v>
      </c>
      <c r="AF129" s="7"/>
      <c r="AG129" s="9">
        <f t="shared" si="5"/>
        <v>104221.5</v>
      </c>
      <c r="AH129" s="44">
        <v>104167.2</v>
      </c>
    </row>
    <row r="130" spans="1:34" x14ac:dyDescent="0.35">
      <c r="A130" s="27" t="s">
        <v>274</v>
      </c>
      <c r="B130" s="19">
        <v>102824.7</v>
      </c>
      <c r="C130" s="19">
        <v>102824.7</v>
      </c>
      <c r="D130" s="19">
        <v>102824.7</v>
      </c>
      <c r="E130" s="19">
        <v>102824.7</v>
      </c>
      <c r="F130" s="19">
        <v>102824.7</v>
      </c>
      <c r="G130" s="19">
        <v>102824.7</v>
      </c>
      <c r="H130" s="19">
        <v>102824.7</v>
      </c>
      <c r="I130" s="19">
        <v>102824.7</v>
      </c>
      <c r="J130" s="19">
        <v>102824.7</v>
      </c>
      <c r="K130" s="19">
        <v>102824.7</v>
      </c>
      <c r="L130" s="19">
        <v>102824.7</v>
      </c>
      <c r="M130" s="19">
        <v>102824.7</v>
      </c>
      <c r="N130" s="19">
        <v>102824.7</v>
      </c>
      <c r="O130" s="19">
        <v>102824.7</v>
      </c>
      <c r="P130" s="19">
        <v>102824.7</v>
      </c>
      <c r="Q130" s="19">
        <v>102824.7</v>
      </c>
      <c r="R130" s="19">
        <v>102824.7</v>
      </c>
      <c r="S130" s="19">
        <v>102824.7</v>
      </c>
      <c r="T130" s="19">
        <v>102824.7</v>
      </c>
      <c r="U130" s="19">
        <v>102824.7</v>
      </c>
      <c r="V130" s="19">
        <v>102824.7</v>
      </c>
      <c r="W130" s="19">
        <v>102824.7</v>
      </c>
      <c r="X130" s="19">
        <v>102824.7</v>
      </c>
      <c r="Y130" s="19">
        <v>102824.7</v>
      </c>
      <c r="Z130" s="19">
        <v>102824.7</v>
      </c>
      <c r="AA130" s="19">
        <v>102824.7</v>
      </c>
      <c r="AB130" s="19">
        <v>102824.7</v>
      </c>
      <c r="AC130" s="19">
        <v>102824.7</v>
      </c>
      <c r="AD130" s="19">
        <v>102824.7</v>
      </c>
      <c r="AE130" s="19">
        <v>102824.7</v>
      </c>
      <c r="AF130" s="7"/>
      <c r="AG130" s="9">
        <f t="shared" si="5"/>
        <v>102824.7</v>
      </c>
      <c r="AH130" s="44">
        <v>102835</v>
      </c>
    </row>
    <row r="131" spans="1:34" x14ac:dyDescent="0.35">
      <c r="A131" s="27" t="s">
        <v>272</v>
      </c>
      <c r="B131" s="19">
        <v>102048.18999999999</v>
      </c>
      <c r="C131" s="2">
        <v>102048.18999999999</v>
      </c>
      <c r="D131" s="2">
        <v>102048.18999999999</v>
      </c>
      <c r="E131" s="2">
        <v>102048.18999999999</v>
      </c>
      <c r="F131" s="2">
        <v>102048.18999999999</v>
      </c>
      <c r="G131" s="2">
        <v>102048.18999999999</v>
      </c>
      <c r="H131" s="2">
        <v>102048.18999999999</v>
      </c>
      <c r="I131" s="2">
        <v>102048.18999999999</v>
      </c>
      <c r="J131" s="2">
        <v>102048.18999999999</v>
      </c>
      <c r="K131" s="2">
        <v>102048.18999999999</v>
      </c>
      <c r="L131" s="2">
        <v>102048.18999999999</v>
      </c>
      <c r="M131" s="2">
        <v>102048.18999999999</v>
      </c>
      <c r="N131" s="2">
        <v>102048.18999999999</v>
      </c>
      <c r="O131" s="2">
        <v>102048.18999999999</v>
      </c>
      <c r="P131" s="2">
        <v>102048.18999999999</v>
      </c>
      <c r="Q131" s="2">
        <v>102048.18999999999</v>
      </c>
      <c r="R131" s="2">
        <v>102048.18999999999</v>
      </c>
      <c r="S131" s="2">
        <v>102048.18999999999</v>
      </c>
      <c r="T131" s="2">
        <v>102048.18999999999</v>
      </c>
      <c r="U131" s="2">
        <v>102048.18999999999</v>
      </c>
      <c r="V131" s="2">
        <v>102048.18999999999</v>
      </c>
      <c r="W131" s="2">
        <v>102048.18999999999</v>
      </c>
      <c r="X131" s="2">
        <v>102048.18999999999</v>
      </c>
      <c r="Y131" s="2">
        <v>102048.18999999999</v>
      </c>
      <c r="Z131" s="2">
        <v>102048.18999999999</v>
      </c>
      <c r="AA131" s="2">
        <v>102048.18999999999</v>
      </c>
      <c r="AB131" s="2">
        <v>102048.18999999999</v>
      </c>
      <c r="AC131" s="2">
        <v>102048.18999999999</v>
      </c>
      <c r="AD131" s="2">
        <v>102048.18999999999</v>
      </c>
      <c r="AE131" s="2">
        <v>102048.18999999999</v>
      </c>
      <c r="AF131" s="2"/>
      <c r="AG131" s="9">
        <f t="shared" si="5"/>
        <v>102048.18999999999</v>
      </c>
      <c r="AH131" s="44">
        <v>102048.19</v>
      </c>
    </row>
    <row r="132" spans="1:34" x14ac:dyDescent="0.35">
      <c r="A132" s="27" t="s">
        <v>285</v>
      </c>
      <c r="B132" s="19">
        <v>101476.09999999999</v>
      </c>
      <c r="C132" s="2">
        <v>101476.09999999999</v>
      </c>
      <c r="D132" s="2">
        <v>101476.09999999999</v>
      </c>
      <c r="E132" s="2">
        <v>101476.09999999999</v>
      </c>
      <c r="F132" s="2">
        <v>101476.09999999999</v>
      </c>
      <c r="G132" s="2">
        <v>101476.09999999999</v>
      </c>
      <c r="H132" s="2">
        <v>101476.09999999999</v>
      </c>
      <c r="I132" s="2">
        <v>101476.09999999999</v>
      </c>
      <c r="J132" s="2">
        <v>101476.09999999999</v>
      </c>
      <c r="K132" s="2">
        <v>101476.09999999999</v>
      </c>
      <c r="L132" s="2">
        <v>101476.09999999999</v>
      </c>
      <c r="M132" s="2">
        <v>101476.09999999999</v>
      </c>
      <c r="N132" s="2">
        <v>101476.09999999999</v>
      </c>
      <c r="O132" s="2">
        <v>101476.09999999999</v>
      </c>
      <c r="P132" s="2">
        <v>101476.09999999999</v>
      </c>
      <c r="Q132" s="2">
        <v>101476.09999999999</v>
      </c>
      <c r="R132" s="2">
        <v>101476.09999999999</v>
      </c>
      <c r="S132" s="2">
        <v>101476.09999999999</v>
      </c>
      <c r="T132" s="2">
        <v>101476.09999999999</v>
      </c>
      <c r="U132" s="2">
        <v>101476.09999999999</v>
      </c>
      <c r="V132" s="2">
        <v>101476.09999999999</v>
      </c>
      <c r="W132" s="2">
        <v>101476.09999999999</v>
      </c>
      <c r="X132" s="2">
        <v>101476.09999999999</v>
      </c>
      <c r="Y132" s="2">
        <v>101476.09999999999</v>
      </c>
      <c r="Z132" s="2">
        <v>101476.09999999999</v>
      </c>
      <c r="AA132" s="2">
        <v>101476.09999999999</v>
      </c>
      <c r="AB132" s="2">
        <v>101476.09999999999</v>
      </c>
      <c r="AC132" s="2">
        <v>101476.09999999999</v>
      </c>
      <c r="AD132" s="2">
        <v>101476.09999999999</v>
      </c>
      <c r="AE132" s="2">
        <v>101476.09999999999</v>
      </c>
      <c r="AF132" s="7"/>
      <c r="AG132" s="9">
        <f t="shared" si="5"/>
        <v>101476.09999999999</v>
      </c>
      <c r="AH132" s="44">
        <v>101476.1</v>
      </c>
    </row>
    <row r="133" spans="1:34" x14ac:dyDescent="0.35">
      <c r="A133" s="27" t="s">
        <v>306</v>
      </c>
      <c r="B133" s="19">
        <v>100866.39000000003</v>
      </c>
      <c r="C133" s="2">
        <v>100866.39000000003</v>
      </c>
      <c r="D133" s="2">
        <v>100866.39000000003</v>
      </c>
      <c r="E133" s="2">
        <v>100866.39000000003</v>
      </c>
      <c r="F133" s="2">
        <v>100866.39000000003</v>
      </c>
      <c r="G133" s="2">
        <v>100866.39000000003</v>
      </c>
      <c r="H133" s="2">
        <v>100866.39000000003</v>
      </c>
      <c r="I133" s="2">
        <v>100866.39000000003</v>
      </c>
      <c r="J133" s="2">
        <v>100866.39000000003</v>
      </c>
      <c r="K133" s="2">
        <v>100866.39000000003</v>
      </c>
      <c r="L133" s="2">
        <v>100866.39000000003</v>
      </c>
      <c r="M133" s="2">
        <v>100866.39000000003</v>
      </c>
      <c r="N133" s="2">
        <v>100866.39000000003</v>
      </c>
      <c r="O133" s="2">
        <v>100866.39000000003</v>
      </c>
      <c r="P133" s="2">
        <v>100866.39000000003</v>
      </c>
      <c r="Q133" s="2">
        <v>100866.39000000003</v>
      </c>
      <c r="R133" s="2">
        <v>100866.39000000003</v>
      </c>
      <c r="S133" s="2">
        <v>100866.39000000003</v>
      </c>
      <c r="T133" s="2">
        <v>100866.39000000003</v>
      </c>
      <c r="U133" s="2">
        <v>100866.39000000003</v>
      </c>
      <c r="V133" s="2">
        <v>100866.39000000003</v>
      </c>
      <c r="W133" s="2">
        <v>100866.39000000003</v>
      </c>
      <c r="X133" s="2">
        <v>100866.39000000003</v>
      </c>
      <c r="Y133" s="2">
        <v>100866.39000000003</v>
      </c>
      <c r="Z133" s="2">
        <v>100866.39000000003</v>
      </c>
      <c r="AA133" s="2">
        <v>100866.39000000003</v>
      </c>
      <c r="AB133" s="2">
        <v>100866.39000000003</v>
      </c>
      <c r="AC133" s="2">
        <v>100866.39000000003</v>
      </c>
      <c r="AD133" s="2">
        <v>100866.39000000003</v>
      </c>
      <c r="AE133" s="2">
        <v>100866.39000000003</v>
      </c>
      <c r="AF133" s="7"/>
      <c r="AG133" s="9">
        <f t="shared" si="5"/>
        <v>100866.39000000003</v>
      </c>
      <c r="AH133" s="44">
        <v>100866.39</v>
      </c>
    </row>
    <row r="134" spans="1:34" x14ac:dyDescent="0.35">
      <c r="A134" s="28" t="s">
        <v>308</v>
      </c>
      <c r="B134" s="23">
        <v>101852.22</v>
      </c>
      <c r="C134" s="24">
        <v>101852.22</v>
      </c>
      <c r="D134" s="24">
        <v>101852.22</v>
      </c>
      <c r="E134" s="24">
        <v>101852.22</v>
      </c>
      <c r="F134" s="24">
        <v>101852.22</v>
      </c>
      <c r="G134" s="24">
        <v>101852.22</v>
      </c>
      <c r="H134" s="24">
        <v>101852.22</v>
      </c>
      <c r="I134" s="24">
        <v>101852.22</v>
      </c>
      <c r="J134" s="24">
        <v>101852.22</v>
      </c>
      <c r="K134" s="24">
        <v>101852.22</v>
      </c>
      <c r="L134" s="24">
        <v>101852.22</v>
      </c>
      <c r="M134" s="24">
        <v>101852.22</v>
      </c>
      <c r="N134" s="24">
        <v>101852.22</v>
      </c>
      <c r="O134" s="24">
        <v>101852.22</v>
      </c>
      <c r="P134" s="24">
        <v>101852.22</v>
      </c>
      <c r="Q134" s="24">
        <v>101852.22</v>
      </c>
      <c r="R134" s="24">
        <v>101852.22</v>
      </c>
      <c r="S134" s="24">
        <v>101852.22</v>
      </c>
      <c r="T134" s="24">
        <v>101852.22</v>
      </c>
      <c r="U134" s="24">
        <v>101852.22</v>
      </c>
      <c r="V134" s="24">
        <v>101852.22</v>
      </c>
      <c r="W134" s="24">
        <v>101852.22</v>
      </c>
      <c r="X134" s="24">
        <v>101852.22</v>
      </c>
      <c r="Y134" s="24">
        <v>101852.22</v>
      </c>
      <c r="Z134" s="24">
        <v>101852.22</v>
      </c>
      <c r="AA134" s="24">
        <v>101852.22</v>
      </c>
      <c r="AB134" s="24">
        <v>101852.22</v>
      </c>
      <c r="AC134" s="24">
        <v>101852.22</v>
      </c>
      <c r="AD134" s="24">
        <v>101852.22</v>
      </c>
      <c r="AE134" s="24">
        <v>101852.22</v>
      </c>
      <c r="AF134" s="25"/>
      <c r="AG134" s="9">
        <f t="shared" si="5"/>
        <v>101852.22</v>
      </c>
      <c r="AH134" s="44">
        <v>101852.22</v>
      </c>
    </row>
    <row r="135" spans="1:34" ht="15" thickBot="1" x14ac:dyDescent="0.4">
      <c r="A135" s="27" t="s">
        <v>307</v>
      </c>
      <c r="B135" s="19">
        <v>102275.73000000001</v>
      </c>
      <c r="C135" s="2">
        <v>102275.73000000001</v>
      </c>
      <c r="D135" s="2">
        <v>102275.73000000001</v>
      </c>
      <c r="E135" s="2">
        <v>102275.73000000001</v>
      </c>
      <c r="F135" s="2">
        <v>102275.73000000001</v>
      </c>
      <c r="G135" s="2">
        <v>102275.73000000001</v>
      </c>
      <c r="H135" s="2">
        <v>102275.73000000001</v>
      </c>
      <c r="I135" s="2">
        <v>102275.73000000001</v>
      </c>
      <c r="J135" s="2">
        <v>102275.73000000001</v>
      </c>
      <c r="K135" s="2">
        <v>102275.73000000001</v>
      </c>
      <c r="L135" s="2">
        <v>102275.73000000001</v>
      </c>
      <c r="M135" s="2">
        <v>102275.73000000001</v>
      </c>
      <c r="N135" s="2">
        <v>102275.73000000001</v>
      </c>
      <c r="O135" s="2">
        <v>102275.73000000001</v>
      </c>
      <c r="P135" s="2">
        <v>102275.73000000001</v>
      </c>
      <c r="Q135" s="2">
        <v>102275.73000000001</v>
      </c>
      <c r="R135" s="2">
        <v>102275.73000000001</v>
      </c>
      <c r="S135" s="2">
        <v>102275.73000000001</v>
      </c>
      <c r="T135" s="2">
        <v>102275.73000000001</v>
      </c>
      <c r="U135" s="2">
        <v>102275.73000000001</v>
      </c>
      <c r="V135" s="2">
        <v>102275.73000000001</v>
      </c>
      <c r="W135" s="2">
        <v>102275.73000000001</v>
      </c>
      <c r="X135" s="2">
        <v>102275.73000000001</v>
      </c>
      <c r="Y135" s="2">
        <v>102275.73000000001</v>
      </c>
      <c r="Z135" s="2">
        <v>102275.73000000001</v>
      </c>
      <c r="AA135" s="2">
        <v>102275.73000000001</v>
      </c>
      <c r="AB135" s="2">
        <v>102275.73000000001</v>
      </c>
      <c r="AC135" s="2">
        <v>102275.73000000001</v>
      </c>
      <c r="AD135" s="2">
        <v>102275.73000000001</v>
      </c>
      <c r="AE135" s="2">
        <v>102275.73000000001</v>
      </c>
      <c r="AF135" s="2"/>
      <c r="AG135" s="16">
        <f t="shared" si="5"/>
        <v>102275.73000000001</v>
      </c>
      <c r="AH135" s="44">
        <v>102275.73</v>
      </c>
    </row>
    <row r="136" spans="1:34" x14ac:dyDescent="0.35">
      <c r="A136" s="29" t="s">
        <v>273</v>
      </c>
      <c r="B136" s="267">
        <v>112344.72</v>
      </c>
      <c r="C136" s="268">
        <v>112344.72</v>
      </c>
      <c r="D136" s="268">
        <v>112344.72</v>
      </c>
      <c r="E136" s="268">
        <v>112344.72</v>
      </c>
      <c r="F136" s="268">
        <v>112344.72</v>
      </c>
      <c r="G136" s="268">
        <v>112344.72</v>
      </c>
      <c r="H136" s="268">
        <v>112344.72</v>
      </c>
      <c r="I136" s="268">
        <v>112344.72</v>
      </c>
      <c r="J136" s="268">
        <v>112344.72</v>
      </c>
      <c r="K136" s="268">
        <v>112344.72</v>
      </c>
      <c r="L136" s="268">
        <v>112344.72</v>
      </c>
      <c r="M136" s="268">
        <v>112344.72</v>
      </c>
      <c r="N136" s="268">
        <v>112344.72</v>
      </c>
      <c r="O136" s="268">
        <v>112344.72</v>
      </c>
      <c r="P136" s="268">
        <v>112344.72</v>
      </c>
      <c r="Q136" s="268">
        <v>112344.72</v>
      </c>
      <c r="R136" s="268">
        <v>112344.72</v>
      </c>
      <c r="S136" s="268">
        <v>112344.72</v>
      </c>
      <c r="T136" s="268">
        <v>112344.72</v>
      </c>
      <c r="U136" s="268">
        <v>112344.72</v>
      </c>
      <c r="V136" s="268">
        <v>112344.72</v>
      </c>
      <c r="W136" s="268">
        <v>112344.72</v>
      </c>
      <c r="X136" s="268">
        <v>112344.72</v>
      </c>
      <c r="Y136" s="268">
        <v>112344.72</v>
      </c>
      <c r="Z136" s="268">
        <v>112344.72</v>
      </c>
      <c r="AA136" s="268">
        <v>112344.72</v>
      </c>
      <c r="AB136" s="268">
        <v>112344.72</v>
      </c>
      <c r="AC136" s="268">
        <v>112344.72</v>
      </c>
      <c r="AD136" s="268">
        <v>112344.72</v>
      </c>
      <c r="AE136" s="268">
        <v>112344.72</v>
      </c>
      <c r="AF136" s="269"/>
      <c r="AG136" s="254">
        <f t="shared" si="5"/>
        <v>112344.72</v>
      </c>
      <c r="AH136" s="44">
        <v>112344.72</v>
      </c>
    </row>
    <row r="137" spans="1:34" x14ac:dyDescent="0.35">
      <c r="A137" s="30" t="s">
        <v>275</v>
      </c>
      <c r="B137" s="270">
        <v>106250.8</v>
      </c>
      <c r="C137" s="271">
        <v>106250.8</v>
      </c>
      <c r="D137" s="271">
        <v>106250.8</v>
      </c>
      <c r="E137" s="271">
        <v>106250.8</v>
      </c>
      <c r="F137" s="271">
        <v>106250.8</v>
      </c>
      <c r="G137" s="271">
        <v>106250.8</v>
      </c>
      <c r="H137" s="271">
        <v>106250.8</v>
      </c>
      <c r="I137" s="271">
        <v>106250.8</v>
      </c>
      <c r="J137" s="271">
        <v>106250.8</v>
      </c>
      <c r="K137" s="271">
        <v>106250.8</v>
      </c>
      <c r="L137" s="271">
        <v>106250.8</v>
      </c>
      <c r="M137" s="271">
        <v>106250.8</v>
      </c>
      <c r="N137" s="271">
        <v>106250.8</v>
      </c>
      <c r="O137" s="271">
        <v>106250.8</v>
      </c>
      <c r="P137" s="271">
        <v>106250.8</v>
      </c>
      <c r="Q137" s="271">
        <v>106250.8</v>
      </c>
      <c r="R137" s="271">
        <v>106250.8</v>
      </c>
      <c r="S137" s="271">
        <v>106250.8</v>
      </c>
      <c r="T137" s="271">
        <v>106250.8</v>
      </c>
      <c r="U137" s="271">
        <v>106250.8</v>
      </c>
      <c r="V137" s="271">
        <v>106250.8</v>
      </c>
      <c r="W137" s="271">
        <v>106250.8</v>
      </c>
      <c r="X137" s="271">
        <v>106250.8</v>
      </c>
      <c r="Y137" s="271">
        <v>106250.8</v>
      </c>
      <c r="Z137" s="271">
        <v>106250.8</v>
      </c>
      <c r="AA137" s="271">
        <v>106250.8</v>
      </c>
      <c r="AB137" s="271">
        <v>106250.8</v>
      </c>
      <c r="AC137" s="271">
        <v>106250.8</v>
      </c>
      <c r="AD137" s="271">
        <v>106250.8</v>
      </c>
      <c r="AE137" s="271">
        <v>106250.8</v>
      </c>
      <c r="AF137" s="272"/>
      <c r="AG137" s="257">
        <f t="shared" si="5"/>
        <v>106250.8</v>
      </c>
      <c r="AH137" s="44">
        <v>106250.8</v>
      </c>
    </row>
    <row r="138" spans="1:34" x14ac:dyDescent="0.35">
      <c r="A138" s="30" t="s">
        <v>276</v>
      </c>
      <c r="B138" s="270">
        <v>440284</v>
      </c>
      <c r="C138" s="271">
        <v>440284</v>
      </c>
      <c r="D138" s="271">
        <v>440284</v>
      </c>
      <c r="E138" s="271">
        <v>440284</v>
      </c>
      <c r="F138" s="271">
        <v>440284</v>
      </c>
      <c r="G138" s="271">
        <v>440284</v>
      </c>
      <c r="H138" s="271">
        <v>440284</v>
      </c>
      <c r="I138" s="271">
        <v>440284</v>
      </c>
      <c r="J138" s="271">
        <v>440284</v>
      </c>
      <c r="K138" s="271">
        <v>440284</v>
      </c>
      <c r="L138" s="271">
        <v>440284</v>
      </c>
      <c r="M138" s="271">
        <v>440284</v>
      </c>
      <c r="N138" s="271">
        <v>440284</v>
      </c>
      <c r="O138" s="271">
        <v>440284</v>
      </c>
      <c r="P138" s="271">
        <v>440284</v>
      </c>
      <c r="Q138" s="271">
        <v>440284</v>
      </c>
      <c r="R138" s="271">
        <v>440284</v>
      </c>
      <c r="S138" s="271">
        <v>440284</v>
      </c>
      <c r="T138" s="271">
        <v>440284</v>
      </c>
      <c r="U138" s="271">
        <v>440284</v>
      </c>
      <c r="V138" s="271">
        <v>440284</v>
      </c>
      <c r="W138" s="271">
        <v>440284</v>
      </c>
      <c r="X138" s="271">
        <v>440284</v>
      </c>
      <c r="Y138" s="271">
        <v>440284</v>
      </c>
      <c r="Z138" s="271">
        <v>440284</v>
      </c>
      <c r="AA138" s="271">
        <v>440284</v>
      </c>
      <c r="AB138" s="271">
        <v>440284</v>
      </c>
      <c r="AC138" s="271">
        <v>440284</v>
      </c>
      <c r="AD138" s="271">
        <v>440284</v>
      </c>
      <c r="AE138" s="271">
        <v>440284</v>
      </c>
      <c r="AF138" s="272"/>
      <c r="AG138" s="257">
        <f t="shared" si="5"/>
        <v>440284</v>
      </c>
      <c r="AH138" s="44">
        <v>440284</v>
      </c>
    </row>
    <row r="139" spans="1:34" x14ac:dyDescent="0.35">
      <c r="A139" s="30" t="s">
        <v>277</v>
      </c>
      <c r="B139" s="270">
        <v>439431.32</v>
      </c>
      <c r="C139" s="271">
        <v>439431.32</v>
      </c>
      <c r="D139" s="271">
        <v>439431.32</v>
      </c>
      <c r="E139" s="271">
        <v>439431.32</v>
      </c>
      <c r="F139" s="271">
        <v>439431.32</v>
      </c>
      <c r="G139" s="271">
        <v>439431.32</v>
      </c>
      <c r="H139" s="271">
        <v>439431.32</v>
      </c>
      <c r="I139" s="271">
        <v>439431.32</v>
      </c>
      <c r="J139" s="271">
        <v>439431.32</v>
      </c>
      <c r="K139" s="271">
        <v>439431.32</v>
      </c>
      <c r="L139" s="271">
        <v>439431.32</v>
      </c>
      <c r="M139" s="271">
        <v>439431.32</v>
      </c>
      <c r="N139" s="271">
        <v>439431.32</v>
      </c>
      <c r="O139" s="271">
        <v>439431.32</v>
      </c>
      <c r="P139" s="271">
        <v>439431.32</v>
      </c>
      <c r="Q139" s="271">
        <v>439431.32</v>
      </c>
      <c r="R139" s="271">
        <v>439431.32</v>
      </c>
      <c r="S139" s="271">
        <v>439431.32</v>
      </c>
      <c r="T139" s="271">
        <v>439431.32</v>
      </c>
      <c r="U139" s="271">
        <v>439431.32</v>
      </c>
      <c r="V139" s="271">
        <v>439431.32</v>
      </c>
      <c r="W139" s="271">
        <v>439431.32</v>
      </c>
      <c r="X139" s="271">
        <v>439431.32</v>
      </c>
      <c r="Y139" s="271">
        <v>439431.32</v>
      </c>
      <c r="Z139" s="271">
        <v>439431.32</v>
      </c>
      <c r="AA139" s="271">
        <v>439431.32</v>
      </c>
      <c r="AB139" s="271">
        <v>439431.32</v>
      </c>
      <c r="AC139" s="271">
        <v>439431.32</v>
      </c>
      <c r="AD139" s="271">
        <v>439431.32</v>
      </c>
      <c r="AE139" s="271">
        <v>439431.32</v>
      </c>
      <c r="AF139" s="272"/>
      <c r="AG139" s="257">
        <f t="shared" si="5"/>
        <v>439431.32</v>
      </c>
      <c r="AH139" s="44">
        <v>439431.32</v>
      </c>
    </row>
    <row r="140" spans="1:34" x14ac:dyDescent="0.35">
      <c r="A140" s="30" t="s">
        <v>278</v>
      </c>
      <c r="B140" s="270">
        <v>413696</v>
      </c>
      <c r="C140" s="271">
        <v>413696</v>
      </c>
      <c r="D140" s="271">
        <v>413696</v>
      </c>
      <c r="E140" s="271">
        <v>413696</v>
      </c>
      <c r="F140" s="271">
        <v>413696</v>
      </c>
      <c r="G140" s="271">
        <v>413696</v>
      </c>
      <c r="H140" s="271">
        <v>413696</v>
      </c>
      <c r="I140" s="271">
        <v>413696</v>
      </c>
      <c r="J140" s="271">
        <v>413696</v>
      </c>
      <c r="K140" s="271">
        <v>413696</v>
      </c>
      <c r="L140" s="271">
        <v>413696</v>
      </c>
      <c r="M140" s="271">
        <v>413696</v>
      </c>
      <c r="N140" s="271">
        <v>413696</v>
      </c>
      <c r="O140" s="271">
        <v>413696</v>
      </c>
      <c r="P140" s="271">
        <v>413696</v>
      </c>
      <c r="Q140" s="271">
        <v>413696</v>
      </c>
      <c r="R140" s="271">
        <v>413696</v>
      </c>
      <c r="S140" s="271">
        <v>413696</v>
      </c>
      <c r="T140" s="271">
        <v>413696</v>
      </c>
      <c r="U140" s="271">
        <v>413696</v>
      </c>
      <c r="V140" s="271">
        <v>413696</v>
      </c>
      <c r="W140" s="271">
        <v>413696</v>
      </c>
      <c r="X140" s="271">
        <v>413696</v>
      </c>
      <c r="Y140" s="271">
        <v>413696</v>
      </c>
      <c r="Z140" s="271">
        <v>413696</v>
      </c>
      <c r="AA140" s="271">
        <v>413696</v>
      </c>
      <c r="AB140" s="271">
        <v>413696</v>
      </c>
      <c r="AC140" s="271">
        <v>413696</v>
      </c>
      <c r="AD140" s="271">
        <v>413696</v>
      </c>
      <c r="AE140" s="271">
        <v>413696</v>
      </c>
      <c r="AF140" s="272"/>
      <c r="AG140" s="257">
        <f t="shared" si="5"/>
        <v>413696</v>
      </c>
      <c r="AH140" s="44">
        <v>413696</v>
      </c>
    </row>
    <row r="141" spans="1:34" x14ac:dyDescent="0.35">
      <c r="A141" s="30" t="s">
        <v>279</v>
      </c>
      <c r="B141" s="270">
        <v>427433.6</v>
      </c>
      <c r="C141" s="271">
        <v>427433.6</v>
      </c>
      <c r="D141" s="271">
        <v>427433.6</v>
      </c>
      <c r="E141" s="271">
        <v>427433.6</v>
      </c>
      <c r="F141" s="271">
        <v>427433.6</v>
      </c>
      <c r="G141" s="271">
        <v>427433.6</v>
      </c>
      <c r="H141" s="271">
        <v>427433.6</v>
      </c>
      <c r="I141" s="271">
        <v>427433.6</v>
      </c>
      <c r="J141" s="271">
        <v>427433.6</v>
      </c>
      <c r="K141" s="271">
        <v>427433.6</v>
      </c>
      <c r="L141" s="271">
        <v>427433.6</v>
      </c>
      <c r="M141" s="271">
        <v>427433.6</v>
      </c>
      <c r="N141" s="271">
        <v>427433.6</v>
      </c>
      <c r="O141" s="271">
        <v>427433.6</v>
      </c>
      <c r="P141" s="271">
        <v>427433.6</v>
      </c>
      <c r="Q141" s="271">
        <v>427433.6</v>
      </c>
      <c r="R141" s="271">
        <v>427433.6</v>
      </c>
      <c r="S141" s="271">
        <v>427433.6</v>
      </c>
      <c r="T141" s="271">
        <v>427433.6</v>
      </c>
      <c r="U141" s="271">
        <v>427433.6</v>
      </c>
      <c r="V141" s="271">
        <v>427433.6</v>
      </c>
      <c r="W141" s="271">
        <v>427433.6</v>
      </c>
      <c r="X141" s="271">
        <v>427433.6</v>
      </c>
      <c r="Y141" s="271">
        <v>427433.6</v>
      </c>
      <c r="Z141" s="271">
        <v>427433.6</v>
      </c>
      <c r="AA141" s="271">
        <v>427433.6</v>
      </c>
      <c r="AB141" s="271">
        <v>427433.6</v>
      </c>
      <c r="AC141" s="271">
        <v>427433.6</v>
      </c>
      <c r="AD141" s="271">
        <v>427433.6</v>
      </c>
      <c r="AE141" s="271">
        <v>427433.6</v>
      </c>
      <c r="AF141" s="272"/>
      <c r="AG141" s="257">
        <f t="shared" si="5"/>
        <v>427433.6</v>
      </c>
      <c r="AH141" s="44">
        <v>427433.6</v>
      </c>
    </row>
    <row r="142" spans="1:34" x14ac:dyDescent="0.35">
      <c r="A142" s="30" t="s">
        <v>280</v>
      </c>
      <c r="B142" s="270">
        <v>417240</v>
      </c>
      <c r="C142" s="271">
        <v>417240</v>
      </c>
      <c r="D142" s="271">
        <v>417240</v>
      </c>
      <c r="E142" s="271">
        <v>417240</v>
      </c>
      <c r="F142" s="271">
        <v>417240</v>
      </c>
      <c r="G142" s="271">
        <v>417240</v>
      </c>
      <c r="H142" s="271">
        <v>417240</v>
      </c>
      <c r="I142" s="271">
        <v>417240</v>
      </c>
      <c r="J142" s="271">
        <v>417240</v>
      </c>
      <c r="K142" s="271">
        <v>417240</v>
      </c>
      <c r="L142" s="271">
        <v>417240</v>
      </c>
      <c r="M142" s="271">
        <v>417240</v>
      </c>
      <c r="N142" s="271">
        <v>417240</v>
      </c>
      <c r="O142" s="271">
        <v>417240</v>
      </c>
      <c r="P142" s="271">
        <v>417240</v>
      </c>
      <c r="Q142" s="271">
        <v>417240</v>
      </c>
      <c r="R142" s="271">
        <v>417240</v>
      </c>
      <c r="S142" s="271">
        <v>417240</v>
      </c>
      <c r="T142" s="271">
        <v>417240</v>
      </c>
      <c r="U142" s="271">
        <v>417240</v>
      </c>
      <c r="V142" s="271">
        <v>417240</v>
      </c>
      <c r="W142" s="271">
        <v>417240</v>
      </c>
      <c r="X142" s="271">
        <v>417240</v>
      </c>
      <c r="Y142" s="271">
        <v>417240</v>
      </c>
      <c r="Z142" s="271">
        <v>417240</v>
      </c>
      <c r="AA142" s="271">
        <v>417240</v>
      </c>
      <c r="AB142" s="271">
        <v>417240</v>
      </c>
      <c r="AC142" s="271">
        <v>417240</v>
      </c>
      <c r="AD142" s="271">
        <v>417240</v>
      </c>
      <c r="AE142" s="271">
        <v>417240</v>
      </c>
      <c r="AF142" s="272"/>
      <c r="AG142" s="257">
        <f t="shared" si="5"/>
        <v>417240</v>
      </c>
      <c r="AH142" s="44">
        <v>417240</v>
      </c>
    </row>
    <row r="143" spans="1:34" x14ac:dyDescent="0.35">
      <c r="A143" s="30" t="s">
        <v>281</v>
      </c>
      <c r="B143" s="270">
        <v>415256</v>
      </c>
      <c r="C143" s="271">
        <v>415256</v>
      </c>
      <c r="D143" s="271">
        <v>415256</v>
      </c>
      <c r="E143" s="271">
        <v>415256</v>
      </c>
      <c r="F143" s="271">
        <v>415256</v>
      </c>
      <c r="G143" s="271">
        <v>415256</v>
      </c>
      <c r="H143" s="271">
        <v>415256</v>
      </c>
      <c r="I143" s="271">
        <v>415256</v>
      </c>
      <c r="J143" s="271">
        <v>415256</v>
      </c>
      <c r="K143" s="271">
        <v>415256</v>
      </c>
      <c r="L143" s="271">
        <v>415256</v>
      </c>
      <c r="M143" s="271">
        <v>415256</v>
      </c>
      <c r="N143" s="271">
        <v>415256</v>
      </c>
      <c r="O143" s="271">
        <v>415256</v>
      </c>
      <c r="P143" s="271">
        <v>415256</v>
      </c>
      <c r="Q143" s="271">
        <v>415256</v>
      </c>
      <c r="R143" s="271">
        <v>415256</v>
      </c>
      <c r="S143" s="271">
        <v>415256</v>
      </c>
      <c r="T143" s="271">
        <v>415256</v>
      </c>
      <c r="U143" s="271">
        <v>415256</v>
      </c>
      <c r="V143" s="271">
        <v>415256</v>
      </c>
      <c r="W143" s="271">
        <v>415256</v>
      </c>
      <c r="X143" s="271">
        <v>415256</v>
      </c>
      <c r="Y143" s="271">
        <v>415256</v>
      </c>
      <c r="Z143" s="271">
        <v>415256</v>
      </c>
      <c r="AA143" s="271">
        <v>415256</v>
      </c>
      <c r="AB143" s="271">
        <v>415256</v>
      </c>
      <c r="AC143" s="271">
        <v>415256</v>
      </c>
      <c r="AD143" s="271">
        <v>415256</v>
      </c>
      <c r="AE143" s="271">
        <v>415256</v>
      </c>
      <c r="AF143" s="272"/>
      <c r="AG143" s="257">
        <f t="shared" si="5"/>
        <v>415256</v>
      </c>
      <c r="AH143" s="44">
        <v>415256</v>
      </c>
    </row>
    <row r="144" spans="1:34" x14ac:dyDescent="0.35">
      <c r="A144" s="30" t="s">
        <v>282</v>
      </c>
      <c r="B144" s="270">
        <v>398196.04</v>
      </c>
      <c r="C144" s="271">
        <v>398196.04</v>
      </c>
      <c r="D144" s="271">
        <v>398196.04</v>
      </c>
      <c r="E144" s="271">
        <v>398196.04</v>
      </c>
      <c r="F144" s="271">
        <v>398196.04</v>
      </c>
      <c r="G144" s="271">
        <v>398196.04</v>
      </c>
      <c r="H144" s="271">
        <v>398196.04</v>
      </c>
      <c r="I144" s="271">
        <v>398196.04</v>
      </c>
      <c r="J144" s="271">
        <v>398196.04</v>
      </c>
      <c r="K144" s="271">
        <v>398196.04</v>
      </c>
      <c r="L144" s="271">
        <v>398196.04</v>
      </c>
      <c r="M144" s="271">
        <v>398196.04</v>
      </c>
      <c r="N144" s="271">
        <v>398196.04</v>
      </c>
      <c r="O144" s="271">
        <v>398196.04</v>
      </c>
      <c r="P144" s="271">
        <v>398196.04</v>
      </c>
      <c r="Q144" s="271">
        <v>398196.04</v>
      </c>
      <c r="R144" s="271">
        <v>398196.04</v>
      </c>
      <c r="S144" s="271">
        <v>398196.04</v>
      </c>
      <c r="T144" s="271">
        <v>398196.04</v>
      </c>
      <c r="U144" s="271">
        <v>398196.04</v>
      </c>
      <c r="V144" s="271">
        <v>398196.04</v>
      </c>
      <c r="W144" s="271">
        <v>398196.04</v>
      </c>
      <c r="X144" s="271">
        <v>398196.04</v>
      </c>
      <c r="Y144" s="271">
        <v>398196.04</v>
      </c>
      <c r="Z144" s="271">
        <v>398196.04</v>
      </c>
      <c r="AA144" s="271">
        <v>398196.04</v>
      </c>
      <c r="AB144" s="271">
        <v>398196.04</v>
      </c>
      <c r="AC144" s="271">
        <v>398196.04</v>
      </c>
      <c r="AD144" s="271">
        <v>398196.04</v>
      </c>
      <c r="AE144" s="271">
        <v>398196.04</v>
      </c>
      <c r="AF144" s="272"/>
      <c r="AG144" s="257">
        <f t="shared" si="5"/>
        <v>398196.04</v>
      </c>
      <c r="AH144" s="44">
        <v>398196.04</v>
      </c>
    </row>
    <row r="145" spans="1:34" x14ac:dyDescent="0.35">
      <c r="A145" s="30" t="s">
        <v>283</v>
      </c>
      <c r="B145" s="270">
        <v>433469</v>
      </c>
      <c r="C145" s="271">
        <v>433469</v>
      </c>
      <c r="D145" s="271">
        <v>433469</v>
      </c>
      <c r="E145" s="271">
        <v>433469</v>
      </c>
      <c r="F145" s="271">
        <v>433469</v>
      </c>
      <c r="G145" s="271">
        <v>433469</v>
      </c>
      <c r="H145" s="271">
        <v>433469</v>
      </c>
      <c r="I145" s="271">
        <v>433469</v>
      </c>
      <c r="J145" s="271">
        <v>433469</v>
      </c>
      <c r="K145" s="271">
        <v>433469</v>
      </c>
      <c r="L145" s="271">
        <v>433469</v>
      </c>
      <c r="M145" s="271">
        <v>433469</v>
      </c>
      <c r="N145" s="271">
        <v>433469</v>
      </c>
      <c r="O145" s="271">
        <v>433469</v>
      </c>
      <c r="P145" s="271">
        <v>433469</v>
      </c>
      <c r="Q145" s="271">
        <v>433469</v>
      </c>
      <c r="R145" s="271">
        <v>433469</v>
      </c>
      <c r="S145" s="271">
        <v>433469</v>
      </c>
      <c r="T145" s="271">
        <v>433469</v>
      </c>
      <c r="U145" s="271">
        <v>433469</v>
      </c>
      <c r="V145" s="271">
        <v>433469</v>
      </c>
      <c r="W145" s="271">
        <v>433469</v>
      </c>
      <c r="X145" s="271">
        <v>433469</v>
      </c>
      <c r="Y145" s="271">
        <v>433469</v>
      </c>
      <c r="Z145" s="271">
        <v>433469</v>
      </c>
      <c r="AA145" s="271">
        <v>433469</v>
      </c>
      <c r="AB145" s="271">
        <v>433469</v>
      </c>
      <c r="AC145" s="271">
        <v>433469</v>
      </c>
      <c r="AD145" s="271">
        <v>433469</v>
      </c>
      <c r="AE145" s="271">
        <v>433469</v>
      </c>
      <c r="AF145" s="272"/>
      <c r="AG145" s="257">
        <f t="shared" si="5"/>
        <v>433469</v>
      </c>
      <c r="AH145" s="44">
        <v>433469</v>
      </c>
    </row>
    <row r="146" spans="1:34" x14ac:dyDescent="0.35">
      <c r="A146" s="30" t="s">
        <v>284</v>
      </c>
      <c r="B146" s="270">
        <v>416804</v>
      </c>
      <c r="C146" s="271">
        <v>416804</v>
      </c>
      <c r="D146" s="271">
        <v>416804</v>
      </c>
      <c r="E146" s="271">
        <v>416804</v>
      </c>
      <c r="F146" s="271">
        <v>416804</v>
      </c>
      <c r="G146" s="271">
        <v>416804</v>
      </c>
      <c r="H146" s="271">
        <v>416804</v>
      </c>
      <c r="I146" s="271">
        <v>416804</v>
      </c>
      <c r="J146" s="271">
        <v>416804</v>
      </c>
      <c r="K146" s="271">
        <v>416804</v>
      </c>
      <c r="L146" s="271">
        <v>416804</v>
      </c>
      <c r="M146" s="271">
        <v>416804</v>
      </c>
      <c r="N146" s="271">
        <v>416804</v>
      </c>
      <c r="O146" s="271">
        <v>416804</v>
      </c>
      <c r="P146" s="271">
        <v>416804</v>
      </c>
      <c r="Q146" s="271">
        <v>416804</v>
      </c>
      <c r="R146" s="271">
        <v>416804</v>
      </c>
      <c r="S146" s="271">
        <v>416804</v>
      </c>
      <c r="T146" s="271">
        <v>416804</v>
      </c>
      <c r="U146" s="271">
        <v>416804</v>
      </c>
      <c r="V146" s="271">
        <v>416804</v>
      </c>
      <c r="W146" s="271">
        <v>416804</v>
      </c>
      <c r="X146" s="271">
        <v>416804</v>
      </c>
      <c r="Y146" s="271">
        <v>416804</v>
      </c>
      <c r="Z146" s="271">
        <v>416804</v>
      </c>
      <c r="AA146" s="271">
        <v>416804</v>
      </c>
      <c r="AB146" s="271">
        <v>416804</v>
      </c>
      <c r="AC146" s="271">
        <v>416804</v>
      </c>
      <c r="AD146" s="271">
        <v>416804</v>
      </c>
      <c r="AE146" s="271">
        <v>416804</v>
      </c>
      <c r="AF146" s="272"/>
      <c r="AG146" s="257">
        <f t="shared" si="5"/>
        <v>416804</v>
      </c>
      <c r="AH146" s="44">
        <v>416804</v>
      </c>
    </row>
    <row r="147" spans="1:34" x14ac:dyDescent="0.35">
      <c r="A147" s="30" t="s">
        <v>286</v>
      </c>
      <c r="B147" s="270">
        <v>407088</v>
      </c>
      <c r="C147" s="271">
        <v>407088</v>
      </c>
      <c r="D147" s="271">
        <v>407088</v>
      </c>
      <c r="E147" s="271">
        <v>407088</v>
      </c>
      <c r="F147" s="271">
        <v>407088</v>
      </c>
      <c r="G147" s="271">
        <v>407088</v>
      </c>
      <c r="H147" s="271">
        <v>407088</v>
      </c>
      <c r="I147" s="271">
        <v>407088</v>
      </c>
      <c r="J147" s="271">
        <v>407088</v>
      </c>
      <c r="K147" s="271">
        <v>407088</v>
      </c>
      <c r="L147" s="271">
        <v>407088</v>
      </c>
      <c r="M147" s="271">
        <v>407088</v>
      </c>
      <c r="N147" s="271">
        <v>407088</v>
      </c>
      <c r="O147" s="271">
        <v>407088</v>
      </c>
      <c r="P147" s="271">
        <v>407088</v>
      </c>
      <c r="Q147" s="271">
        <v>407088</v>
      </c>
      <c r="R147" s="271">
        <v>407088</v>
      </c>
      <c r="S147" s="271">
        <v>407088</v>
      </c>
      <c r="T147" s="271">
        <v>407088</v>
      </c>
      <c r="U147" s="271">
        <v>407088</v>
      </c>
      <c r="V147" s="271">
        <v>407088</v>
      </c>
      <c r="W147" s="271">
        <v>407088</v>
      </c>
      <c r="X147" s="271">
        <v>407088</v>
      </c>
      <c r="Y147" s="271">
        <v>407088</v>
      </c>
      <c r="Z147" s="271">
        <v>407088</v>
      </c>
      <c r="AA147" s="271">
        <v>407088</v>
      </c>
      <c r="AB147" s="271">
        <v>407088</v>
      </c>
      <c r="AC147" s="271">
        <v>407088</v>
      </c>
      <c r="AD147" s="271">
        <v>407088</v>
      </c>
      <c r="AE147" s="271">
        <v>407088</v>
      </c>
      <c r="AF147" s="272"/>
      <c r="AG147" s="257">
        <f t="shared" si="5"/>
        <v>407088</v>
      </c>
      <c r="AH147" s="44">
        <v>407088</v>
      </c>
    </row>
    <row r="148" spans="1:34" x14ac:dyDescent="0.35">
      <c r="A148" s="30" t="s">
        <v>287</v>
      </c>
      <c r="B148" s="270">
        <v>415152</v>
      </c>
      <c r="C148" s="271">
        <v>415152</v>
      </c>
      <c r="D148" s="271">
        <v>415152</v>
      </c>
      <c r="E148" s="271">
        <v>415152</v>
      </c>
      <c r="F148" s="271">
        <v>415152</v>
      </c>
      <c r="G148" s="271">
        <v>415152</v>
      </c>
      <c r="H148" s="271">
        <v>415152</v>
      </c>
      <c r="I148" s="271">
        <v>415152</v>
      </c>
      <c r="J148" s="271">
        <v>415152</v>
      </c>
      <c r="K148" s="271">
        <v>415152</v>
      </c>
      <c r="L148" s="271">
        <v>415152</v>
      </c>
      <c r="M148" s="271">
        <v>415152</v>
      </c>
      <c r="N148" s="271">
        <v>415152</v>
      </c>
      <c r="O148" s="271">
        <v>415152</v>
      </c>
      <c r="P148" s="271">
        <v>415152</v>
      </c>
      <c r="Q148" s="271">
        <v>415152</v>
      </c>
      <c r="R148" s="271">
        <v>415152</v>
      </c>
      <c r="S148" s="271">
        <v>415152</v>
      </c>
      <c r="T148" s="271">
        <v>415152</v>
      </c>
      <c r="U148" s="271">
        <v>415152</v>
      </c>
      <c r="V148" s="271">
        <v>415152</v>
      </c>
      <c r="W148" s="271">
        <v>415152</v>
      </c>
      <c r="X148" s="271">
        <v>415152</v>
      </c>
      <c r="Y148" s="271">
        <v>415152</v>
      </c>
      <c r="Z148" s="271">
        <v>415152</v>
      </c>
      <c r="AA148" s="271">
        <v>415152</v>
      </c>
      <c r="AB148" s="271">
        <v>415152</v>
      </c>
      <c r="AC148" s="271">
        <v>415152</v>
      </c>
      <c r="AD148" s="271">
        <v>415152</v>
      </c>
      <c r="AE148" s="271">
        <v>415152</v>
      </c>
      <c r="AF148" s="272"/>
      <c r="AG148" s="257">
        <f t="shared" si="5"/>
        <v>415152</v>
      </c>
      <c r="AH148" s="44">
        <v>415152</v>
      </c>
    </row>
    <row r="149" spans="1:34" x14ac:dyDescent="0.35">
      <c r="A149" s="30" t="s">
        <v>288</v>
      </c>
      <c r="B149" s="270">
        <v>410628</v>
      </c>
      <c r="C149" s="271">
        <v>410628</v>
      </c>
      <c r="D149" s="271">
        <v>410628</v>
      </c>
      <c r="E149" s="271">
        <v>410628</v>
      </c>
      <c r="F149" s="271">
        <v>410628</v>
      </c>
      <c r="G149" s="271">
        <v>410628</v>
      </c>
      <c r="H149" s="271">
        <v>410628</v>
      </c>
      <c r="I149" s="271">
        <v>410628</v>
      </c>
      <c r="J149" s="271">
        <v>410628</v>
      </c>
      <c r="K149" s="271">
        <v>410628</v>
      </c>
      <c r="L149" s="271">
        <v>410628</v>
      </c>
      <c r="M149" s="271">
        <v>410628</v>
      </c>
      <c r="N149" s="271">
        <v>410628</v>
      </c>
      <c r="O149" s="271">
        <v>410628</v>
      </c>
      <c r="P149" s="271">
        <v>410628</v>
      </c>
      <c r="Q149" s="271">
        <v>410628</v>
      </c>
      <c r="R149" s="271">
        <v>410628</v>
      </c>
      <c r="S149" s="271">
        <v>410628</v>
      </c>
      <c r="T149" s="271">
        <v>410628</v>
      </c>
      <c r="U149" s="271">
        <v>410628</v>
      </c>
      <c r="V149" s="271">
        <v>410628</v>
      </c>
      <c r="W149" s="271">
        <v>410628</v>
      </c>
      <c r="X149" s="271">
        <v>410628</v>
      </c>
      <c r="Y149" s="271">
        <v>410628</v>
      </c>
      <c r="Z149" s="271">
        <v>410628</v>
      </c>
      <c r="AA149" s="271">
        <v>410628</v>
      </c>
      <c r="AB149" s="271">
        <v>410628</v>
      </c>
      <c r="AC149" s="271">
        <v>410628</v>
      </c>
      <c r="AD149" s="271">
        <v>410628</v>
      </c>
      <c r="AE149" s="271">
        <v>410628</v>
      </c>
      <c r="AF149" s="272"/>
      <c r="AG149" s="257">
        <f t="shared" si="5"/>
        <v>410628</v>
      </c>
      <c r="AH149" s="44">
        <v>410628</v>
      </c>
    </row>
    <row r="150" spans="1:34" x14ac:dyDescent="0.35">
      <c r="A150" s="30" t="s">
        <v>289</v>
      </c>
      <c r="B150" s="270">
        <v>430174.36</v>
      </c>
      <c r="C150" s="271">
        <v>430174.36</v>
      </c>
      <c r="D150" s="271">
        <v>430174.36</v>
      </c>
      <c r="E150" s="271">
        <v>430174.36</v>
      </c>
      <c r="F150" s="271">
        <v>430174.36</v>
      </c>
      <c r="G150" s="271">
        <v>430174.36</v>
      </c>
      <c r="H150" s="271">
        <v>430174.36</v>
      </c>
      <c r="I150" s="271">
        <v>430174.36</v>
      </c>
      <c r="J150" s="271">
        <v>430174.36</v>
      </c>
      <c r="K150" s="271">
        <v>430174.36</v>
      </c>
      <c r="L150" s="271">
        <v>430174.36</v>
      </c>
      <c r="M150" s="271">
        <v>430174.36</v>
      </c>
      <c r="N150" s="271">
        <v>430174.36</v>
      </c>
      <c r="O150" s="271">
        <v>430174.36</v>
      </c>
      <c r="P150" s="271">
        <v>430174.36</v>
      </c>
      <c r="Q150" s="271">
        <v>430174.36</v>
      </c>
      <c r="R150" s="271">
        <v>430174.36</v>
      </c>
      <c r="S150" s="271">
        <v>430174.36</v>
      </c>
      <c r="T150" s="271">
        <v>430174.36</v>
      </c>
      <c r="U150" s="271">
        <v>430174.36</v>
      </c>
      <c r="V150" s="271">
        <v>430174.36</v>
      </c>
      <c r="W150" s="271">
        <v>430174.36</v>
      </c>
      <c r="X150" s="271">
        <v>430174.36</v>
      </c>
      <c r="Y150" s="271">
        <v>430174.36</v>
      </c>
      <c r="Z150" s="271">
        <v>430174.36</v>
      </c>
      <c r="AA150" s="271">
        <v>430174.36</v>
      </c>
      <c r="AB150" s="271">
        <v>430174.36</v>
      </c>
      <c r="AC150" s="271">
        <v>430174.36</v>
      </c>
      <c r="AD150" s="271">
        <v>430174.36</v>
      </c>
      <c r="AE150" s="271">
        <v>430174.36</v>
      </c>
      <c r="AF150" s="272"/>
      <c r="AG150" s="257">
        <f t="shared" si="5"/>
        <v>430174.36</v>
      </c>
      <c r="AH150" s="44">
        <v>430174.36</v>
      </c>
    </row>
    <row r="151" spans="1:34" x14ac:dyDescent="0.35">
      <c r="A151" s="30" t="s">
        <v>290</v>
      </c>
      <c r="B151" s="270">
        <v>410516</v>
      </c>
      <c r="C151" s="271">
        <v>410516</v>
      </c>
      <c r="D151" s="271">
        <v>410516</v>
      </c>
      <c r="E151" s="271">
        <v>410516</v>
      </c>
      <c r="F151" s="271">
        <v>410516</v>
      </c>
      <c r="G151" s="271">
        <v>410516</v>
      </c>
      <c r="H151" s="271">
        <v>410516</v>
      </c>
      <c r="I151" s="271">
        <v>410516</v>
      </c>
      <c r="J151" s="271">
        <v>410516</v>
      </c>
      <c r="K151" s="271">
        <v>410516</v>
      </c>
      <c r="L151" s="271">
        <v>410516</v>
      </c>
      <c r="M151" s="271">
        <v>410516</v>
      </c>
      <c r="N151" s="271">
        <v>410516</v>
      </c>
      <c r="O151" s="271">
        <v>410516</v>
      </c>
      <c r="P151" s="271">
        <v>410516</v>
      </c>
      <c r="Q151" s="271">
        <v>410516</v>
      </c>
      <c r="R151" s="271">
        <v>410516</v>
      </c>
      <c r="S151" s="271">
        <v>410516</v>
      </c>
      <c r="T151" s="271">
        <v>410516</v>
      </c>
      <c r="U151" s="271">
        <v>410516</v>
      </c>
      <c r="V151" s="271">
        <v>410516</v>
      </c>
      <c r="W151" s="271">
        <v>410516</v>
      </c>
      <c r="X151" s="271">
        <v>410516</v>
      </c>
      <c r="Y151" s="271">
        <v>410516</v>
      </c>
      <c r="Z151" s="271">
        <v>410516</v>
      </c>
      <c r="AA151" s="271">
        <v>410516</v>
      </c>
      <c r="AB151" s="271">
        <v>410516</v>
      </c>
      <c r="AC151" s="271">
        <v>410516</v>
      </c>
      <c r="AD151" s="271">
        <v>410516</v>
      </c>
      <c r="AE151" s="271">
        <v>410516</v>
      </c>
      <c r="AF151" s="272"/>
      <c r="AG151" s="257">
        <f t="shared" si="5"/>
        <v>410516</v>
      </c>
      <c r="AH151" s="44">
        <v>410516</v>
      </c>
    </row>
    <row r="152" spans="1:34" x14ac:dyDescent="0.35">
      <c r="A152" s="30" t="s">
        <v>291</v>
      </c>
      <c r="B152" s="270">
        <v>404897.6</v>
      </c>
      <c r="C152" s="271">
        <v>404897.6</v>
      </c>
      <c r="D152" s="271">
        <v>404897.6</v>
      </c>
      <c r="E152" s="271">
        <v>404897.6</v>
      </c>
      <c r="F152" s="271">
        <v>404897.6</v>
      </c>
      <c r="G152" s="271">
        <v>404897.6</v>
      </c>
      <c r="H152" s="271">
        <v>404897.6</v>
      </c>
      <c r="I152" s="271">
        <v>404897.6</v>
      </c>
      <c r="J152" s="271">
        <v>404897.6</v>
      </c>
      <c r="K152" s="271">
        <v>404897.6</v>
      </c>
      <c r="L152" s="271">
        <v>404897.6</v>
      </c>
      <c r="M152" s="271">
        <v>404897.6</v>
      </c>
      <c r="N152" s="271">
        <v>404897.6</v>
      </c>
      <c r="O152" s="271">
        <v>404897.6</v>
      </c>
      <c r="P152" s="271">
        <v>404897.6</v>
      </c>
      <c r="Q152" s="271">
        <v>404897.6</v>
      </c>
      <c r="R152" s="271">
        <v>404897.6</v>
      </c>
      <c r="S152" s="271">
        <v>404897.6</v>
      </c>
      <c r="T152" s="271">
        <v>404897.6</v>
      </c>
      <c r="U152" s="271">
        <v>404897.6</v>
      </c>
      <c r="V152" s="271">
        <v>404897.6</v>
      </c>
      <c r="W152" s="271">
        <v>404897.6</v>
      </c>
      <c r="X152" s="271">
        <v>404897.6</v>
      </c>
      <c r="Y152" s="271">
        <v>404897.6</v>
      </c>
      <c r="Z152" s="271">
        <v>404897.6</v>
      </c>
      <c r="AA152" s="271">
        <v>404897.6</v>
      </c>
      <c r="AB152" s="271">
        <v>404897.6</v>
      </c>
      <c r="AC152" s="271">
        <v>404897.6</v>
      </c>
      <c r="AD152" s="271">
        <v>404897.6</v>
      </c>
      <c r="AE152" s="271">
        <v>404897.6</v>
      </c>
      <c r="AF152" s="272"/>
      <c r="AG152" s="257">
        <f t="shared" si="5"/>
        <v>404897.6</v>
      </c>
      <c r="AH152" s="44">
        <v>404897.6</v>
      </c>
    </row>
    <row r="153" spans="1:34" x14ac:dyDescent="0.35">
      <c r="A153" s="30" t="s">
        <v>292</v>
      </c>
      <c r="B153" s="270">
        <v>427666.8</v>
      </c>
      <c r="C153" s="271">
        <v>427666.8</v>
      </c>
      <c r="D153" s="271">
        <v>427666.8</v>
      </c>
      <c r="E153" s="271">
        <v>427666.8</v>
      </c>
      <c r="F153" s="271">
        <v>427666.8</v>
      </c>
      <c r="G153" s="271">
        <v>427666.8</v>
      </c>
      <c r="H153" s="271">
        <v>427666.8</v>
      </c>
      <c r="I153" s="271">
        <v>427666.8</v>
      </c>
      <c r="J153" s="271">
        <v>427666.8</v>
      </c>
      <c r="K153" s="271">
        <v>427666.8</v>
      </c>
      <c r="L153" s="271">
        <v>427666.8</v>
      </c>
      <c r="M153" s="271">
        <v>427666.8</v>
      </c>
      <c r="N153" s="271">
        <v>427666.8</v>
      </c>
      <c r="O153" s="271">
        <v>427666.8</v>
      </c>
      <c r="P153" s="271">
        <v>427666.8</v>
      </c>
      <c r="Q153" s="271">
        <v>427666.8</v>
      </c>
      <c r="R153" s="271">
        <v>427666.8</v>
      </c>
      <c r="S153" s="271">
        <v>427666.8</v>
      </c>
      <c r="T153" s="271">
        <v>427666.8</v>
      </c>
      <c r="U153" s="271">
        <v>427666.8</v>
      </c>
      <c r="V153" s="271">
        <v>427666.8</v>
      </c>
      <c r="W153" s="271">
        <v>427666.8</v>
      </c>
      <c r="X153" s="271">
        <v>427666.8</v>
      </c>
      <c r="Y153" s="271">
        <v>427666.8</v>
      </c>
      <c r="Z153" s="271">
        <v>427666.8</v>
      </c>
      <c r="AA153" s="271">
        <v>427666.8</v>
      </c>
      <c r="AB153" s="271">
        <v>427666.8</v>
      </c>
      <c r="AC153" s="271">
        <v>427666.8</v>
      </c>
      <c r="AD153" s="271">
        <v>427666.8</v>
      </c>
      <c r="AE153" s="271">
        <v>427666.8</v>
      </c>
      <c r="AF153" s="272"/>
      <c r="AG153" s="257">
        <f t="shared" si="5"/>
        <v>427666.8</v>
      </c>
      <c r="AH153" s="44">
        <v>427666.8</v>
      </c>
    </row>
    <row r="154" spans="1:34" x14ac:dyDescent="0.35">
      <c r="A154" s="30" t="s">
        <v>293</v>
      </c>
      <c r="B154" s="270">
        <v>425478.95999999996</v>
      </c>
      <c r="C154" s="271">
        <v>425478.95999999996</v>
      </c>
      <c r="D154" s="271">
        <v>425478.95999999996</v>
      </c>
      <c r="E154" s="271">
        <v>425478.95999999996</v>
      </c>
      <c r="F154" s="271">
        <v>425478.95999999996</v>
      </c>
      <c r="G154" s="271">
        <v>425478.95999999996</v>
      </c>
      <c r="H154" s="271">
        <v>425478.95999999996</v>
      </c>
      <c r="I154" s="271">
        <v>425478.95999999996</v>
      </c>
      <c r="J154" s="271">
        <v>425478.95999999996</v>
      </c>
      <c r="K154" s="271">
        <v>425478.95999999996</v>
      </c>
      <c r="L154" s="271">
        <v>425478.95999999996</v>
      </c>
      <c r="M154" s="271">
        <v>425478.95999999996</v>
      </c>
      <c r="N154" s="271">
        <v>425478.95999999996</v>
      </c>
      <c r="O154" s="271">
        <v>425478.95999999996</v>
      </c>
      <c r="P154" s="271">
        <v>425478.95999999996</v>
      </c>
      <c r="Q154" s="271">
        <v>425478.95999999996</v>
      </c>
      <c r="R154" s="271">
        <v>425478.95999999996</v>
      </c>
      <c r="S154" s="271">
        <v>425478.95999999996</v>
      </c>
      <c r="T154" s="271">
        <v>425478.95999999996</v>
      </c>
      <c r="U154" s="271">
        <v>425478.95999999996</v>
      </c>
      <c r="V154" s="271">
        <v>425478.95999999996</v>
      </c>
      <c r="W154" s="271">
        <v>425478.95999999996</v>
      </c>
      <c r="X154" s="271">
        <v>425478.95999999996</v>
      </c>
      <c r="Y154" s="271">
        <v>425478.95999999996</v>
      </c>
      <c r="Z154" s="271">
        <v>425478.95999999996</v>
      </c>
      <c r="AA154" s="271">
        <v>425478.95999999996</v>
      </c>
      <c r="AB154" s="271">
        <v>425478.95999999996</v>
      </c>
      <c r="AC154" s="271">
        <v>425478.95999999996</v>
      </c>
      <c r="AD154" s="271">
        <v>425478.95999999996</v>
      </c>
      <c r="AE154" s="271">
        <v>425478.95999999996</v>
      </c>
      <c r="AF154" s="272"/>
      <c r="AG154" s="257">
        <f t="shared" si="5"/>
        <v>425478.95999999996</v>
      </c>
      <c r="AH154" s="44">
        <v>425478.96</v>
      </c>
    </row>
    <row r="155" spans="1:34" x14ac:dyDescent="0.35">
      <c r="A155" s="30" t="s">
        <v>294</v>
      </c>
      <c r="B155" s="270">
        <v>394108</v>
      </c>
      <c r="C155" s="271">
        <v>394108</v>
      </c>
      <c r="D155" s="271">
        <v>394108</v>
      </c>
      <c r="E155" s="271">
        <v>394108</v>
      </c>
      <c r="F155" s="271">
        <v>394108</v>
      </c>
      <c r="G155" s="271">
        <v>394108</v>
      </c>
      <c r="H155" s="271">
        <v>394108</v>
      </c>
      <c r="I155" s="271">
        <v>394108</v>
      </c>
      <c r="J155" s="271">
        <v>394108</v>
      </c>
      <c r="K155" s="271">
        <v>394108</v>
      </c>
      <c r="L155" s="271">
        <v>394108</v>
      </c>
      <c r="M155" s="271">
        <v>394108</v>
      </c>
      <c r="N155" s="271">
        <v>394108</v>
      </c>
      <c r="O155" s="271">
        <v>394108</v>
      </c>
      <c r="P155" s="271">
        <v>394108</v>
      </c>
      <c r="Q155" s="271">
        <v>394108</v>
      </c>
      <c r="R155" s="271">
        <v>394108</v>
      </c>
      <c r="S155" s="271">
        <v>394108</v>
      </c>
      <c r="T155" s="271">
        <v>394108</v>
      </c>
      <c r="U155" s="271">
        <v>394108</v>
      </c>
      <c r="V155" s="271">
        <v>394108</v>
      </c>
      <c r="W155" s="271">
        <v>394108</v>
      </c>
      <c r="X155" s="271">
        <v>394108</v>
      </c>
      <c r="Y155" s="271">
        <v>394108</v>
      </c>
      <c r="Z155" s="271">
        <v>394108</v>
      </c>
      <c r="AA155" s="271">
        <v>394108</v>
      </c>
      <c r="AB155" s="271">
        <v>394108</v>
      </c>
      <c r="AC155" s="271">
        <v>394108</v>
      </c>
      <c r="AD155" s="271">
        <v>394108</v>
      </c>
      <c r="AE155" s="271">
        <v>394108</v>
      </c>
      <c r="AF155" s="272"/>
      <c r="AG155" s="257">
        <f t="shared" si="5"/>
        <v>394108</v>
      </c>
      <c r="AH155" s="44">
        <v>394108</v>
      </c>
    </row>
    <row r="156" spans="1:34" x14ac:dyDescent="0.35">
      <c r="A156" s="30" t="s">
        <v>295</v>
      </c>
      <c r="B156" s="270">
        <v>406138.17</v>
      </c>
      <c r="C156" s="271">
        <v>406138.17</v>
      </c>
      <c r="D156" s="271">
        <v>406138.17</v>
      </c>
      <c r="E156" s="271">
        <v>406138.17</v>
      </c>
      <c r="F156" s="271">
        <v>406138.17</v>
      </c>
      <c r="G156" s="271">
        <v>406138.17</v>
      </c>
      <c r="H156" s="271">
        <v>406138.17</v>
      </c>
      <c r="I156" s="271">
        <v>406138.17</v>
      </c>
      <c r="J156" s="271">
        <v>406138.17</v>
      </c>
      <c r="K156" s="271">
        <v>406138.17</v>
      </c>
      <c r="L156" s="271">
        <v>406138.17</v>
      </c>
      <c r="M156" s="271">
        <v>406138.17</v>
      </c>
      <c r="N156" s="271">
        <v>406138.17</v>
      </c>
      <c r="O156" s="271">
        <v>406138.17</v>
      </c>
      <c r="P156" s="271">
        <v>406138.17</v>
      </c>
      <c r="Q156" s="271">
        <v>406138.17</v>
      </c>
      <c r="R156" s="271">
        <v>406138.17</v>
      </c>
      <c r="S156" s="271">
        <v>406138.17</v>
      </c>
      <c r="T156" s="271">
        <v>406138.17</v>
      </c>
      <c r="U156" s="271">
        <v>406138.17</v>
      </c>
      <c r="V156" s="271">
        <v>406138.17</v>
      </c>
      <c r="W156" s="271">
        <v>406138.17</v>
      </c>
      <c r="X156" s="271">
        <v>406138.17</v>
      </c>
      <c r="Y156" s="271">
        <v>406138.17</v>
      </c>
      <c r="Z156" s="271">
        <v>406138.17</v>
      </c>
      <c r="AA156" s="271">
        <v>406138.17</v>
      </c>
      <c r="AB156" s="271">
        <v>406138.17</v>
      </c>
      <c r="AC156" s="271">
        <v>406138.17</v>
      </c>
      <c r="AD156" s="271">
        <v>406138.17</v>
      </c>
      <c r="AE156" s="271">
        <v>406138.17</v>
      </c>
      <c r="AF156" s="272"/>
      <c r="AG156" s="257">
        <f t="shared" si="5"/>
        <v>406138.17</v>
      </c>
      <c r="AH156" s="44">
        <v>406138.17</v>
      </c>
    </row>
    <row r="157" spans="1:34" x14ac:dyDescent="0.35">
      <c r="A157" s="30" t="s">
        <v>296</v>
      </c>
      <c r="B157" s="270">
        <v>403044</v>
      </c>
      <c r="C157" s="271">
        <v>403044</v>
      </c>
      <c r="D157" s="271">
        <v>403044</v>
      </c>
      <c r="E157" s="271">
        <v>403044</v>
      </c>
      <c r="F157" s="271">
        <v>403044</v>
      </c>
      <c r="G157" s="271">
        <v>403044</v>
      </c>
      <c r="H157" s="271">
        <v>403044</v>
      </c>
      <c r="I157" s="271">
        <v>403044</v>
      </c>
      <c r="J157" s="271">
        <v>403044</v>
      </c>
      <c r="K157" s="271">
        <v>403044</v>
      </c>
      <c r="L157" s="271">
        <v>403044</v>
      </c>
      <c r="M157" s="271">
        <v>403044</v>
      </c>
      <c r="N157" s="271">
        <v>403044</v>
      </c>
      <c r="O157" s="271">
        <v>403044</v>
      </c>
      <c r="P157" s="271">
        <v>403044</v>
      </c>
      <c r="Q157" s="271">
        <v>403044</v>
      </c>
      <c r="R157" s="271">
        <v>403044</v>
      </c>
      <c r="S157" s="271">
        <v>403044</v>
      </c>
      <c r="T157" s="271">
        <v>403044</v>
      </c>
      <c r="U157" s="271">
        <v>403044</v>
      </c>
      <c r="V157" s="271">
        <v>403044</v>
      </c>
      <c r="W157" s="271">
        <v>403044</v>
      </c>
      <c r="X157" s="271">
        <v>403044</v>
      </c>
      <c r="Y157" s="271">
        <v>403044</v>
      </c>
      <c r="Z157" s="271">
        <v>403044</v>
      </c>
      <c r="AA157" s="271">
        <v>403044</v>
      </c>
      <c r="AB157" s="271">
        <v>403044</v>
      </c>
      <c r="AC157" s="271">
        <v>403044</v>
      </c>
      <c r="AD157" s="271">
        <v>403044</v>
      </c>
      <c r="AE157" s="271">
        <v>403044</v>
      </c>
      <c r="AF157" s="272"/>
      <c r="AG157" s="257">
        <f t="shared" si="5"/>
        <v>403044</v>
      </c>
      <c r="AH157" s="44">
        <v>403044</v>
      </c>
    </row>
    <row r="158" spans="1:34" x14ac:dyDescent="0.35">
      <c r="A158" s="30" t="s">
        <v>298</v>
      </c>
      <c r="B158" s="270">
        <v>292029.59999999998</v>
      </c>
      <c r="C158" s="271">
        <v>292029.59999999998</v>
      </c>
      <c r="D158" s="271">
        <v>292029.59999999998</v>
      </c>
      <c r="E158" s="271">
        <v>292029.59999999998</v>
      </c>
      <c r="F158" s="271">
        <v>292029.59999999998</v>
      </c>
      <c r="G158" s="271">
        <v>292029.59999999998</v>
      </c>
      <c r="H158" s="271">
        <v>292029.59999999998</v>
      </c>
      <c r="I158" s="271">
        <v>292029.59999999998</v>
      </c>
      <c r="J158" s="271">
        <v>292029.59999999998</v>
      </c>
      <c r="K158" s="271">
        <v>292029.59999999998</v>
      </c>
      <c r="L158" s="271">
        <v>292029.59999999998</v>
      </c>
      <c r="M158" s="271">
        <v>292029.59999999998</v>
      </c>
      <c r="N158" s="271">
        <v>292029.59999999998</v>
      </c>
      <c r="O158" s="271">
        <v>292029.59999999998</v>
      </c>
      <c r="P158" s="271">
        <v>292029.59999999998</v>
      </c>
      <c r="Q158" s="271">
        <v>292029.59999999998</v>
      </c>
      <c r="R158" s="271">
        <v>292029.59999999998</v>
      </c>
      <c r="S158" s="271">
        <v>292029.59999999998</v>
      </c>
      <c r="T158" s="271">
        <v>292029.59999999998</v>
      </c>
      <c r="U158" s="271">
        <v>292029.59999999998</v>
      </c>
      <c r="V158" s="271">
        <v>292029.59999999998</v>
      </c>
      <c r="W158" s="271">
        <v>292029.59999999998</v>
      </c>
      <c r="X158" s="271">
        <v>292029.59999999998</v>
      </c>
      <c r="Y158" s="271">
        <v>292029.59999999998</v>
      </c>
      <c r="Z158" s="271">
        <v>292029.59999999998</v>
      </c>
      <c r="AA158" s="271">
        <v>292029.59999999998</v>
      </c>
      <c r="AB158" s="271">
        <v>292029.59999999998</v>
      </c>
      <c r="AC158" s="271">
        <v>292029.59999999998</v>
      </c>
      <c r="AD158" s="271">
        <v>292029.59999999998</v>
      </c>
      <c r="AE158" s="271">
        <v>292029.59999999998</v>
      </c>
      <c r="AF158" s="272"/>
      <c r="AG158" s="257">
        <f t="shared" si="5"/>
        <v>292029.59999999998</v>
      </c>
      <c r="AH158" s="44">
        <v>292029.59999999998</v>
      </c>
    </row>
    <row r="159" spans="1:34" x14ac:dyDescent="0.35">
      <c r="A159" s="30" t="s">
        <v>299</v>
      </c>
      <c r="B159" s="270">
        <v>389484</v>
      </c>
      <c r="C159" s="271">
        <v>389484</v>
      </c>
      <c r="D159" s="271">
        <v>389484</v>
      </c>
      <c r="E159" s="271">
        <v>389484</v>
      </c>
      <c r="F159" s="271">
        <v>389484</v>
      </c>
      <c r="G159" s="271">
        <v>389484</v>
      </c>
      <c r="H159" s="271">
        <v>389484</v>
      </c>
      <c r="I159" s="271">
        <v>389484</v>
      </c>
      <c r="J159" s="271">
        <v>389484</v>
      </c>
      <c r="K159" s="271">
        <v>389484</v>
      </c>
      <c r="L159" s="271">
        <v>389484</v>
      </c>
      <c r="M159" s="271">
        <v>389484</v>
      </c>
      <c r="N159" s="271">
        <v>389484</v>
      </c>
      <c r="O159" s="271">
        <v>389484</v>
      </c>
      <c r="P159" s="271">
        <v>389484</v>
      </c>
      <c r="Q159" s="271">
        <v>389484</v>
      </c>
      <c r="R159" s="271">
        <v>389484</v>
      </c>
      <c r="S159" s="271">
        <v>389484</v>
      </c>
      <c r="T159" s="271">
        <v>389484</v>
      </c>
      <c r="U159" s="271">
        <v>389484</v>
      </c>
      <c r="V159" s="271">
        <v>389484</v>
      </c>
      <c r="W159" s="271">
        <v>389484</v>
      </c>
      <c r="X159" s="271">
        <v>389484</v>
      </c>
      <c r="Y159" s="271">
        <v>389484</v>
      </c>
      <c r="Z159" s="271">
        <v>389484</v>
      </c>
      <c r="AA159" s="271">
        <v>389484</v>
      </c>
      <c r="AB159" s="271">
        <v>389484</v>
      </c>
      <c r="AC159" s="271">
        <v>389484</v>
      </c>
      <c r="AD159" s="271">
        <v>389484</v>
      </c>
      <c r="AE159" s="271">
        <v>389484</v>
      </c>
      <c r="AF159" s="272"/>
      <c r="AG159" s="257">
        <f t="shared" si="5"/>
        <v>389484</v>
      </c>
      <c r="AH159" s="44">
        <v>389484</v>
      </c>
    </row>
    <row r="160" spans="1:34" x14ac:dyDescent="0.35">
      <c r="A160" s="30" t="s">
        <v>300</v>
      </c>
      <c r="B160" s="270">
        <v>336559.6</v>
      </c>
      <c r="C160" s="271">
        <v>336559.6</v>
      </c>
      <c r="D160" s="271">
        <v>336559.6</v>
      </c>
      <c r="E160" s="271">
        <v>336559.6</v>
      </c>
      <c r="F160" s="271">
        <v>336559.6</v>
      </c>
      <c r="G160" s="271">
        <v>336559.6</v>
      </c>
      <c r="H160" s="271">
        <v>336559.6</v>
      </c>
      <c r="I160" s="271">
        <v>336559.6</v>
      </c>
      <c r="J160" s="271">
        <v>336559.6</v>
      </c>
      <c r="K160" s="271">
        <v>336559.6</v>
      </c>
      <c r="L160" s="271">
        <v>336559.6</v>
      </c>
      <c r="M160" s="271">
        <v>336559.6</v>
      </c>
      <c r="N160" s="271">
        <v>336559.6</v>
      </c>
      <c r="O160" s="271">
        <v>336559.6</v>
      </c>
      <c r="P160" s="271">
        <v>336559.6</v>
      </c>
      <c r="Q160" s="271">
        <v>336559.6</v>
      </c>
      <c r="R160" s="271">
        <v>336559.6</v>
      </c>
      <c r="S160" s="271">
        <v>336559.6</v>
      </c>
      <c r="T160" s="271">
        <v>336559.6</v>
      </c>
      <c r="U160" s="271">
        <v>336559.6</v>
      </c>
      <c r="V160" s="271">
        <v>336559.6</v>
      </c>
      <c r="W160" s="271">
        <v>336559.6</v>
      </c>
      <c r="X160" s="271">
        <v>336559.6</v>
      </c>
      <c r="Y160" s="271">
        <v>336559.6</v>
      </c>
      <c r="Z160" s="271">
        <v>336559.6</v>
      </c>
      <c r="AA160" s="271">
        <v>336559.6</v>
      </c>
      <c r="AB160" s="271">
        <v>336559.6</v>
      </c>
      <c r="AC160" s="271">
        <v>336559.6</v>
      </c>
      <c r="AD160" s="271">
        <v>336559.6</v>
      </c>
      <c r="AE160" s="271">
        <v>336559.6</v>
      </c>
      <c r="AF160" s="272"/>
      <c r="AG160" s="257">
        <f t="shared" si="5"/>
        <v>336559.6</v>
      </c>
      <c r="AH160" s="44">
        <v>336559.6</v>
      </c>
    </row>
    <row r="161" spans="1:34" x14ac:dyDescent="0.35">
      <c r="A161" s="30" t="s">
        <v>301</v>
      </c>
      <c r="B161" s="270">
        <v>374428</v>
      </c>
      <c r="C161" s="271">
        <v>374428</v>
      </c>
      <c r="D161" s="271">
        <v>374428</v>
      </c>
      <c r="E161" s="271">
        <v>374428</v>
      </c>
      <c r="F161" s="271">
        <v>374428</v>
      </c>
      <c r="G161" s="271">
        <v>374428</v>
      </c>
      <c r="H161" s="271">
        <v>374428</v>
      </c>
      <c r="I161" s="271">
        <v>374428</v>
      </c>
      <c r="J161" s="271">
        <v>374428</v>
      </c>
      <c r="K161" s="271">
        <v>374428</v>
      </c>
      <c r="L161" s="271">
        <v>374428</v>
      </c>
      <c r="M161" s="271">
        <v>374428</v>
      </c>
      <c r="N161" s="271">
        <v>374428</v>
      </c>
      <c r="O161" s="271">
        <v>374428</v>
      </c>
      <c r="P161" s="271">
        <v>374428</v>
      </c>
      <c r="Q161" s="271">
        <v>374428</v>
      </c>
      <c r="R161" s="271">
        <v>374428</v>
      </c>
      <c r="S161" s="271">
        <v>374428</v>
      </c>
      <c r="T161" s="271">
        <v>374428</v>
      </c>
      <c r="U161" s="271">
        <v>374428</v>
      </c>
      <c r="V161" s="271">
        <v>374428</v>
      </c>
      <c r="W161" s="271">
        <v>374428</v>
      </c>
      <c r="X161" s="271">
        <v>374428</v>
      </c>
      <c r="Y161" s="271">
        <v>374428</v>
      </c>
      <c r="Z161" s="271">
        <v>374428</v>
      </c>
      <c r="AA161" s="271">
        <v>374428</v>
      </c>
      <c r="AB161" s="271">
        <v>374428</v>
      </c>
      <c r="AC161" s="271">
        <v>374428</v>
      </c>
      <c r="AD161" s="271">
        <v>374428</v>
      </c>
      <c r="AE161" s="271">
        <v>374428</v>
      </c>
      <c r="AF161" s="272"/>
      <c r="AG161" s="257">
        <f t="shared" si="5"/>
        <v>374428</v>
      </c>
      <c r="AH161" s="44">
        <v>374428</v>
      </c>
    </row>
    <row r="162" spans="1:34" x14ac:dyDescent="0.35">
      <c r="A162" s="30" t="s">
        <v>302</v>
      </c>
      <c r="B162" s="270">
        <v>0</v>
      </c>
      <c r="C162" s="271">
        <v>0</v>
      </c>
      <c r="D162" s="271">
        <v>0</v>
      </c>
      <c r="E162" s="271">
        <v>0</v>
      </c>
      <c r="F162" s="271">
        <v>0</v>
      </c>
      <c r="G162" s="271">
        <v>0</v>
      </c>
      <c r="H162" s="271">
        <v>0</v>
      </c>
      <c r="I162" s="271">
        <v>0</v>
      </c>
      <c r="J162" s="271">
        <v>0</v>
      </c>
      <c r="K162" s="271">
        <v>0</v>
      </c>
      <c r="L162" s="271">
        <v>0</v>
      </c>
      <c r="M162" s="271">
        <v>0</v>
      </c>
      <c r="N162" s="271">
        <v>0</v>
      </c>
      <c r="O162" s="271">
        <v>0</v>
      </c>
      <c r="P162" s="271">
        <v>0</v>
      </c>
      <c r="Q162" s="271">
        <v>0</v>
      </c>
      <c r="R162" s="271">
        <v>0</v>
      </c>
      <c r="S162" s="271">
        <v>0</v>
      </c>
      <c r="T162" s="271">
        <v>0</v>
      </c>
      <c r="U162" s="271">
        <v>0</v>
      </c>
      <c r="V162" s="271">
        <v>0</v>
      </c>
      <c r="W162" s="271">
        <v>0</v>
      </c>
      <c r="X162" s="271">
        <v>0</v>
      </c>
      <c r="Y162" s="271">
        <v>0</v>
      </c>
      <c r="Z162" s="271">
        <v>0</v>
      </c>
      <c r="AA162" s="271">
        <v>0</v>
      </c>
      <c r="AB162" s="271">
        <v>0</v>
      </c>
      <c r="AC162" s="271">
        <v>0</v>
      </c>
      <c r="AD162" s="271">
        <v>0</v>
      </c>
      <c r="AE162" s="271">
        <v>0</v>
      </c>
      <c r="AF162" s="272"/>
      <c r="AG162" s="257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73">
        <v>0</v>
      </c>
      <c r="C163" s="274">
        <v>0</v>
      </c>
      <c r="D163" s="274">
        <v>0</v>
      </c>
      <c r="E163" s="274">
        <v>0</v>
      </c>
      <c r="F163" s="274">
        <v>0</v>
      </c>
      <c r="G163" s="274">
        <v>0</v>
      </c>
      <c r="H163" s="274">
        <v>0</v>
      </c>
      <c r="I163" s="274">
        <v>0</v>
      </c>
      <c r="J163" s="274">
        <v>0</v>
      </c>
      <c r="K163" s="274">
        <v>0</v>
      </c>
      <c r="L163" s="274">
        <v>0</v>
      </c>
      <c r="M163" s="274">
        <v>0</v>
      </c>
      <c r="N163" s="274">
        <v>0</v>
      </c>
      <c r="O163" s="274">
        <v>0</v>
      </c>
      <c r="P163" s="274">
        <v>0</v>
      </c>
      <c r="Q163" s="274">
        <v>0</v>
      </c>
      <c r="R163" s="274">
        <v>0</v>
      </c>
      <c r="S163" s="274">
        <v>0</v>
      </c>
      <c r="T163" s="274">
        <v>0</v>
      </c>
      <c r="U163" s="274">
        <v>0</v>
      </c>
      <c r="V163" s="274">
        <v>0</v>
      </c>
      <c r="W163" s="274">
        <v>0</v>
      </c>
      <c r="X163" s="274">
        <v>0</v>
      </c>
      <c r="Y163" s="274">
        <v>0</v>
      </c>
      <c r="Z163" s="274">
        <v>0</v>
      </c>
      <c r="AA163" s="274">
        <v>0</v>
      </c>
      <c r="AB163" s="274">
        <v>0</v>
      </c>
      <c r="AC163" s="274">
        <v>0</v>
      </c>
      <c r="AD163" s="274">
        <v>0</v>
      </c>
      <c r="AE163" s="274">
        <v>0</v>
      </c>
      <c r="AF163" s="275"/>
      <c r="AG163" s="263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011E9-4FA0-4AA1-8F52-8A11E311C418}">
  <sheetPr codeName="Hoja7"/>
  <dimension ref="A1:AH163"/>
  <sheetViews>
    <sheetView showGridLines="0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" sqref="C1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>
        <v>45413</v>
      </c>
      <c r="B1" s="6" t="s">
        <v>0</v>
      </c>
      <c r="G1" s="39"/>
      <c r="L1" s="39"/>
    </row>
    <row r="2" spans="1:34" ht="15" thickBot="1" x14ac:dyDescent="0.4">
      <c r="AG2" s="39"/>
    </row>
    <row r="3" spans="1:34" ht="15" thickBot="1" x14ac:dyDescent="0.4">
      <c r="A3" s="17" t="s">
        <v>270</v>
      </c>
      <c r="B3" s="45">
        <v>45413</v>
      </c>
      <c r="C3" s="46">
        <v>45414</v>
      </c>
      <c r="D3" s="46">
        <v>45415</v>
      </c>
      <c r="E3" s="46">
        <v>45416</v>
      </c>
      <c r="F3" s="46">
        <v>45417</v>
      </c>
      <c r="G3" s="46">
        <v>45418</v>
      </c>
      <c r="H3" s="46">
        <v>45419</v>
      </c>
      <c r="I3" s="46">
        <v>45420</v>
      </c>
      <c r="J3" s="46">
        <v>45421</v>
      </c>
      <c r="K3" s="46">
        <v>45422</v>
      </c>
      <c r="L3" s="46">
        <v>45423</v>
      </c>
      <c r="M3" s="46">
        <v>45424</v>
      </c>
      <c r="N3" s="46">
        <v>45425</v>
      </c>
      <c r="O3" s="46">
        <v>45426</v>
      </c>
      <c r="P3" s="46">
        <v>45427</v>
      </c>
      <c r="Q3" s="46">
        <v>45428</v>
      </c>
      <c r="R3" s="46">
        <v>45429</v>
      </c>
      <c r="S3" s="46">
        <v>45430</v>
      </c>
      <c r="T3" s="46">
        <v>45431</v>
      </c>
      <c r="U3" s="46">
        <v>45432</v>
      </c>
      <c r="V3" s="46">
        <v>45433</v>
      </c>
      <c r="W3" s="46">
        <v>45434</v>
      </c>
      <c r="X3" s="46">
        <v>45435</v>
      </c>
      <c r="Y3" s="46">
        <v>45436</v>
      </c>
      <c r="Z3" s="46">
        <v>45437</v>
      </c>
      <c r="AA3" s="46">
        <v>45438</v>
      </c>
      <c r="AB3" s="46">
        <v>45439</v>
      </c>
      <c r="AC3" s="46">
        <v>45440</v>
      </c>
      <c r="AD3" s="46">
        <v>45441</v>
      </c>
      <c r="AE3" s="46">
        <v>45442</v>
      </c>
      <c r="AF3" s="48">
        <v>45443</v>
      </c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13">
        <v>80839.090000000069</v>
      </c>
      <c r="C4" s="14">
        <v>80855.770000000062</v>
      </c>
      <c r="D4" s="14">
        <v>80870.560000000056</v>
      </c>
      <c r="E4" s="14">
        <v>80891.650000000052</v>
      </c>
      <c r="F4" s="14">
        <v>80902.150000000052</v>
      </c>
      <c r="G4" s="14">
        <v>80915.920000000056</v>
      </c>
      <c r="H4" s="14">
        <v>80929.71000000005</v>
      </c>
      <c r="I4" s="14">
        <v>80947.650000000052</v>
      </c>
      <c r="J4" s="14">
        <v>80965.090000000055</v>
      </c>
      <c r="K4" s="14">
        <v>80983.410000000062</v>
      </c>
      <c r="L4" s="14">
        <v>81002.630000000063</v>
      </c>
      <c r="M4" s="14">
        <v>81023.150000000067</v>
      </c>
      <c r="N4" s="14">
        <v>81045.570000000065</v>
      </c>
      <c r="O4" s="14">
        <v>81053.280000000072</v>
      </c>
      <c r="P4" s="14">
        <v>81071.250000000073</v>
      </c>
      <c r="Q4" s="14">
        <v>81091.990000000078</v>
      </c>
      <c r="R4" s="14">
        <v>81107.990000000078</v>
      </c>
      <c r="S4" s="14">
        <v>81127.82000000008</v>
      </c>
      <c r="T4" s="14">
        <v>81128.780000000086</v>
      </c>
      <c r="U4" s="14">
        <v>81128.780000000086</v>
      </c>
      <c r="V4" s="14">
        <v>81144.120000000083</v>
      </c>
      <c r="W4" s="14">
        <v>81161.050000000076</v>
      </c>
      <c r="X4" s="14">
        <v>81161.050000000076</v>
      </c>
      <c r="Y4" s="14">
        <v>81173.360000000073</v>
      </c>
      <c r="Z4" s="14">
        <v>81186.970000000074</v>
      </c>
      <c r="AA4" s="14">
        <v>81200.080000000075</v>
      </c>
      <c r="AB4" s="14">
        <v>81219.710000000079</v>
      </c>
      <c r="AC4" s="14">
        <v>81239.710000000079</v>
      </c>
      <c r="AD4" s="14">
        <v>81260.310000000085</v>
      </c>
      <c r="AE4" s="14">
        <v>81270.310000000085</v>
      </c>
      <c r="AF4" s="15">
        <v>81277.830000000089</v>
      </c>
      <c r="AG4" s="51">
        <f t="shared" ref="AG4:AG35" si="0">MAX(B4:AF4)</f>
        <v>81277.830000000089</v>
      </c>
      <c r="AH4" s="44">
        <v>80821.710000000006</v>
      </c>
    </row>
    <row r="5" spans="1:34" x14ac:dyDescent="0.35">
      <c r="A5" s="33" t="s">
        <v>11</v>
      </c>
      <c r="B5" s="10">
        <v>81343.950000000259</v>
      </c>
      <c r="C5" s="2">
        <v>81352.270000000266</v>
      </c>
      <c r="D5" s="2">
        <v>81363.31000000026</v>
      </c>
      <c r="E5" s="2">
        <v>81384.430000000255</v>
      </c>
      <c r="F5" s="2">
        <v>81404.610000000248</v>
      </c>
      <c r="G5" s="2">
        <v>81420.05000000025</v>
      </c>
      <c r="H5" s="2">
        <v>81441.320000000254</v>
      </c>
      <c r="I5" s="2">
        <v>81462.590000000258</v>
      </c>
      <c r="J5" s="2">
        <v>81484.200000000259</v>
      </c>
      <c r="K5" s="2">
        <v>81500.06000000026</v>
      </c>
      <c r="L5" s="2">
        <v>81521.290000000256</v>
      </c>
      <c r="M5" s="2">
        <v>81542.590000000258</v>
      </c>
      <c r="N5" s="2">
        <v>81563.270000000251</v>
      </c>
      <c r="O5" s="2">
        <v>81584.44000000025</v>
      </c>
      <c r="P5" s="2">
        <v>81589.860000000248</v>
      </c>
      <c r="Q5" s="2">
        <v>81611.280000000246</v>
      </c>
      <c r="R5" s="2">
        <v>81632.740000000253</v>
      </c>
      <c r="S5" s="2">
        <v>81653.960000000254</v>
      </c>
      <c r="T5" s="2">
        <v>81666.530000000261</v>
      </c>
      <c r="U5" s="2">
        <v>81666.530000000261</v>
      </c>
      <c r="V5" s="2">
        <v>81671.160000000265</v>
      </c>
      <c r="W5" s="2">
        <v>81684.800000000265</v>
      </c>
      <c r="X5" s="2">
        <v>81703.350000000268</v>
      </c>
      <c r="Y5" s="2">
        <v>81723.570000000269</v>
      </c>
      <c r="Z5" s="2">
        <v>81727.000000000262</v>
      </c>
      <c r="AA5" s="2">
        <v>81742.990000000267</v>
      </c>
      <c r="AB5" s="2">
        <v>81748.740000000267</v>
      </c>
      <c r="AC5" s="2">
        <v>81769.870000000272</v>
      </c>
      <c r="AD5" s="2">
        <v>81790.780000000275</v>
      </c>
      <c r="AE5" s="2">
        <v>81809.43000000027</v>
      </c>
      <c r="AF5" s="3">
        <v>81809.43000000027</v>
      </c>
      <c r="AG5" s="51">
        <f t="shared" si="0"/>
        <v>81809.43000000027</v>
      </c>
      <c r="AH5" s="44">
        <v>81324.91</v>
      </c>
    </row>
    <row r="6" spans="1:34" x14ac:dyDescent="0.35">
      <c r="A6" s="33" t="s">
        <v>12</v>
      </c>
      <c r="B6" s="10">
        <v>81463.409999999902</v>
      </c>
      <c r="C6" s="2">
        <v>81463.409999999902</v>
      </c>
      <c r="D6" s="2">
        <v>81463.409999999902</v>
      </c>
      <c r="E6" s="2">
        <v>81463.409999999902</v>
      </c>
      <c r="F6" s="2">
        <v>81463.409999999902</v>
      </c>
      <c r="G6" s="2">
        <v>81463.409999999902</v>
      </c>
      <c r="H6" s="2">
        <v>81463.409999999902</v>
      </c>
      <c r="I6" s="2">
        <v>81463.409999999902</v>
      </c>
      <c r="J6" s="2">
        <v>81463.409999999902</v>
      </c>
      <c r="K6" s="2">
        <v>81463.409999999902</v>
      </c>
      <c r="L6" s="2">
        <v>81463.409999999902</v>
      </c>
      <c r="M6" s="2">
        <v>81465.389999999898</v>
      </c>
      <c r="N6" s="2">
        <v>81486.029999999897</v>
      </c>
      <c r="O6" s="2">
        <v>81505.139999999898</v>
      </c>
      <c r="P6" s="2">
        <v>81523.489999999903</v>
      </c>
      <c r="Q6" s="2">
        <v>81543.759999999907</v>
      </c>
      <c r="R6" s="2">
        <v>81563.329999999914</v>
      </c>
      <c r="S6" s="2">
        <v>81584.55999999991</v>
      </c>
      <c r="T6" s="2">
        <v>81584.599999999904</v>
      </c>
      <c r="U6" s="2">
        <v>81595.569999999905</v>
      </c>
      <c r="V6" s="2">
        <v>81616.749999999898</v>
      </c>
      <c r="W6" s="2">
        <v>81638.349999999904</v>
      </c>
      <c r="X6" s="2">
        <v>81659.619999999908</v>
      </c>
      <c r="Y6" s="2">
        <v>81681.739999999903</v>
      </c>
      <c r="Z6" s="2">
        <v>81688.009999999907</v>
      </c>
      <c r="AA6" s="2">
        <v>81702.759999999907</v>
      </c>
      <c r="AB6" s="2">
        <v>81720.279999999912</v>
      </c>
      <c r="AC6" s="2">
        <v>81731.009999999907</v>
      </c>
      <c r="AD6" s="2">
        <v>81739.329999999914</v>
      </c>
      <c r="AE6" s="2">
        <v>81760.44999999991</v>
      </c>
      <c r="AF6" s="3">
        <v>81772.459999999905</v>
      </c>
      <c r="AG6" s="51">
        <f t="shared" si="0"/>
        <v>81772.459999999905</v>
      </c>
      <c r="AH6" s="44">
        <v>81463.41</v>
      </c>
    </row>
    <row r="7" spans="1:34" x14ac:dyDescent="0.35">
      <c r="A7" s="33" t="s">
        <v>13</v>
      </c>
      <c r="B7" s="10">
        <v>81830.109999999957</v>
      </c>
      <c r="C7" s="2">
        <v>81850.569999999963</v>
      </c>
      <c r="D7" s="2">
        <v>81871.15999999996</v>
      </c>
      <c r="E7" s="2">
        <v>81887.26999999996</v>
      </c>
      <c r="F7" s="2">
        <v>81908.51999999996</v>
      </c>
      <c r="G7" s="2">
        <v>81926.719999999958</v>
      </c>
      <c r="H7" s="2">
        <v>81947.439999999959</v>
      </c>
      <c r="I7" s="2">
        <v>81969.489999999962</v>
      </c>
      <c r="J7" s="2">
        <v>81990.679999999964</v>
      </c>
      <c r="K7" s="2">
        <v>82012.209999999963</v>
      </c>
      <c r="L7" s="2">
        <v>82024.399999999965</v>
      </c>
      <c r="M7" s="2">
        <v>82034.629999999961</v>
      </c>
      <c r="N7" s="2">
        <v>82053.209999999963</v>
      </c>
      <c r="O7" s="2">
        <v>82072.109999999957</v>
      </c>
      <c r="P7" s="2">
        <v>82093.599999999962</v>
      </c>
      <c r="Q7" s="2">
        <v>82113.65999999996</v>
      </c>
      <c r="R7" s="2">
        <v>82134.489999999962</v>
      </c>
      <c r="S7" s="2">
        <v>82151.729999999967</v>
      </c>
      <c r="T7" s="2">
        <v>82172.059999999969</v>
      </c>
      <c r="U7" s="2">
        <v>82181.999999999971</v>
      </c>
      <c r="V7" s="2">
        <v>82201.909999999974</v>
      </c>
      <c r="W7" s="2">
        <v>82218.269999999975</v>
      </c>
      <c r="X7" s="2">
        <v>82239.559999999969</v>
      </c>
      <c r="Y7" s="2">
        <v>82259.609999999971</v>
      </c>
      <c r="Z7" s="2">
        <v>82276.499999999971</v>
      </c>
      <c r="AA7" s="2">
        <v>82298.119999999966</v>
      </c>
      <c r="AB7" s="2">
        <v>82321.439999999973</v>
      </c>
      <c r="AC7" s="2">
        <v>82342.39999999998</v>
      </c>
      <c r="AD7" s="2">
        <v>82357.989999999976</v>
      </c>
      <c r="AE7" s="2">
        <v>82370.89999999998</v>
      </c>
      <c r="AF7" s="3">
        <v>82380.919999999984</v>
      </c>
      <c r="AG7" s="51">
        <f t="shared" si="0"/>
        <v>82380.919999999984</v>
      </c>
      <c r="AH7" s="44">
        <v>81808.58</v>
      </c>
    </row>
    <row r="8" spans="1:34" x14ac:dyDescent="0.35">
      <c r="A8" s="33" t="s">
        <v>14</v>
      </c>
      <c r="B8" s="10">
        <v>77096.020000000077</v>
      </c>
      <c r="C8" s="2">
        <v>77117.520000000077</v>
      </c>
      <c r="D8" s="2">
        <v>77128.030000000072</v>
      </c>
      <c r="E8" s="2">
        <v>77145.110000000073</v>
      </c>
      <c r="F8" s="2">
        <v>77166.150000000067</v>
      </c>
      <c r="G8" s="2">
        <v>77186.840000000069</v>
      </c>
      <c r="H8" s="2">
        <v>77208.520000000062</v>
      </c>
      <c r="I8" s="2">
        <v>77225.300000000061</v>
      </c>
      <c r="J8" s="2">
        <v>77227.510000000068</v>
      </c>
      <c r="K8" s="2">
        <v>77248.800000000061</v>
      </c>
      <c r="L8" s="2">
        <v>77268.480000000054</v>
      </c>
      <c r="M8" s="2">
        <v>77288.030000000057</v>
      </c>
      <c r="N8" s="2">
        <v>77310.890000000058</v>
      </c>
      <c r="O8" s="2">
        <v>77331.820000000051</v>
      </c>
      <c r="P8" s="2">
        <v>77346.250000000044</v>
      </c>
      <c r="Q8" s="2">
        <v>77366.71000000005</v>
      </c>
      <c r="R8" s="2">
        <v>77379.530000000057</v>
      </c>
      <c r="S8" s="2">
        <v>77393.810000000056</v>
      </c>
      <c r="T8" s="2">
        <v>77415.450000000055</v>
      </c>
      <c r="U8" s="2">
        <v>77430.860000000059</v>
      </c>
      <c r="V8" s="2">
        <v>77452.410000000062</v>
      </c>
      <c r="W8" s="2">
        <v>77473.33000000006</v>
      </c>
      <c r="X8" s="2">
        <v>77486.640000000058</v>
      </c>
      <c r="Y8" s="2">
        <v>77507.760000000053</v>
      </c>
      <c r="Z8" s="2">
        <v>77528.220000000059</v>
      </c>
      <c r="AA8" s="2">
        <v>77550.670000000056</v>
      </c>
      <c r="AB8" s="2">
        <v>77572.660000000062</v>
      </c>
      <c r="AC8" s="2">
        <v>77589.890000000058</v>
      </c>
      <c r="AD8" s="2">
        <v>77595.960000000065</v>
      </c>
      <c r="AE8" s="2">
        <v>77612.320000000065</v>
      </c>
      <c r="AF8" s="3">
        <v>77632.880000000063</v>
      </c>
      <c r="AG8" s="51">
        <f t="shared" si="0"/>
        <v>77632.880000000063</v>
      </c>
      <c r="AH8" s="44">
        <v>77077.429999999993</v>
      </c>
    </row>
    <row r="9" spans="1:34" x14ac:dyDescent="0.35">
      <c r="A9" s="33" t="s">
        <v>15</v>
      </c>
      <c r="B9" s="10">
        <v>79424.040000000008</v>
      </c>
      <c r="C9" s="2">
        <v>79444.740000000005</v>
      </c>
      <c r="D9" s="2">
        <v>79466.150000000009</v>
      </c>
      <c r="E9" s="2">
        <v>79486.290000000008</v>
      </c>
      <c r="F9" s="2">
        <v>79507.38</v>
      </c>
      <c r="G9" s="2">
        <v>79529.13</v>
      </c>
      <c r="H9" s="2">
        <v>79529.16</v>
      </c>
      <c r="I9" s="2">
        <v>79530.070000000007</v>
      </c>
      <c r="J9" s="2">
        <v>79545.700000000012</v>
      </c>
      <c r="K9" s="2">
        <v>79550.040000000008</v>
      </c>
      <c r="L9" s="2">
        <v>79572.52</v>
      </c>
      <c r="M9" s="2">
        <v>79589.740000000005</v>
      </c>
      <c r="N9" s="2">
        <v>79608.11</v>
      </c>
      <c r="O9" s="2">
        <v>79627.570000000007</v>
      </c>
      <c r="P9" s="2">
        <v>79648.930000000008</v>
      </c>
      <c r="Q9" s="2">
        <v>79669.820000000007</v>
      </c>
      <c r="R9" s="2">
        <v>79691.5</v>
      </c>
      <c r="S9" s="2">
        <v>79713.09</v>
      </c>
      <c r="T9" s="2">
        <v>79719.41</v>
      </c>
      <c r="U9" s="2">
        <v>79719.41</v>
      </c>
      <c r="V9" s="2">
        <v>79719.41</v>
      </c>
      <c r="W9" s="2">
        <v>79719.41</v>
      </c>
      <c r="X9" s="2">
        <v>79720.680000000008</v>
      </c>
      <c r="Y9" s="2">
        <v>79742.02</v>
      </c>
      <c r="Z9" s="2">
        <v>79763.12000000001</v>
      </c>
      <c r="AA9" s="2">
        <v>79782.590000000011</v>
      </c>
      <c r="AB9" s="2">
        <v>79799.830000000016</v>
      </c>
      <c r="AC9" s="2">
        <v>79814.460000000021</v>
      </c>
      <c r="AD9" s="2">
        <v>79835.320000000022</v>
      </c>
      <c r="AE9" s="2">
        <v>79855.120000000024</v>
      </c>
      <c r="AF9" s="3">
        <v>79871.070000000022</v>
      </c>
      <c r="AG9" s="51">
        <f t="shared" si="0"/>
        <v>79871.070000000022</v>
      </c>
      <c r="AH9" s="44">
        <v>79404.39</v>
      </c>
    </row>
    <row r="10" spans="1:34" x14ac:dyDescent="0.35">
      <c r="A10" s="33" t="s">
        <v>16</v>
      </c>
      <c r="B10" s="10">
        <v>78765.730000000127</v>
      </c>
      <c r="C10" s="2">
        <v>78780.150000000125</v>
      </c>
      <c r="D10" s="2">
        <v>78786.27000000012</v>
      </c>
      <c r="E10" s="2">
        <v>78798.670000000115</v>
      </c>
      <c r="F10" s="2">
        <v>78812.670000000115</v>
      </c>
      <c r="G10" s="2">
        <v>78834.120000000112</v>
      </c>
      <c r="H10" s="2">
        <v>78854.630000000107</v>
      </c>
      <c r="I10" s="2">
        <v>78875.760000000111</v>
      </c>
      <c r="J10" s="2">
        <v>78893.780000000115</v>
      </c>
      <c r="K10" s="2">
        <v>78913.530000000115</v>
      </c>
      <c r="L10" s="2">
        <v>78927.940000000119</v>
      </c>
      <c r="M10" s="2">
        <v>78944.260000000126</v>
      </c>
      <c r="N10" s="2">
        <v>78961.750000000131</v>
      </c>
      <c r="O10" s="2">
        <v>78983.440000000133</v>
      </c>
      <c r="P10" s="2">
        <v>79003.870000000126</v>
      </c>
      <c r="Q10" s="2">
        <v>79025.050000000119</v>
      </c>
      <c r="R10" s="2">
        <v>79042.550000000119</v>
      </c>
      <c r="S10" s="2">
        <v>79056.780000000115</v>
      </c>
      <c r="T10" s="2">
        <v>79076.740000000122</v>
      </c>
      <c r="U10" s="2">
        <v>79096.870000000126</v>
      </c>
      <c r="V10" s="2">
        <v>79106.540000000125</v>
      </c>
      <c r="W10" s="2">
        <v>79123.53000000013</v>
      </c>
      <c r="X10" s="2">
        <v>79143.010000000126</v>
      </c>
      <c r="Y10" s="2">
        <v>79144.100000000122</v>
      </c>
      <c r="Z10" s="2">
        <v>79144.100000000122</v>
      </c>
      <c r="AA10" s="2">
        <v>79144.100000000122</v>
      </c>
      <c r="AB10" s="2">
        <v>79157.610000000117</v>
      </c>
      <c r="AC10" s="2">
        <v>79177.830000000118</v>
      </c>
      <c r="AD10" s="2">
        <v>79197.690000000119</v>
      </c>
      <c r="AE10" s="2">
        <v>79214.360000000117</v>
      </c>
      <c r="AF10" s="3">
        <v>79231.810000000114</v>
      </c>
      <c r="AG10" s="51">
        <f t="shared" si="0"/>
        <v>79231.810000000114</v>
      </c>
      <c r="AH10" s="44">
        <v>78743.87</v>
      </c>
    </row>
    <row r="11" spans="1:34" x14ac:dyDescent="0.35">
      <c r="A11" s="33" t="s">
        <v>17</v>
      </c>
      <c r="B11" s="10">
        <v>76958.880000000441</v>
      </c>
      <c r="C11" s="2">
        <v>76980.750000000437</v>
      </c>
      <c r="D11" s="2">
        <v>77002.330000000438</v>
      </c>
      <c r="E11" s="2">
        <v>77021.970000000438</v>
      </c>
      <c r="F11" s="2">
        <v>77040.360000000437</v>
      </c>
      <c r="G11" s="2">
        <v>77052.030000000435</v>
      </c>
      <c r="H11" s="2">
        <v>77072.670000000435</v>
      </c>
      <c r="I11" s="2">
        <v>77088.030000000435</v>
      </c>
      <c r="J11" s="2">
        <v>77103.780000000435</v>
      </c>
      <c r="K11" s="2">
        <v>77117.990000000442</v>
      </c>
      <c r="L11" s="2">
        <v>77134.970000000438</v>
      </c>
      <c r="M11" s="2">
        <v>77156.350000000442</v>
      </c>
      <c r="N11" s="2">
        <v>77177.680000000444</v>
      </c>
      <c r="O11" s="2">
        <v>77198.690000000439</v>
      </c>
      <c r="P11" s="2">
        <v>77217.210000000443</v>
      </c>
      <c r="Q11" s="2">
        <v>77233.040000000445</v>
      </c>
      <c r="R11" s="2">
        <v>77254.540000000445</v>
      </c>
      <c r="S11" s="2">
        <v>77276.03000000045</v>
      </c>
      <c r="T11" s="2">
        <v>77294.990000000456</v>
      </c>
      <c r="U11" s="2">
        <v>77314.080000000453</v>
      </c>
      <c r="V11" s="2">
        <v>77320.350000000457</v>
      </c>
      <c r="W11" s="2">
        <v>77336.480000000462</v>
      </c>
      <c r="X11" s="2">
        <v>77355.520000000455</v>
      </c>
      <c r="Y11" s="2">
        <v>77374.460000000458</v>
      </c>
      <c r="Z11" s="2">
        <v>77395.610000000452</v>
      </c>
      <c r="AA11" s="2">
        <v>77415.390000000451</v>
      </c>
      <c r="AB11" s="2">
        <v>77429.770000000455</v>
      </c>
      <c r="AC11" s="2">
        <v>77450.690000000453</v>
      </c>
      <c r="AD11" s="2">
        <v>77470.320000000458</v>
      </c>
      <c r="AE11" s="2">
        <v>77489.230000000462</v>
      </c>
      <c r="AF11" s="3">
        <v>77504.840000000462</v>
      </c>
      <c r="AG11" s="51">
        <f t="shared" si="0"/>
        <v>77504.840000000462</v>
      </c>
      <c r="AH11" s="44">
        <v>76941.87</v>
      </c>
    </row>
    <row r="12" spans="1:34" x14ac:dyDescent="0.35">
      <c r="A12" s="33" t="s">
        <v>18</v>
      </c>
      <c r="B12" s="10">
        <v>77361.229999999821</v>
      </c>
      <c r="C12" s="2">
        <v>77361.229999999821</v>
      </c>
      <c r="D12" s="2">
        <v>77361.229999999821</v>
      </c>
      <c r="E12" s="2">
        <v>77361.229999999821</v>
      </c>
      <c r="F12" s="2">
        <v>77361.229999999821</v>
      </c>
      <c r="G12" s="2">
        <v>77363.959999999817</v>
      </c>
      <c r="H12" s="2">
        <v>77366.059999999823</v>
      </c>
      <c r="I12" s="2">
        <v>77382.169999999824</v>
      </c>
      <c r="J12" s="2">
        <v>77394.969999999827</v>
      </c>
      <c r="K12" s="2">
        <v>77416.669999999824</v>
      </c>
      <c r="L12" s="2">
        <v>77438.609999999826</v>
      </c>
      <c r="M12" s="2">
        <v>77459.559999999823</v>
      </c>
      <c r="N12" s="2">
        <v>77481.519999999829</v>
      </c>
      <c r="O12" s="2">
        <v>77500.079999999827</v>
      </c>
      <c r="P12" s="2">
        <v>77513.12999999983</v>
      </c>
      <c r="Q12" s="2">
        <v>77531.969999999827</v>
      </c>
      <c r="R12" s="2">
        <v>77537.519999999829</v>
      </c>
      <c r="S12" s="2">
        <v>77556.439999999828</v>
      </c>
      <c r="T12" s="2">
        <v>77571.699999999822</v>
      </c>
      <c r="U12" s="2">
        <v>77593.289999999819</v>
      </c>
      <c r="V12" s="2">
        <v>77614.569999999818</v>
      </c>
      <c r="W12" s="2">
        <v>77635.819999999818</v>
      </c>
      <c r="X12" s="2">
        <v>77657.249999999811</v>
      </c>
      <c r="Y12" s="2">
        <v>77679.219999999812</v>
      </c>
      <c r="Z12" s="2">
        <v>77700.569999999818</v>
      </c>
      <c r="AA12" s="2">
        <v>77722.609999999811</v>
      </c>
      <c r="AB12" s="2">
        <v>77740.13999999981</v>
      </c>
      <c r="AC12" s="2">
        <v>77755.079999999813</v>
      </c>
      <c r="AD12" s="2">
        <v>77773.049999999814</v>
      </c>
      <c r="AE12" s="2">
        <v>77781.38999999981</v>
      </c>
      <c r="AF12" s="3">
        <v>77801.759999999806</v>
      </c>
      <c r="AG12" s="51">
        <f t="shared" si="0"/>
        <v>77801.759999999806</v>
      </c>
      <c r="AH12" s="44">
        <v>77361.23</v>
      </c>
    </row>
    <row r="13" spans="1:34" x14ac:dyDescent="0.35">
      <c r="A13" s="33" t="s">
        <v>19</v>
      </c>
      <c r="B13" s="10">
        <v>74128.510000000009</v>
      </c>
      <c r="C13" s="2">
        <v>74145.840000000011</v>
      </c>
      <c r="D13" s="2">
        <v>74162.37000000001</v>
      </c>
      <c r="E13" s="2">
        <v>74183.670000000013</v>
      </c>
      <c r="F13" s="2">
        <v>74202.48000000001</v>
      </c>
      <c r="G13" s="2">
        <v>74208.88</v>
      </c>
      <c r="H13" s="2">
        <v>74221.200000000012</v>
      </c>
      <c r="I13" s="2">
        <v>74221.200000000012</v>
      </c>
      <c r="J13" s="2">
        <v>74221.200000000012</v>
      </c>
      <c r="K13" s="2">
        <v>74221.200000000012</v>
      </c>
      <c r="L13" s="2">
        <v>74221.200000000012</v>
      </c>
      <c r="M13" s="2">
        <v>74221.200000000012</v>
      </c>
      <c r="N13" s="2">
        <v>74221.200000000012</v>
      </c>
      <c r="O13" s="2">
        <v>74221.200000000012</v>
      </c>
      <c r="P13" s="2">
        <v>74221.200000000012</v>
      </c>
      <c r="Q13" s="2">
        <v>74221.200000000012</v>
      </c>
      <c r="R13" s="2">
        <v>74221.200000000012</v>
      </c>
      <c r="S13" s="2">
        <v>74221.200000000012</v>
      </c>
      <c r="T13" s="2">
        <v>74221.310000000012</v>
      </c>
      <c r="U13" s="2">
        <v>74230.290000000008</v>
      </c>
      <c r="V13" s="2">
        <v>74251.960000000006</v>
      </c>
      <c r="W13" s="2">
        <v>74273.58</v>
      </c>
      <c r="X13" s="2">
        <v>74295.56</v>
      </c>
      <c r="Y13" s="2">
        <v>74309.52</v>
      </c>
      <c r="Z13" s="2">
        <v>74331.150000000009</v>
      </c>
      <c r="AA13" s="2">
        <v>74350.960000000006</v>
      </c>
      <c r="AB13" s="2">
        <v>74372.88</v>
      </c>
      <c r="AC13" s="2">
        <v>74393.97</v>
      </c>
      <c r="AD13" s="2">
        <v>74411</v>
      </c>
      <c r="AE13" s="2">
        <v>74431.17</v>
      </c>
      <c r="AF13" s="3">
        <v>74440.22</v>
      </c>
      <c r="AG13" s="51">
        <f t="shared" si="0"/>
        <v>74440.22</v>
      </c>
      <c r="AH13" s="44">
        <v>74123.570000000007</v>
      </c>
    </row>
    <row r="14" spans="1:34" x14ac:dyDescent="0.35">
      <c r="A14" s="33" t="s">
        <v>20</v>
      </c>
      <c r="B14" s="10">
        <v>72609.520000000091</v>
      </c>
      <c r="C14" s="2">
        <v>72616.340000000098</v>
      </c>
      <c r="D14" s="2">
        <v>72637.500000000102</v>
      </c>
      <c r="E14" s="2">
        <v>72658.3100000001</v>
      </c>
      <c r="F14" s="2">
        <v>72677.330000000104</v>
      </c>
      <c r="G14" s="2">
        <v>72699.04000000011</v>
      </c>
      <c r="H14" s="2">
        <v>72717.780000000115</v>
      </c>
      <c r="I14" s="2">
        <v>72737.760000000111</v>
      </c>
      <c r="J14" s="2">
        <v>72759.130000000107</v>
      </c>
      <c r="K14" s="2">
        <v>72779.950000000114</v>
      </c>
      <c r="L14" s="2">
        <v>72801.760000000111</v>
      </c>
      <c r="M14" s="2">
        <v>72822.990000000107</v>
      </c>
      <c r="N14" s="2">
        <v>72831.340000000113</v>
      </c>
      <c r="O14" s="2">
        <v>72831.340000000113</v>
      </c>
      <c r="P14" s="2">
        <v>72842.590000000113</v>
      </c>
      <c r="Q14" s="2">
        <v>72858.120000000112</v>
      </c>
      <c r="R14" s="2">
        <v>72879.120000000112</v>
      </c>
      <c r="S14" s="2">
        <v>72900.330000000118</v>
      </c>
      <c r="T14" s="2">
        <v>72920.220000000118</v>
      </c>
      <c r="U14" s="2">
        <v>72941.960000000123</v>
      </c>
      <c r="V14" s="2">
        <v>72959.380000000121</v>
      </c>
      <c r="W14" s="2">
        <v>72964.540000000125</v>
      </c>
      <c r="X14" s="2">
        <v>72964.540000000125</v>
      </c>
      <c r="Y14" s="2">
        <v>72984.230000000127</v>
      </c>
      <c r="Z14" s="2">
        <v>73005.360000000132</v>
      </c>
      <c r="AA14" s="2">
        <v>73027.010000000126</v>
      </c>
      <c r="AB14" s="2">
        <v>73048.180000000124</v>
      </c>
      <c r="AC14" s="2">
        <v>73068.52000000012</v>
      </c>
      <c r="AD14" s="2">
        <v>73079.720000000118</v>
      </c>
      <c r="AE14" s="2">
        <v>73098.450000000114</v>
      </c>
      <c r="AF14" s="3">
        <v>73110.870000000112</v>
      </c>
      <c r="AG14" s="51">
        <f t="shared" si="0"/>
        <v>73110.870000000112</v>
      </c>
      <c r="AH14" s="44">
        <v>72588.02</v>
      </c>
    </row>
    <row r="15" spans="1:34" x14ac:dyDescent="0.35">
      <c r="A15" s="33" t="s">
        <v>21</v>
      </c>
      <c r="B15" s="10">
        <v>73382.770000000106</v>
      </c>
      <c r="C15" s="2">
        <v>73382.770000000106</v>
      </c>
      <c r="D15" s="2">
        <v>73382.770000000106</v>
      </c>
      <c r="E15" s="2">
        <v>73382.770000000106</v>
      </c>
      <c r="F15" s="2">
        <v>73382.770000000106</v>
      </c>
      <c r="G15" s="2">
        <v>73382.770000000106</v>
      </c>
      <c r="H15" s="2">
        <v>73382.770000000106</v>
      </c>
      <c r="I15" s="2">
        <v>73382.770000000106</v>
      </c>
      <c r="J15" s="2">
        <v>73382.770000000106</v>
      </c>
      <c r="K15" s="2">
        <v>73382.770000000106</v>
      </c>
      <c r="L15" s="2">
        <v>73382.770000000106</v>
      </c>
      <c r="M15" s="2">
        <v>73382.770000000106</v>
      </c>
      <c r="N15" s="2">
        <v>73382.770000000106</v>
      </c>
      <c r="O15" s="2">
        <v>73382.770000000106</v>
      </c>
      <c r="P15" s="2">
        <v>73382.770000000106</v>
      </c>
      <c r="Q15" s="2">
        <v>73382.770000000106</v>
      </c>
      <c r="R15" s="2">
        <v>73388.890000000101</v>
      </c>
      <c r="S15" s="2">
        <v>73402.070000000094</v>
      </c>
      <c r="T15" s="2">
        <v>73420.230000000098</v>
      </c>
      <c r="U15" s="2">
        <v>73441.180000000095</v>
      </c>
      <c r="V15" s="2">
        <v>73462.830000000089</v>
      </c>
      <c r="W15" s="2">
        <v>73484.080000000089</v>
      </c>
      <c r="X15" s="2">
        <v>73505.580000000089</v>
      </c>
      <c r="Y15" s="2">
        <v>73525.380000000092</v>
      </c>
      <c r="Z15" s="2">
        <v>73543.850000000093</v>
      </c>
      <c r="AA15" s="2">
        <v>73565.8100000001</v>
      </c>
      <c r="AB15" s="2">
        <v>73588.410000000105</v>
      </c>
      <c r="AC15" s="2">
        <v>73607.030000000101</v>
      </c>
      <c r="AD15" s="2">
        <v>73619.980000000098</v>
      </c>
      <c r="AE15" s="2">
        <v>73640.630000000092</v>
      </c>
      <c r="AF15" s="3">
        <v>73658.180000000095</v>
      </c>
      <c r="AG15" s="51">
        <f t="shared" si="0"/>
        <v>73658.180000000095</v>
      </c>
      <c r="AH15" s="44">
        <v>73382.77</v>
      </c>
    </row>
    <row r="16" spans="1:34" x14ac:dyDescent="0.35">
      <c r="A16" s="33" t="s">
        <v>22</v>
      </c>
      <c r="B16" s="10">
        <v>71345.269999999888</v>
      </c>
      <c r="C16" s="2">
        <v>71363.299999999886</v>
      </c>
      <c r="D16" s="2">
        <v>71380.449999999881</v>
      </c>
      <c r="E16" s="2">
        <v>71389.939999999886</v>
      </c>
      <c r="F16" s="2">
        <v>71411.099999999889</v>
      </c>
      <c r="G16" s="2">
        <v>71422.989999999889</v>
      </c>
      <c r="H16" s="2">
        <v>71439.699999999895</v>
      </c>
      <c r="I16" s="2">
        <v>71462.649999999892</v>
      </c>
      <c r="J16" s="2">
        <v>71482.359999999899</v>
      </c>
      <c r="K16" s="2">
        <v>71503.529999999897</v>
      </c>
      <c r="L16" s="2">
        <v>71524.589999999895</v>
      </c>
      <c r="M16" s="2">
        <v>71532.589999999895</v>
      </c>
      <c r="N16" s="2">
        <v>71545.45999999989</v>
      </c>
      <c r="O16" s="2">
        <v>71552.279999999897</v>
      </c>
      <c r="P16" s="2">
        <v>71572.379999999903</v>
      </c>
      <c r="Q16" s="2">
        <v>71588.9399999999</v>
      </c>
      <c r="R16" s="2">
        <v>71600.159999999902</v>
      </c>
      <c r="S16" s="2">
        <v>71614.589999999895</v>
      </c>
      <c r="T16" s="2">
        <v>71617.679999999891</v>
      </c>
      <c r="U16" s="2">
        <v>71630.699999999895</v>
      </c>
      <c r="V16" s="2">
        <v>71651.309999999896</v>
      </c>
      <c r="W16" s="2">
        <v>71672.249999999898</v>
      </c>
      <c r="X16" s="2">
        <v>71693.419999999896</v>
      </c>
      <c r="Y16" s="2">
        <v>71714.679999999891</v>
      </c>
      <c r="Z16" s="2">
        <v>71726.509999999893</v>
      </c>
      <c r="AA16" s="2">
        <v>71747.399999999892</v>
      </c>
      <c r="AB16" s="2">
        <v>71767.499999999898</v>
      </c>
      <c r="AC16" s="2">
        <v>71783.499999999898</v>
      </c>
      <c r="AD16" s="2">
        <v>71799.099999999904</v>
      </c>
      <c r="AE16" s="2">
        <v>71817.849999999904</v>
      </c>
      <c r="AF16" s="3">
        <v>71832.80999999991</v>
      </c>
      <c r="AG16" s="51">
        <f t="shared" si="0"/>
        <v>71832.80999999991</v>
      </c>
      <c r="AH16" s="44">
        <v>71326.87</v>
      </c>
    </row>
    <row r="17" spans="1:34" x14ac:dyDescent="0.35">
      <c r="A17" s="33" t="s">
        <v>23</v>
      </c>
      <c r="B17" s="10">
        <v>72891.030000000144</v>
      </c>
      <c r="C17" s="2">
        <v>72912.140000000145</v>
      </c>
      <c r="D17" s="2">
        <v>72933.440000000148</v>
      </c>
      <c r="E17" s="2">
        <v>72949.920000000144</v>
      </c>
      <c r="F17" s="2">
        <v>72971.250000000146</v>
      </c>
      <c r="G17" s="2">
        <v>72990.930000000139</v>
      </c>
      <c r="H17" s="2">
        <v>73013.300000000134</v>
      </c>
      <c r="I17" s="2">
        <v>73034.220000000132</v>
      </c>
      <c r="J17" s="2">
        <v>73052.150000000125</v>
      </c>
      <c r="K17" s="2">
        <v>73073.730000000127</v>
      </c>
      <c r="L17" s="2">
        <v>73095.360000000132</v>
      </c>
      <c r="M17" s="2">
        <v>73110.900000000125</v>
      </c>
      <c r="N17" s="2">
        <v>73133.39000000013</v>
      </c>
      <c r="O17" s="2">
        <v>73153.070000000123</v>
      </c>
      <c r="P17" s="2">
        <v>73170.690000000119</v>
      </c>
      <c r="Q17" s="2">
        <v>73184.360000000117</v>
      </c>
      <c r="R17" s="2">
        <v>73184.360000000117</v>
      </c>
      <c r="S17" s="2">
        <v>73184.360000000117</v>
      </c>
      <c r="T17" s="2">
        <v>73184.360000000117</v>
      </c>
      <c r="U17" s="2">
        <v>73184.360000000117</v>
      </c>
      <c r="V17" s="2">
        <v>73203.600000000122</v>
      </c>
      <c r="W17" s="2">
        <v>73221.540000000125</v>
      </c>
      <c r="X17" s="2">
        <v>73243.200000000128</v>
      </c>
      <c r="Y17" s="2">
        <v>73260.580000000133</v>
      </c>
      <c r="Z17" s="2">
        <v>73279.89000000013</v>
      </c>
      <c r="AA17" s="2">
        <v>73280.260000000126</v>
      </c>
      <c r="AB17" s="2">
        <v>73283.210000000123</v>
      </c>
      <c r="AC17" s="2">
        <v>73304.140000000116</v>
      </c>
      <c r="AD17" s="2">
        <v>73325.77000000012</v>
      </c>
      <c r="AE17" s="2">
        <v>73343.450000000114</v>
      </c>
      <c r="AF17" s="3">
        <v>73348.110000000117</v>
      </c>
      <c r="AG17" s="51">
        <f t="shared" si="0"/>
        <v>73348.110000000117</v>
      </c>
      <c r="AH17" s="44">
        <v>72869.69</v>
      </c>
    </row>
    <row r="18" spans="1:34" x14ac:dyDescent="0.35">
      <c r="A18" s="33" t="s">
        <v>24</v>
      </c>
      <c r="B18" s="10">
        <v>73104.040000000081</v>
      </c>
      <c r="C18" s="2">
        <v>73121.18000000008</v>
      </c>
      <c r="D18" s="2">
        <v>73135.260000000082</v>
      </c>
      <c r="E18" s="2">
        <v>73135.780000000086</v>
      </c>
      <c r="F18" s="2">
        <v>73150.05000000009</v>
      </c>
      <c r="G18" s="2">
        <v>73170.720000000088</v>
      </c>
      <c r="H18" s="2">
        <v>73192.830000000089</v>
      </c>
      <c r="I18" s="2">
        <v>73213.480000000083</v>
      </c>
      <c r="J18" s="2">
        <v>73233.420000000086</v>
      </c>
      <c r="K18" s="2">
        <v>73249.32000000008</v>
      </c>
      <c r="L18" s="2">
        <v>73270.390000000087</v>
      </c>
      <c r="M18" s="2">
        <v>73288.460000000094</v>
      </c>
      <c r="N18" s="2">
        <v>73288.460000000094</v>
      </c>
      <c r="O18" s="2">
        <v>73288.460000000094</v>
      </c>
      <c r="P18" s="2">
        <v>73293.260000000097</v>
      </c>
      <c r="Q18" s="2">
        <v>73312.540000000095</v>
      </c>
      <c r="R18" s="2">
        <v>73334.320000000094</v>
      </c>
      <c r="S18" s="2">
        <v>73355.750000000087</v>
      </c>
      <c r="T18" s="2">
        <v>73377.450000000084</v>
      </c>
      <c r="U18" s="2">
        <v>73398.770000000091</v>
      </c>
      <c r="V18" s="2">
        <v>73420.250000000087</v>
      </c>
      <c r="W18" s="2">
        <v>73441.360000000088</v>
      </c>
      <c r="X18" s="2">
        <v>73458.390000000087</v>
      </c>
      <c r="Y18" s="2">
        <v>73479.870000000083</v>
      </c>
      <c r="Z18" s="2">
        <v>73500.580000000089</v>
      </c>
      <c r="AA18" s="2">
        <v>73521.960000000094</v>
      </c>
      <c r="AB18" s="2">
        <v>73543.080000000089</v>
      </c>
      <c r="AC18" s="2">
        <v>73564.44000000009</v>
      </c>
      <c r="AD18" s="2">
        <v>73585.340000000084</v>
      </c>
      <c r="AE18" s="2">
        <v>73606.620000000083</v>
      </c>
      <c r="AF18" s="3">
        <v>73624.870000000083</v>
      </c>
      <c r="AG18" s="51">
        <f t="shared" si="0"/>
        <v>73624.870000000083</v>
      </c>
      <c r="AH18" s="44">
        <v>73085.320000000007</v>
      </c>
    </row>
    <row r="19" spans="1:34" x14ac:dyDescent="0.35">
      <c r="A19" s="33" t="s">
        <v>25</v>
      </c>
      <c r="B19" s="10">
        <v>71646.430000000255</v>
      </c>
      <c r="C19" s="2">
        <v>71667.620000000257</v>
      </c>
      <c r="D19" s="2">
        <v>71689.100000000253</v>
      </c>
      <c r="E19" s="2">
        <v>71710.180000000255</v>
      </c>
      <c r="F19" s="2">
        <v>71725.080000000249</v>
      </c>
      <c r="G19" s="2">
        <v>71725.080000000249</v>
      </c>
      <c r="H19" s="2">
        <v>71725.080000000249</v>
      </c>
      <c r="I19" s="2">
        <v>71725.080000000249</v>
      </c>
      <c r="J19" s="2">
        <v>71725.080000000249</v>
      </c>
      <c r="K19" s="2">
        <v>71725.080000000249</v>
      </c>
      <c r="L19" s="2">
        <v>71725.080000000249</v>
      </c>
      <c r="M19" s="2">
        <v>71725.080000000249</v>
      </c>
      <c r="N19" s="2">
        <v>71725.080000000249</v>
      </c>
      <c r="O19" s="2">
        <v>71725.080000000249</v>
      </c>
      <c r="P19" s="2">
        <v>71725.080000000249</v>
      </c>
      <c r="Q19" s="2">
        <v>71725.880000000252</v>
      </c>
      <c r="R19" s="2">
        <v>71740.520000000251</v>
      </c>
      <c r="S19" s="2">
        <v>71741.680000000255</v>
      </c>
      <c r="T19" s="2">
        <v>71741.680000000255</v>
      </c>
      <c r="U19" s="2">
        <v>71755.490000000253</v>
      </c>
      <c r="V19" s="2">
        <v>71770.630000000252</v>
      </c>
      <c r="W19" s="2">
        <v>71771.630000000252</v>
      </c>
      <c r="X19" s="2">
        <v>71792.890000000247</v>
      </c>
      <c r="Y19" s="2">
        <v>71814.140000000247</v>
      </c>
      <c r="Z19" s="2">
        <v>71835.610000000248</v>
      </c>
      <c r="AA19" s="2">
        <v>71856.900000000242</v>
      </c>
      <c r="AB19" s="2">
        <v>71872.550000000236</v>
      </c>
      <c r="AC19" s="2">
        <v>71892.770000000237</v>
      </c>
      <c r="AD19" s="2">
        <v>71901.43000000024</v>
      </c>
      <c r="AE19" s="2">
        <v>71916.140000000247</v>
      </c>
      <c r="AF19" s="3">
        <v>71936.020000000251</v>
      </c>
      <c r="AG19" s="51">
        <f t="shared" si="0"/>
        <v>71936.020000000251</v>
      </c>
      <c r="AH19" s="44">
        <v>71628.210000000006</v>
      </c>
    </row>
    <row r="20" spans="1:34" x14ac:dyDescent="0.35">
      <c r="A20" s="33" t="s">
        <v>26</v>
      </c>
      <c r="B20" s="10">
        <v>72404.749999999971</v>
      </c>
      <c r="C20" s="2">
        <v>72426.319999999978</v>
      </c>
      <c r="D20" s="2">
        <v>72447.549999999974</v>
      </c>
      <c r="E20" s="2">
        <v>72457.50999999998</v>
      </c>
      <c r="F20" s="2">
        <v>72479.119999999981</v>
      </c>
      <c r="G20" s="2">
        <v>72493.439999999988</v>
      </c>
      <c r="H20" s="2">
        <v>72500.999999999985</v>
      </c>
      <c r="I20" s="2">
        <v>72521.989999999991</v>
      </c>
      <c r="J20" s="2">
        <v>72542.599999999991</v>
      </c>
      <c r="K20" s="2">
        <v>72559.45</v>
      </c>
      <c r="L20" s="2">
        <v>72581.099999999991</v>
      </c>
      <c r="M20" s="2">
        <v>72601.099999999991</v>
      </c>
      <c r="N20" s="2">
        <v>72620.51999999999</v>
      </c>
      <c r="O20" s="2">
        <v>72641.799999999988</v>
      </c>
      <c r="P20" s="2">
        <v>72656.029999999984</v>
      </c>
      <c r="Q20" s="2">
        <v>72675.889999999985</v>
      </c>
      <c r="R20" s="2">
        <v>72689.14999999998</v>
      </c>
      <c r="S20" s="2">
        <v>72710.769999999975</v>
      </c>
      <c r="T20" s="2">
        <v>72722.939999999973</v>
      </c>
      <c r="U20" s="2">
        <v>72737.729999999967</v>
      </c>
      <c r="V20" s="2">
        <v>72759.249999999971</v>
      </c>
      <c r="W20" s="2">
        <v>72780.699999999968</v>
      </c>
      <c r="X20" s="2">
        <v>72798.789999999964</v>
      </c>
      <c r="Y20" s="2">
        <v>72820.289999999964</v>
      </c>
      <c r="Z20" s="2">
        <v>72841.329999999958</v>
      </c>
      <c r="AA20" s="2">
        <v>72860.919999999955</v>
      </c>
      <c r="AB20" s="2">
        <v>72877.719999999958</v>
      </c>
      <c r="AC20" s="2">
        <v>72894.419999999955</v>
      </c>
      <c r="AD20" s="2">
        <v>72898.759999999951</v>
      </c>
      <c r="AE20" s="2">
        <v>72915.139999999956</v>
      </c>
      <c r="AF20" s="3">
        <v>72935.679999999949</v>
      </c>
      <c r="AG20" s="51">
        <f t="shared" si="0"/>
        <v>72935.679999999949</v>
      </c>
      <c r="AH20" s="44">
        <v>72392.45</v>
      </c>
    </row>
    <row r="21" spans="1:34" x14ac:dyDescent="0.35">
      <c r="A21" s="33" t="s">
        <v>27</v>
      </c>
      <c r="B21" s="10">
        <v>73555.58000000006</v>
      </c>
      <c r="C21" s="2">
        <v>73555.750000000058</v>
      </c>
      <c r="D21" s="2">
        <v>73571.680000000051</v>
      </c>
      <c r="E21" s="2">
        <v>73589.520000000048</v>
      </c>
      <c r="F21" s="2">
        <v>73609.680000000051</v>
      </c>
      <c r="G21" s="2">
        <v>73625.220000000045</v>
      </c>
      <c r="H21" s="2">
        <v>73638.080000000045</v>
      </c>
      <c r="I21" s="2">
        <v>73659.910000000047</v>
      </c>
      <c r="J21" s="2">
        <v>73681.510000000053</v>
      </c>
      <c r="K21" s="2">
        <v>73703.110000000059</v>
      </c>
      <c r="L21" s="2">
        <v>73720.370000000054</v>
      </c>
      <c r="M21" s="2">
        <v>73739.090000000055</v>
      </c>
      <c r="N21" s="2">
        <v>73760.680000000051</v>
      </c>
      <c r="O21" s="2">
        <v>73778.060000000056</v>
      </c>
      <c r="P21" s="2">
        <v>73797.070000000051</v>
      </c>
      <c r="Q21" s="2">
        <v>73812.490000000049</v>
      </c>
      <c r="R21" s="2">
        <v>73833.760000000053</v>
      </c>
      <c r="S21" s="2">
        <v>73854.470000000059</v>
      </c>
      <c r="T21" s="2">
        <v>73875.660000000062</v>
      </c>
      <c r="U21" s="2">
        <v>73896.540000000066</v>
      </c>
      <c r="V21" s="2">
        <v>73915.770000000062</v>
      </c>
      <c r="W21" s="2">
        <v>73927.770000000062</v>
      </c>
      <c r="X21" s="2">
        <v>73946.100000000064</v>
      </c>
      <c r="Y21" s="2">
        <v>73960.740000000063</v>
      </c>
      <c r="Z21" s="2">
        <v>73960.740000000063</v>
      </c>
      <c r="AA21" s="2">
        <v>73972.800000000061</v>
      </c>
      <c r="AB21" s="2">
        <v>73994.750000000058</v>
      </c>
      <c r="AC21" s="2">
        <v>74015.850000000064</v>
      </c>
      <c r="AD21" s="2">
        <v>74037.340000000069</v>
      </c>
      <c r="AE21" s="2">
        <v>74058.56000000007</v>
      </c>
      <c r="AF21" s="3">
        <v>74077.050000000076</v>
      </c>
      <c r="AG21" s="51">
        <f t="shared" si="0"/>
        <v>74077.050000000076</v>
      </c>
      <c r="AH21" s="44">
        <v>73555.58</v>
      </c>
    </row>
    <row r="22" spans="1:34" x14ac:dyDescent="0.35">
      <c r="A22" s="33" t="s">
        <v>28</v>
      </c>
      <c r="B22" s="10">
        <v>70147.369999999981</v>
      </c>
      <c r="C22" s="2">
        <v>70169.00999999998</v>
      </c>
      <c r="D22" s="2">
        <v>70190.629999999976</v>
      </c>
      <c r="E22" s="2">
        <v>70212.489999999976</v>
      </c>
      <c r="F22" s="2">
        <v>70232.189999999973</v>
      </c>
      <c r="G22" s="2">
        <v>70236.169999999969</v>
      </c>
      <c r="H22" s="2">
        <v>70238.829999999973</v>
      </c>
      <c r="I22" s="2">
        <v>70242.059999999969</v>
      </c>
      <c r="J22" s="2">
        <v>70242.059999999969</v>
      </c>
      <c r="K22" s="2">
        <v>70242.059999999969</v>
      </c>
      <c r="L22" s="2">
        <v>70242.059999999969</v>
      </c>
      <c r="M22" s="2">
        <v>70242.059999999969</v>
      </c>
      <c r="N22" s="2">
        <v>70242.059999999969</v>
      </c>
      <c r="O22" s="2">
        <v>70242.059999999969</v>
      </c>
      <c r="P22" s="2">
        <v>70248.359999999971</v>
      </c>
      <c r="Q22" s="2">
        <v>70270.009999999966</v>
      </c>
      <c r="R22" s="2">
        <v>70291.039999999964</v>
      </c>
      <c r="S22" s="2">
        <v>70312.339999999967</v>
      </c>
      <c r="T22" s="2">
        <v>70321.419999999969</v>
      </c>
      <c r="U22" s="2">
        <v>70343.589999999967</v>
      </c>
      <c r="V22" s="2">
        <v>70365.049999999974</v>
      </c>
      <c r="W22" s="2">
        <v>70384.409999999974</v>
      </c>
      <c r="X22" s="2">
        <v>70400.359999999971</v>
      </c>
      <c r="Y22" s="2">
        <v>70400.359999999971</v>
      </c>
      <c r="Z22" s="2">
        <v>70400.359999999971</v>
      </c>
      <c r="AA22" s="2">
        <v>70415.749999999971</v>
      </c>
      <c r="AB22" s="2">
        <v>70437.299999999974</v>
      </c>
      <c r="AC22" s="2">
        <v>70458.679999999978</v>
      </c>
      <c r="AD22" s="2">
        <v>70466.859999999971</v>
      </c>
      <c r="AE22" s="2">
        <v>70466.859999999971</v>
      </c>
      <c r="AF22" s="3">
        <v>70466.859999999971</v>
      </c>
      <c r="AG22" s="51">
        <f t="shared" si="0"/>
        <v>70466.859999999971</v>
      </c>
      <c r="AH22" s="44">
        <v>70125.7</v>
      </c>
    </row>
    <row r="23" spans="1:34" x14ac:dyDescent="0.35">
      <c r="A23" s="33" t="s">
        <v>29</v>
      </c>
      <c r="B23" s="10">
        <v>67415.999999999913</v>
      </c>
      <c r="C23" s="2">
        <v>67415.999999999913</v>
      </c>
      <c r="D23" s="2">
        <v>67415.999999999913</v>
      </c>
      <c r="E23" s="2">
        <v>67415.999999999913</v>
      </c>
      <c r="F23" s="2">
        <v>67415.999999999913</v>
      </c>
      <c r="G23" s="2">
        <v>67415.999999999913</v>
      </c>
      <c r="H23" s="2">
        <v>67415.999999999913</v>
      </c>
      <c r="I23" s="2">
        <v>67415.999999999913</v>
      </c>
      <c r="J23" s="2">
        <v>67415.999999999913</v>
      </c>
      <c r="K23" s="2">
        <v>67415.999999999913</v>
      </c>
      <c r="L23" s="2">
        <v>67432.119999999908</v>
      </c>
      <c r="M23" s="2">
        <v>67440.579999999914</v>
      </c>
      <c r="N23" s="2">
        <v>67440.579999999914</v>
      </c>
      <c r="O23" s="2">
        <v>67440.579999999914</v>
      </c>
      <c r="P23" s="2">
        <v>67452.749999999913</v>
      </c>
      <c r="Q23" s="2">
        <v>67468.969999999914</v>
      </c>
      <c r="R23" s="2">
        <v>67487.589999999909</v>
      </c>
      <c r="S23" s="2">
        <v>67507.499999999913</v>
      </c>
      <c r="T23" s="2">
        <v>67507.499999999913</v>
      </c>
      <c r="U23" s="2">
        <v>67507.499999999913</v>
      </c>
      <c r="V23" s="2">
        <v>67507.499999999913</v>
      </c>
      <c r="W23" s="2">
        <v>67507.499999999913</v>
      </c>
      <c r="X23" s="2">
        <v>67517.299999999916</v>
      </c>
      <c r="Y23" s="2">
        <v>67539.149999999921</v>
      </c>
      <c r="Z23" s="2">
        <v>67559.489999999918</v>
      </c>
      <c r="AA23" s="2">
        <v>67573.039999999921</v>
      </c>
      <c r="AB23" s="2">
        <v>67590.749999999927</v>
      </c>
      <c r="AC23" s="2">
        <v>67609.129999999932</v>
      </c>
      <c r="AD23" s="2">
        <v>67619.419999999925</v>
      </c>
      <c r="AE23" s="2">
        <v>67634.699999999924</v>
      </c>
      <c r="AF23" s="3">
        <v>67642.479999999923</v>
      </c>
      <c r="AG23" s="51">
        <f t="shared" si="0"/>
        <v>67642.479999999923</v>
      </c>
      <c r="AH23" s="44">
        <v>67416</v>
      </c>
    </row>
    <row r="24" spans="1:34" x14ac:dyDescent="0.35">
      <c r="A24" s="33" t="s">
        <v>30</v>
      </c>
      <c r="B24" s="10">
        <v>66057.470000000103</v>
      </c>
      <c r="C24" s="2">
        <v>66071.640000000101</v>
      </c>
      <c r="D24" s="2">
        <v>66088.820000000094</v>
      </c>
      <c r="E24" s="2">
        <v>66105.530000000101</v>
      </c>
      <c r="F24" s="2">
        <v>66108.320000000094</v>
      </c>
      <c r="G24" s="2">
        <v>66108.320000000094</v>
      </c>
      <c r="H24" s="2">
        <v>66108.320000000094</v>
      </c>
      <c r="I24" s="2">
        <v>66108.320000000094</v>
      </c>
      <c r="J24" s="2">
        <v>66108.320000000094</v>
      </c>
      <c r="K24" s="2">
        <v>66108.320000000094</v>
      </c>
      <c r="L24" s="2">
        <v>66108.320000000094</v>
      </c>
      <c r="M24" s="2">
        <v>66108.320000000094</v>
      </c>
      <c r="N24" s="2">
        <v>66112.600000000093</v>
      </c>
      <c r="O24" s="2">
        <v>66133.1700000001</v>
      </c>
      <c r="P24" s="2">
        <v>66148.960000000094</v>
      </c>
      <c r="Q24" s="2">
        <v>66160.040000000095</v>
      </c>
      <c r="R24" s="2">
        <v>66176.05000000009</v>
      </c>
      <c r="S24" s="2">
        <v>66184.30000000009</v>
      </c>
      <c r="T24" s="2">
        <v>66189.020000000091</v>
      </c>
      <c r="U24" s="2">
        <v>66204.420000000086</v>
      </c>
      <c r="V24" s="2">
        <v>66204.420000000086</v>
      </c>
      <c r="W24" s="2">
        <v>66216.710000000079</v>
      </c>
      <c r="X24" s="2">
        <v>66238.030000000086</v>
      </c>
      <c r="Y24" s="2">
        <v>66259.840000000084</v>
      </c>
      <c r="Z24" s="2">
        <v>66269.500000000087</v>
      </c>
      <c r="AA24" s="2">
        <v>66288.540000000081</v>
      </c>
      <c r="AB24" s="2">
        <v>66309.970000000074</v>
      </c>
      <c r="AC24" s="2">
        <v>66322.500000000073</v>
      </c>
      <c r="AD24" s="2">
        <v>66332.940000000075</v>
      </c>
      <c r="AE24" s="2">
        <v>66340.110000000073</v>
      </c>
      <c r="AF24" s="3">
        <v>66356.970000000074</v>
      </c>
      <c r="AG24" s="51">
        <f t="shared" si="0"/>
        <v>66356.970000000074</v>
      </c>
      <c r="AH24" s="44">
        <v>66042.86</v>
      </c>
    </row>
    <row r="25" spans="1:34" x14ac:dyDescent="0.35">
      <c r="A25" s="33" t="s">
        <v>31</v>
      </c>
      <c r="B25" s="10">
        <v>65837.169999999984</v>
      </c>
      <c r="C25" s="2">
        <v>65859.059999999983</v>
      </c>
      <c r="D25" s="2">
        <v>65880.099999999977</v>
      </c>
      <c r="E25" s="2">
        <v>65901.64999999998</v>
      </c>
      <c r="F25" s="2">
        <v>65923.449999999983</v>
      </c>
      <c r="G25" s="2">
        <v>65943.50999999998</v>
      </c>
      <c r="H25" s="2">
        <v>65955.119999999981</v>
      </c>
      <c r="I25" s="2">
        <v>65975.64999999998</v>
      </c>
      <c r="J25" s="2">
        <v>65990.909999999974</v>
      </c>
      <c r="K25" s="2">
        <v>66010.089999999967</v>
      </c>
      <c r="L25" s="2">
        <v>66031.189999999973</v>
      </c>
      <c r="M25" s="2">
        <v>66053.519999999975</v>
      </c>
      <c r="N25" s="2">
        <v>66064.559999999969</v>
      </c>
      <c r="O25" s="2">
        <v>66084.359999999971</v>
      </c>
      <c r="P25" s="2">
        <v>66088.959999999977</v>
      </c>
      <c r="Q25" s="2">
        <v>66108.89999999998</v>
      </c>
      <c r="R25" s="2">
        <v>66115.199999999983</v>
      </c>
      <c r="S25" s="2">
        <v>66135.669999999984</v>
      </c>
      <c r="T25" s="2">
        <v>66152.449999999983</v>
      </c>
      <c r="U25" s="2">
        <v>66161.489999999976</v>
      </c>
      <c r="V25" s="2">
        <v>66178.169999999969</v>
      </c>
      <c r="W25" s="2">
        <v>66188.309999999969</v>
      </c>
      <c r="X25" s="2">
        <v>66207.77999999997</v>
      </c>
      <c r="Y25" s="2">
        <v>66229.669999999969</v>
      </c>
      <c r="Z25" s="2">
        <v>66250.449999999968</v>
      </c>
      <c r="AA25" s="2">
        <v>66271.809999999969</v>
      </c>
      <c r="AB25" s="2">
        <v>66293.059999999969</v>
      </c>
      <c r="AC25" s="2">
        <v>66306.169999999969</v>
      </c>
      <c r="AD25" s="2">
        <v>66327.059999999969</v>
      </c>
      <c r="AE25" s="2">
        <v>66348.039999999964</v>
      </c>
      <c r="AF25" s="3">
        <v>66368.76999999996</v>
      </c>
      <c r="AG25" s="51">
        <f t="shared" si="0"/>
        <v>66368.76999999996</v>
      </c>
      <c r="AH25" s="44">
        <v>65815.72</v>
      </c>
    </row>
    <row r="26" spans="1:34" x14ac:dyDescent="0.35">
      <c r="A26" s="33" t="s">
        <v>32</v>
      </c>
      <c r="B26" s="10">
        <v>66483.329999999973</v>
      </c>
      <c r="C26" s="2">
        <v>66504.77999999997</v>
      </c>
      <c r="D26" s="2">
        <v>66518.479999999967</v>
      </c>
      <c r="E26" s="2">
        <v>66535.539999999964</v>
      </c>
      <c r="F26" s="2">
        <v>66542.859999999971</v>
      </c>
      <c r="G26" s="2">
        <v>66563.039999999964</v>
      </c>
      <c r="H26" s="2">
        <v>66563.499999999971</v>
      </c>
      <c r="I26" s="2">
        <v>66563.499999999971</v>
      </c>
      <c r="J26" s="2">
        <v>66563.499999999971</v>
      </c>
      <c r="K26" s="2">
        <v>66565.02999999997</v>
      </c>
      <c r="L26" s="2">
        <v>66585.979999999967</v>
      </c>
      <c r="M26" s="2">
        <v>66607.929999999964</v>
      </c>
      <c r="N26" s="2">
        <v>66629.27999999997</v>
      </c>
      <c r="O26" s="2">
        <v>66634.88999999997</v>
      </c>
      <c r="P26" s="2">
        <v>66649.129999999976</v>
      </c>
      <c r="Q26" s="2">
        <v>66669.909999999974</v>
      </c>
      <c r="R26" s="2">
        <v>66690.999999999971</v>
      </c>
      <c r="S26" s="2">
        <v>66712.509999999966</v>
      </c>
      <c r="T26" s="2">
        <v>66734.449999999968</v>
      </c>
      <c r="U26" s="2">
        <v>66756.129999999961</v>
      </c>
      <c r="V26" s="2">
        <v>66766.719999999958</v>
      </c>
      <c r="W26" s="2">
        <v>66783.979999999952</v>
      </c>
      <c r="X26" s="2">
        <v>66802.219999999958</v>
      </c>
      <c r="Y26" s="2">
        <v>66823.849999999962</v>
      </c>
      <c r="Z26" s="2">
        <v>66845.40999999996</v>
      </c>
      <c r="AA26" s="2">
        <v>66865.51999999996</v>
      </c>
      <c r="AB26" s="2">
        <v>66883.109999999957</v>
      </c>
      <c r="AC26" s="2">
        <v>66901.309999999954</v>
      </c>
      <c r="AD26" s="2">
        <v>66910.639999999956</v>
      </c>
      <c r="AE26" s="2">
        <v>66910.639999999956</v>
      </c>
      <c r="AF26" s="3">
        <v>66911.329999999958</v>
      </c>
      <c r="AG26" s="51">
        <f t="shared" si="0"/>
        <v>66911.329999999958</v>
      </c>
      <c r="AH26" s="44">
        <v>66462.850000000006</v>
      </c>
    </row>
    <row r="27" spans="1:34" x14ac:dyDescent="0.35">
      <c r="A27" s="33" t="s">
        <v>33</v>
      </c>
      <c r="B27" s="10">
        <v>67222.630000000048</v>
      </c>
      <c r="C27" s="2">
        <v>67243.570000000051</v>
      </c>
      <c r="D27" s="2">
        <v>67252.46000000005</v>
      </c>
      <c r="E27" s="2">
        <v>67273.21000000005</v>
      </c>
      <c r="F27" s="2">
        <v>67293.720000000045</v>
      </c>
      <c r="G27" s="2">
        <v>67313.96000000005</v>
      </c>
      <c r="H27" s="2">
        <v>67336.020000000048</v>
      </c>
      <c r="I27" s="2">
        <v>67356.21000000005</v>
      </c>
      <c r="J27" s="2">
        <v>67377.580000000045</v>
      </c>
      <c r="K27" s="2">
        <v>67398.790000000052</v>
      </c>
      <c r="L27" s="2">
        <v>67415.350000000049</v>
      </c>
      <c r="M27" s="2">
        <v>67424.300000000047</v>
      </c>
      <c r="N27" s="2">
        <v>67443.800000000047</v>
      </c>
      <c r="O27" s="2">
        <v>67464.540000000052</v>
      </c>
      <c r="P27" s="2">
        <v>67474.970000000045</v>
      </c>
      <c r="Q27" s="2">
        <v>67492.440000000046</v>
      </c>
      <c r="R27" s="2">
        <v>67513.560000000041</v>
      </c>
      <c r="S27" s="2">
        <v>67535.34000000004</v>
      </c>
      <c r="T27" s="2">
        <v>67552.73000000004</v>
      </c>
      <c r="U27" s="2">
        <v>67573.190000000046</v>
      </c>
      <c r="V27" s="2">
        <v>67594.580000000045</v>
      </c>
      <c r="W27" s="2">
        <v>67594.660000000047</v>
      </c>
      <c r="X27" s="2">
        <v>67607.240000000049</v>
      </c>
      <c r="Y27" s="2">
        <v>67628.500000000044</v>
      </c>
      <c r="Z27" s="2">
        <v>67650.110000000044</v>
      </c>
      <c r="AA27" s="2">
        <v>67667.420000000042</v>
      </c>
      <c r="AB27" s="2">
        <v>67685.800000000047</v>
      </c>
      <c r="AC27" s="2">
        <v>67704.270000000048</v>
      </c>
      <c r="AD27" s="2">
        <v>67720.120000000054</v>
      </c>
      <c r="AE27" s="2">
        <v>67741.360000000059</v>
      </c>
      <c r="AF27" s="3">
        <v>67761.360000000059</v>
      </c>
      <c r="AG27" s="51">
        <f t="shared" si="0"/>
        <v>67761.360000000059</v>
      </c>
      <c r="AH27" s="44">
        <v>67201.179999999993</v>
      </c>
    </row>
    <row r="28" spans="1:34" x14ac:dyDescent="0.35">
      <c r="A28" s="33" t="s">
        <v>34</v>
      </c>
      <c r="B28" s="10">
        <v>64717.760000000068</v>
      </c>
      <c r="C28" s="2">
        <v>64737.610000000066</v>
      </c>
      <c r="D28" s="2">
        <v>64752.390000000065</v>
      </c>
      <c r="E28" s="2">
        <v>64759.060000000063</v>
      </c>
      <c r="F28" s="2">
        <v>64769.490000000063</v>
      </c>
      <c r="G28" s="2">
        <v>64785.170000000064</v>
      </c>
      <c r="H28" s="2">
        <v>64806.680000000066</v>
      </c>
      <c r="I28" s="2">
        <v>64826.960000000065</v>
      </c>
      <c r="J28" s="2">
        <v>64848.390000000065</v>
      </c>
      <c r="K28" s="2">
        <v>64868.610000000066</v>
      </c>
      <c r="L28" s="2">
        <v>64890.970000000067</v>
      </c>
      <c r="M28" s="2">
        <v>64907.920000000064</v>
      </c>
      <c r="N28" s="2">
        <v>64929.180000000066</v>
      </c>
      <c r="O28" s="2">
        <v>64950.730000000069</v>
      </c>
      <c r="P28" s="2">
        <v>64971.030000000072</v>
      </c>
      <c r="Q28" s="2">
        <v>64992.420000000071</v>
      </c>
      <c r="R28" s="2">
        <v>64995.740000000071</v>
      </c>
      <c r="S28" s="2">
        <v>64995.740000000071</v>
      </c>
      <c r="T28" s="2">
        <v>64995.740000000071</v>
      </c>
      <c r="U28" s="2">
        <v>64995.740000000071</v>
      </c>
      <c r="V28" s="2">
        <v>64997.800000000068</v>
      </c>
      <c r="W28" s="2">
        <v>65014.95000000007</v>
      </c>
      <c r="X28" s="2">
        <v>65036.610000000073</v>
      </c>
      <c r="Y28" s="2">
        <v>65058.250000000073</v>
      </c>
      <c r="Z28" s="2">
        <v>65079.680000000073</v>
      </c>
      <c r="AA28" s="2">
        <v>65097.710000000072</v>
      </c>
      <c r="AB28" s="2">
        <v>65119.550000000068</v>
      </c>
      <c r="AC28" s="2">
        <v>65141.13000000007</v>
      </c>
      <c r="AD28" s="2">
        <v>65161.480000000069</v>
      </c>
      <c r="AE28" s="2">
        <v>65182.620000000068</v>
      </c>
      <c r="AF28" s="3">
        <v>65199.660000000069</v>
      </c>
      <c r="AG28" s="51">
        <f t="shared" si="0"/>
        <v>65199.660000000069</v>
      </c>
      <c r="AH28" s="44">
        <v>64704.08</v>
      </c>
    </row>
    <row r="29" spans="1:34" x14ac:dyDescent="0.35">
      <c r="A29" s="33" t="s">
        <v>35</v>
      </c>
      <c r="B29" s="10">
        <v>65988.850000000108</v>
      </c>
      <c r="C29" s="2">
        <v>66003.220000000103</v>
      </c>
      <c r="D29" s="2">
        <v>66003.220000000103</v>
      </c>
      <c r="E29" s="2">
        <v>66007.840000000098</v>
      </c>
      <c r="F29" s="2">
        <v>66029.4200000001</v>
      </c>
      <c r="G29" s="2">
        <v>66050.280000000101</v>
      </c>
      <c r="H29" s="2">
        <v>66071.770000000106</v>
      </c>
      <c r="I29" s="2">
        <v>66093.610000000102</v>
      </c>
      <c r="J29" s="2">
        <v>66114.4200000001</v>
      </c>
      <c r="K29" s="2">
        <v>66136.130000000107</v>
      </c>
      <c r="L29" s="2">
        <v>66145.940000000104</v>
      </c>
      <c r="M29" s="2">
        <v>66167.4200000001</v>
      </c>
      <c r="N29" s="2">
        <v>66188.800000000105</v>
      </c>
      <c r="O29" s="2">
        <v>66210.950000000099</v>
      </c>
      <c r="P29" s="2">
        <v>66228.740000000093</v>
      </c>
      <c r="Q29" s="2">
        <v>66250.240000000093</v>
      </c>
      <c r="R29" s="2">
        <v>66271.340000000098</v>
      </c>
      <c r="S29" s="2">
        <v>66293.110000000102</v>
      </c>
      <c r="T29" s="2">
        <v>66314.580000000104</v>
      </c>
      <c r="U29" s="2">
        <v>66335.8100000001</v>
      </c>
      <c r="V29" s="2">
        <v>66357.480000000098</v>
      </c>
      <c r="W29" s="2">
        <v>66378.850000000093</v>
      </c>
      <c r="X29" s="2">
        <v>66391.880000000092</v>
      </c>
      <c r="Y29" s="2">
        <v>66413.080000000089</v>
      </c>
      <c r="Z29" s="2">
        <v>66434.660000000091</v>
      </c>
      <c r="AA29" s="2">
        <v>66456.570000000094</v>
      </c>
      <c r="AB29" s="2">
        <v>66477.130000000092</v>
      </c>
      <c r="AC29" s="2">
        <v>66498.500000000087</v>
      </c>
      <c r="AD29" s="2">
        <v>66509.470000000088</v>
      </c>
      <c r="AE29" s="2">
        <v>66529.950000000084</v>
      </c>
      <c r="AF29" s="3">
        <v>66543.510000000082</v>
      </c>
      <c r="AG29" s="51">
        <f t="shared" si="0"/>
        <v>66543.510000000082</v>
      </c>
      <c r="AH29" s="44">
        <v>65967.38</v>
      </c>
    </row>
    <row r="30" spans="1:34" x14ac:dyDescent="0.35">
      <c r="A30" s="33" t="s">
        <v>36</v>
      </c>
      <c r="B30" s="10">
        <v>65408.330000000162</v>
      </c>
      <c r="C30" s="2">
        <v>65428.580000000162</v>
      </c>
      <c r="D30" s="2">
        <v>65450.060000000165</v>
      </c>
      <c r="E30" s="2">
        <v>65471.470000000169</v>
      </c>
      <c r="F30" s="2">
        <v>65492.920000000166</v>
      </c>
      <c r="G30" s="2">
        <v>65513.150000000169</v>
      </c>
      <c r="H30" s="2">
        <v>65534.660000000171</v>
      </c>
      <c r="I30" s="2">
        <v>65557.000000000175</v>
      </c>
      <c r="J30" s="2">
        <v>65578.49000000018</v>
      </c>
      <c r="K30" s="2">
        <v>65600.290000000183</v>
      </c>
      <c r="L30" s="2">
        <v>65619.10000000018</v>
      </c>
      <c r="M30" s="2">
        <v>65638.930000000182</v>
      </c>
      <c r="N30" s="2">
        <v>65661.920000000187</v>
      </c>
      <c r="O30" s="2">
        <v>65683.680000000182</v>
      </c>
      <c r="P30" s="2">
        <v>65703.940000000177</v>
      </c>
      <c r="Q30" s="2">
        <v>65723.200000000172</v>
      </c>
      <c r="R30" s="2">
        <v>65744.410000000178</v>
      </c>
      <c r="S30" s="2">
        <v>65761.99000000018</v>
      </c>
      <c r="T30" s="2">
        <v>65771.040000000183</v>
      </c>
      <c r="U30" s="2">
        <v>65791.900000000183</v>
      </c>
      <c r="V30" s="2">
        <v>65813.880000000179</v>
      </c>
      <c r="W30" s="2">
        <v>65835.640000000174</v>
      </c>
      <c r="X30" s="2">
        <v>65852.190000000177</v>
      </c>
      <c r="Y30" s="2">
        <v>65873.220000000176</v>
      </c>
      <c r="Z30" s="2">
        <v>65883.060000000172</v>
      </c>
      <c r="AA30" s="2">
        <v>65904.750000000175</v>
      </c>
      <c r="AB30" s="2">
        <v>65926.250000000175</v>
      </c>
      <c r="AC30" s="2">
        <v>65944.980000000171</v>
      </c>
      <c r="AD30" s="2">
        <v>65944.980000000171</v>
      </c>
      <c r="AE30" s="2">
        <v>65947.520000000164</v>
      </c>
      <c r="AF30" s="3">
        <v>65965.920000000158</v>
      </c>
      <c r="AG30" s="51">
        <f t="shared" si="0"/>
        <v>65965.920000000158</v>
      </c>
      <c r="AH30" s="44">
        <v>65387.1</v>
      </c>
    </row>
    <row r="31" spans="1:34" x14ac:dyDescent="0.35">
      <c r="A31" s="33" t="s">
        <v>37</v>
      </c>
      <c r="B31" s="10">
        <v>65666.210000000021</v>
      </c>
      <c r="C31" s="2">
        <v>65669.210000000021</v>
      </c>
      <c r="D31" s="2">
        <v>65677.330000000016</v>
      </c>
      <c r="E31" s="2">
        <v>65693.340000000011</v>
      </c>
      <c r="F31" s="2">
        <v>65695.400000000009</v>
      </c>
      <c r="G31" s="2">
        <v>65695.400000000009</v>
      </c>
      <c r="H31" s="2">
        <v>65714.320000000007</v>
      </c>
      <c r="I31" s="2">
        <v>65735.760000000009</v>
      </c>
      <c r="J31" s="2">
        <v>65757.290000000008</v>
      </c>
      <c r="K31" s="2">
        <v>65776.290000000008</v>
      </c>
      <c r="L31" s="2">
        <v>65792.860000000015</v>
      </c>
      <c r="M31" s="2">
        <v>65814.220000000016</v>
      </c>
      <c r="N31" s="2">
        <v>65836.700000000012</v>
      </c>
      <c r="O31" s="2">
        <v>65857.790000000008</v>
      </c>
      <c r="P31" s="2">
        <v>65875.180000000008</v>
      </c>
      <c r="Q31" s="2">
        <v>65896.48000000001</v>
      </c>
      <c r="R31" s="2">
        <v>65917.780000000013</v>
      </c>
      <c r="S31" s="2">
        <v>65939.250000000015</v>
      </c>
      <c r="T31" s="2">
        <v>65960.760000000009</v>
      </c>
      <c r="U31" s="2">
        <v>65981.48000000001</v>
      </c>
      <c r="V31" s="2">
        <v>66003.150000000009</v>
      </c>
      <c r="W31" s="2">
        <v>66024.470000000016</v>
      </c>
      <c r="X31" s="2">
        <v>66045.560000000012</v>
      </c>
      <c r="Y31" s="2">
        <v>66067.040000000008</v>
      </c>
      <c r="Z31" s="2">
        <v>66088.750000000015</v>
      </c>
      <c r="AA31" s="2">
        <v>66110.640000000014</v>
      </c>
      <c r="AB31" s="2">
        <v>66132.150000000009</v>
      </c>
      <c r="AC31" s="2">
        <v>66153.37000000001</v>
      </c>
      <c r="AD31" s="2">
        <v>66172.740000000005</v>
      </c>
      <c r="AE31" s="2">
        <v>66181.540000000008</v>
      </c>
      <c r="AF31" s="3">
        <v>66200.850000000006</v>
      </c>
      <c r="AG31" s="51">
        <f t="shared" si="0"/>
        <v>66200.850000000006</v>
      </c>
      <c r="AH31" s="44">
        <v>65646.13</v>
      </c>
    </row>
    <row r="32" spans="1:34" x14ac:dyDescent="0.35">
      <c r="A32" s="33" t="s">
        <v>38</v>
      </c>
      <c r="B32" s="10">
        <v>65947.280000000144</v>
      </c>
      <c r="C32" s="2">
        <v>65967.820000000138</v>
      </c>
      <c r="D32" s="2">
        <v>65989.40000000014</v>
      </c>
      <c r="E32" s="2">
        <v>66009.780000000144</v>
      </c>
      <c r="F32" s="2">
        <v>66022.000000000146</v>
      </c>
      <c r="G32" s="2">
        <v>66032.290000000139</v>
      </c>
      <c r="H32" s="2">
        <v>66033.910000000134</v>
      </c>
      <c r="I32" s="2">
        <v>66033.910000000134</v>
      </c>
      <c r="J32" s="2">
        <v>66033.910000000134</v>
      </c>
      <c r="K32" s="2">
        <v>66033.910000000134</v>
      </c>
      <c r="L32" s="2">
        <v>66033.910000000134</v>
      </c>
      <c r="M32" s="2">
        <v>66033.910000000134</v>
      </c>
      <c r="N32" s="2">
        <v>66033.910000000134</v>
      </c>
      <c r="O32" s="2">
        <v>66038.310000000129</v>
      </c>
      <c r="P32" s="2">
        <v>66048.190000000133</v>
      </c>
      <c r="Q32" s="2">
        <v>66063.78000000013</v>
      </c>
      <c r="R32" s="2">
        <v>66076.020000000135</v>
      </c>
      <c r="S32" s="2">
        <v>66097.64000000013</v>
      </c>
      <c r="T32" s="2">
        <v>66112.690000000133</v>
      </c>
      <c r="U32" s="2">
        <v>66133.460000000137</v>
      </c>
      <c r="V32" s="2">
        <v>66146.580000000133</v>
      </c>
      <c r="W32" s="2">
        <v>66168.230000000127</v>
      </c>
      <c r="X32" s="2">
        <v>66190.220000000132</v>
      </c>
      <c r="Y32" s="2">
        <v>66210.010000000126</v>
      </c>
      <c r="Z32" s="2">
        <v>66226.420000000129</v>
      </c>
      <c r="AA32" s="2">
        <v>66247.960000000123</v>
      </c>
      <c r="AB32" s="2">
        <v>66269.870000000126</v>
      </c>
      <c r="AC32" s="2">
        <v>66290.78000000013</v>
      </c>
      <c r="AD32" s="2">
        <v>66311.070000000123</v>
      </c>
      <c r="AE32" s="2">
        <v>66325.060000000129</v>
      </c>
      <c r="AF32" s="3">
        <v>66344.350000000122</v>
      </c>
      <c r="AG32" s="51">
        <f t="shared" si="0"/>
        <v>66344.350000000122</v>
      </c>
      <c r="AH32" s="44">
        <v>65925.990000000005</v>
      </c>
    </row>
    <row r="33" spans="1:34" x14ac:dyDescent="0.35">
      <c r="A33" s="33" t="s">
        <v>39</v>
      </c>
      <c r="B33" s="10">
        <v>65113.139999999876</v>
      </c>
      <c r="C33" s="2">
        <v>65131.729999999872</v>
      </c>
      <c r="D33" s="2">
        <v>65146.579999999871</v>
      </c>
      <c r="E33" s="2">
        <v>65167.369999999872</v>
      </c>
      <c r="F33" s="2">
        <v>65178.589999999873</v>
      </c>
      <c r="G33" s="2">
        <v>65185.96999999987</v>
      </c>
      <c r="H33" s="2">
        <v>65201.46999999987</v>
      </c>
      <c r="I33" s="2">
        <v>65222.419999999867</v>
      </c>
      <c r="J33" s="2">
        <v>65243.349999999868</v>
      </c>
      <c r="K33" s="2">
        <v>65264.60999999987</v>
      </c>
      <c r="L33" s="2">
        <v>65284.729999999872</v>
      </c>
      <c r="M33" s="2">
        <v>65301.949999999873</v>
      </c>
      <c r="N33" s="2">
        <v>65319.019999999873</v>
      </c>
      <c r="O33" s="2">
        <v>65331.879999999874</v>
      </c>
      <c r="P33" s="2">
        <v>65350.269999999873</v>
      </c>
      <c r="Q33" s="2">
        <v>65368.529999999875</v>
      </c>
      <c r="R33" s="2">
        <v>65385.489999999874</v>
      </c>
      <c r="S33" s="2">
        <v>65406.609999999877</v>
      </c>
      <c r="T33" s="2">
        <v>65425.40999999988</v>
      </c>
      <c r="U33" s="2">
        <v>65446.239999999882</v>
      </c>
      <c r="V33" s="2">
        <v>65465.419999999882</v>
      </c>
      <c r="W33" s="2">
        <v>65487.049999999879</v>
      </c>
      <c r="X33" s="2">
        <v>65508.649999999878</v>
      </c>
      <c r="Y33" s="2">
        <v>65530.179999999877</v>
      </c>
      <c r="Z33" s="2">
        <v>65551.739999999874</v>
      </c>
      <c r="AA33" s="2">
        <v>65573.399999999878</v>
      </c>
      <c r="AB33" s="2">
        <v>65595.049999999872</v>
      </c>
      <c r="AC33" s="2">
        <v>65601.119999999879</v>
      </c>
      <c r="AD33" s="2">
        <v>65621.029999999882</v>
      </c>
      <c r="AE33" s="2">
        <v>65642.519999999888</v>
      </c>
      <c r="AF33" s="3">
        <v>65663.739999999889</v>
      </c>
      <c r="AG33" s="51">
        <f t="shared" si="0"/>
        <v>65663.739999999889</v>
      </c>
      <c r="AH33" s="44">
        <v>65095.64</v>
      </c>
    </row>
    <row r="34" spans="1:34" x14ac:dyDescent="0.35">
      <c r="A34" s="33" t="s">
        <v>40</v>
      </c>
      <c r="B34" s="10">
        <v>48174.309999999903</v>
      </c>
      <c r="C34" s="2">
        <v>48174.309999999903</v>
      </c>
      <c r="D34" s="2">
        <v>48174.309999999903</v>
      </c>
      <c r="E34" s="2">
        <v>48174.309999999903</v>
      </c>
      <c r="F34" s="2">
        <v>48174.309999999903</v>
      </c>
      <c r="G34" s="2">
        <v>48174.309999999903</v>
      </c>
      <c r="H34" s="2">
        <v>48174.309999999903</v>
      </c>
      <c r="I34" s="2">
        <v>48174.309999999903</v>
      </c>
      <c r="J34" s="2">
        <v>48174.309999999903</v>
      </c>
      <c r="K34" s="2">
        <v>48193.209999999905</v>
      </c>
      <c r="L34" s="2">
        <v>48214.889999999905</v>
      </c>
      <c r="M34" s="2">
        <v>48235.399999999907</v>
      </c>
      <c r="N34" s="2">
        <v>48250.55999999991</v>
      </c>
      <c r="O34" s="2">
        <v>48259.209999999912</v>
      </c>
      <c r="P34" s="2">
        <v>48269.009999999915</v>
      </c>
      <c r="Q34" s="2">
        <v>48284.699999999917</v>
      </c>
      <c r="R34" s="2">
        <v>48297.709999999919</v>
      </c>
      <c r="S34" s="2">
        <v>48316.279999999919</v>
      </c>
      <c r="T34" s="2">
        <v>48331.419999999918</v>
      </c>
      <c r="U34" s="2">
        <v>48352.369999999915</v>
      </c>
      <c r="V34" s="2">
        <v>48373.859999999913</v>
      </c>
      <c r="W34" s="2">
        <v>48395.509999999915</v>
      </c>
      <c r="X34" s="2">
        <v>48416.179999999913</v>
      </c>
      <c r="Y34" s="2">
        <v>48436.469999999914</v>
      </c>
      <c r="Z34" s="2">
        <v>48448.179999999913</v>
      </c>
      <c r="AA34" s="2">
        <v>48465.039999999914</v>
      </c>
      <c r="AB34" s="2">
        <v>48476.039999999914</v>
      </c>
      <c r="AC34" s="2">
        <v>48481.119999999915</v>
      </c>
      <c r="AD34" s="2">
        <v>48493.699999999917</v>
      </c>
      <c r="AE34" s="2">
        <v>48515.029999999919</v>
      </c>
      <c r="AF34" s="3">
        <v>48536.309999999918</v>
      </c>
      <c r="AG34" s="51">
        <f t="shared" si="0"/>
        <v>48536.309999999918</v>
      </c>
      <c r="AH34" s="44">
        <v>48174.31</v>
      </c>
    </row>
    <row r="35" spans="1:34" x14ac:dyDescent="0.35">
      <c r="A35" s="33" t="s">
        <v>41</v>
      </c>
      <c r="B35" s="10">
        <v>50179.400000000038</v>
      </c>
      <c r="C35" s="2">
        <v>50179.400000000038</v>
      </c>
      <c r="D35" s="2">
        <v>50179.400000000038</v>
      </c>
      <c r="E35" s="2">
        <v>50179.400000000038</v>
      </c>
      <c r="F35" s="2">
        <v>50194.460000000036</v>
      </c>
      <c r="G35" s="2">
        <v>50215.040000000037</v>
      </c>
      <c r="H35" s="2">
        <v>50227.100000000035</v>
      </c>
      <c r="I35" s="2">
        <v>50248.630000000034</v>
      </c>
      <c r="J35" s="2">
        <v>50270.090000000033</v>
      </c>
      <c r="K35" s="2">
        <v>50290.900000000031</v>
      </c>
      <c r="L35" s="2">
        <v>50311.72000000003</v>
      </c>
      <c r="M35" s="2">
        <v>50332.54000000003</v>
      </c>
      <c r="N35" s="2">
        <v>50355.920000000027</v>
      </c>
      <c r="O35" s="2">
        <v>50377.280000000028</v>
      </c>
      <c r="P35" s="2">
        <v>50397.680000000029</v>
      </c>
      <c r="Q35" s="2">
        <v>50412.570000000029</v>
      </c>
      <c r="R35" s="2">
        <v>50434.160000000025</v>
      </c>
      <c r="S35" s="2">
        <v>50455.360000000022</v>
      </c>
      <c r="T35" s="2">
        <v>50473.220000000023</v>
      </c>
      <c r="U35" s="2">
        <v>50491.060000000019</v>
      </c>
      <c r="V35" s="2">
        <v>50502.10000000002</v>
      </c>
      <c r="W35" s="2">
        <v>50522.480000000018</v>
      </c>
      <c r="X35" s="2">
        <v>50537.840000000018</v>
      </c>
      <c r="Y35" s="2">
        <v>50558.690000000017</v>
      </c>
      <c r="Z35" s="2">
        <v>50580.340000000018</v>
      </c>
      <c r="AA35" s="2">
        <v>50598.680000000015</v>
      </c>
      <c r="AB35" s="2">
        <v>50620.280000000013</v>
      </c>
      <c r="AC35" s="2">
        <v>50640.630000000012</v>
      </c>
      <c r="AD35" s="2">
        <v>50661.44000000001</v>
      </c>
      <c r="AE35" s="2">
        <v>50682.87000000001</v>
      </c>
      <c r="AF35" s="3">
        <v>50703.650000000009</v>
      </c>
      <c r="AG35" s="51">
        <f t="shared" si="0"/>
        <v>50703.650000000009</v>
      </c>
      <c r="AH35" s="44">
        <v>50179.4</v>
      </c>
    </row>
    <row r="36" spans="1:34" x14ac:dyDescent="0.35">
      <c r="A36" s="33" t="s">
        <v>42</v>
      </c>
      <c r="B36" s="10">
        <v>45414.950000000026</v>
      </c>
      <c r="C36" s="2">
        <v>45435.930000000029</v>
      </c>
      <c r="D36" s="2">
        <v>45457.270000000026</v>
      </c>
      <c r="E36" s="2">
        <v>45478.760000000024</v>
      </c>
      <c r="F36" s="2">
        <v>45494.260000000024</v>
      </c>
      <c r="G36" s="2">
        <v>45511.810000000027</v>
      </c>
      <c r="H36" s="2">
        <v>45533.480000000025</v>
      </c>
      <c r="I36" s="2">
        <v>45555.130000000026</v>
      </c>
      <c r="J36" s="2">
        <v>45576.820000000029</v>
      </c>
      <c r="K36" s="2">
        <v>45596.500000000029</v>
      </c>
      <c r="L36" s="2">
        <v>45617.990000000027</v>
      </c>
      <c r="M36" s="2">
        <v>45631.090000000026</v>
      </c>
      <c r="N36" s="2">
        <v>45651.710000000028</v>
      </c>
      <c r="O36" s="2">
        <v>45673.390000000029</v>
      </c>
      <c r="P36" s="2">
        <v>45680.350000000028</v>
      </c>
      <c r="Q36" s="2">
        <v>45695.870000000024</v>
      </c>
      <c r="R36" s="2">
        <v>45716.560000000027</v>
      </c>
      <c r="S36" s="2">
        <v>45720.830000000024</v>
      </c>
      <c r="T36" s="2">
        <v>45720.900000000023</v>
      </c>
      <c r="U36" s="2">
        <v>45721.120000000024</v>
      </c>
      <c r="V36" s="2">
        <v>45734.830000000024</v>
      </c>
      <c r="W36" s="2">
        <v>45753.530000000021</v>
      </c>
      <c r="X36" s="2">
        <v>45775.580000000024</v>
      </c>
      <c r="Y36" s="2">
        <v>45790.700000000026</v>
      </c>
      <c r="Z36" s="2">
        <v>45808.430000000029</v>
      </c>
      <c r="AA36" s="2">
        <v>45822.960000000028</v>
      </c>
      <c r="AB36" s="2">
        <v>45844.97000000003</v>
      </c>
      <c r="AC36" s="2">
        <v>45864.170000000027</v>
      </c>
      <c r="AD36" s="2">
        <v>45882.97000000003</v>
      </c>
      <c r="AE36" s="2">
        <v>45903.680000000029</v>
      </c>
      <c r="AF36" s="3">
        <v>45923.440000000031</v>
      </c>
      <c r="AG36" s="51">
        <f t="shared" ref="AG36:AG67" si="1">MAX(B36:AF36)</f>
        <v>45923.440000000031</v>
      </c>
      <c r="AH36" s="44">
        <v>45396.69</v>
      </c>
    </row>
    <row r="37" spans="1:34" x14ac:dyDescent="0.35">
      <c r="A37" s="33" t="s">
        <v>43</v>
      </c>
      <c r="B37" s="10">
        <v>50065.100000000042</v>
      </c>
      <c r="C37" s="2">
        <v>50086.420000000042</v>
      </c>
      <c r="D37" s="2">
        <v>50107.450000000041</v>
      </c>
      <c r="E37" s="2">
        <v>50129.050000000039</v>
      </c>
      <c r="F37" s="2">
        <v>50150.140000000036</v>
      </c>
      <c r="G37" s="2">
        <v>50171.610000000037</v>
      </c>
      <c r="H37" s="2">
        <v>50181.640000000036</v>
      </c>
      <c r="I37" s="2">
        <v>50200.330000000038</v>
      </c>
      <c r="J37" s="2">
        <v>50220.52000000004</v>
      </c>
      <c r="K37" s="2">
        <v>50241.02000000004</v>
      </c>
      <c r="L37" s="2">
        <v>50262.600000000042</v>
      </c>
      <c r="M37" s="2">
        <v>50268.760000000046</v>
      </c>
      <c r="N37" s="2">
        <v>50268.760000000046</v>
      </c>
      <c r="O37" s="2">
        <v>50269.120000000046</v>
      </c>
      <c r="P37" s="2">
        <v>50269.120000000046</v>
      </c>
      <c r="Q37" s="2">
        <v>50278.940000000046</v>
      </c>
      <c r="R37" s="2">
        <v>50300.820000000043</v>
      </c>
      <c r="S37" s="2">
        <v>50322.220000000045</v>
      </c>
      <c r="T37" s="2">
        <v>50343.920000000042</v>
      </c>
      <c r="U37" s="2">
        <v>50365.510000000038</v>
      </c>
      <c r="V37" s="2">
        <v>50386.200000000041</v>
      </c>
      <c r="W37" s="2">
        <v>50404.800000000039</v>
      </c>
      <c r="X37" s="2">
        <v>50422.900000000038</v>
      </c>
      <c r="Y37" s="2">
        <v>50443.600000000035</v>
      </c>
      <c r="Z37" s="2">
        <v>50464.910000000033</v>
      </c>
      <c r="AA37" s="2">
        <v>50486.510000000031</v>
      </c>
      <c r="AB37" s="2">
        <v>50508.260000000031</v>
      </c>
      <c r="AC37" s="2">
        <v>50523.47000000003</v>
      </c>
      <c r="AD37" s="2">
        <v>50543.410000000033</v>
      </c>
      <c r="AE37" s="2">
        <v>50565.210000000036</v>
      </c>
      <c r="AF37" s="3">
        <v>50586.050000000032</v>
      </c>
      <c r="AG37" s="51">
        <f t="shared" si="1"/>
        <v>50586.050000000032</v>
      </c>
      <c r="AH37" s="44">
        <v>50043.27</v>
      </c>
    </row>
    <row r="38" spans="1:34" x14ac:dyDescent="0.35">
      <c r="A38" s="33" t="s">
        <v>44</v>
      </c>
      <c r="B38" s="10">
        <v>51395.270000000055</v>
      </c>
      <c r="C38" s="2">
        <v>51395.270000000055</v>
      </c>
      <c r="D38" s="2">
        <v>51395.270000000055</v>
      </c>
      <c r="E38" s="2">
        <v>51395.270000000055</v>
      </c>
      <c r="F38" s="2">
        <v>51395.270000000055</v>
      </c>
      <c r="G38" s="2">
        <v>51395.270000000055</v>
      </c>
      <c r="H38" s="2">
        <v>51395.270000000055</v>
      </c>
      <c r="I38" s="2">
        <v>51395.270000000055</v>
      </c>
      <c r="J38" s="2">
        <v>51395.270000000055</v>
      </c>
      <c r="K38" s="2">
        <v>51395.270000000055</v>
      </c>
      <c r="L38" s="2">
        <v>51395.270000000055</v>
      </c>
      <c r="M38" s="2">
        <v>51395.270000000055</v>
      </c>
      <c r="N38" s="2">
        <v>51395.270000000055</v>
      </c>
      <c r="O38" s="2">
        <v>51402.910000000054</v>
      </c>
      <c r="P38" s="2">
        <v>51417.400000000052</v>
      </c>
      <c r="Q38" s="2">
        <v>51439.330000000053</v>
      </c>
      <c r="R38" s="2">
        <v>51461.060000000056</v>
      </c>
      <c r="S38" s="2">
        <v>51481.440000000053</v>
      </c>
      <c r="T38" s="2">
        <v>51503.370000000054</v>
      </c>
      <c r="U38" s="2">
        <v>51524.790000000052</v>
      </c>
      <c r="V38" s="2">
        <v>51545.360000000052</v>
      </c>
      <c r="W38" s="2">
        <v>51559.020000000055</v>
      </c>
      <c r="X38" s="2">
        <v>51579.920000000056</v>
      </c>
      <c r="Y38" s="2">
        <v>51601.610000000059</v>
      </c>
      <c r="Z38" s="2">
        <v>51619.930000000058</v>
      </c>
      <c r="AA38" s="2">
        <v>51635.410000000062</v>
      </c>
      <c r="AB38" s="2">
        <v>51656.860000000059</v>
      </c>
      <c r="AC38" s="2">
        <v>51676.970000000059</v>
      </c>
      <c r="AD38" s="2">
        <v>51698.410000000062</v>
      </c>
      <c r="AE38" s="2">
        <v>51715.180000000058</v>
      </c>
      <c r="AF38" s="3">
        <v>51735.90000000006</v>
      </c>
      <c r="AG38" s="51">
        <f t="shared" si="1"/>
        <v>51735.90000000006</v>
      </c>
      <c r="AH38" s="44">
        <v>51395.27</v>
      </c>
    </row>
    <row r="39" spans="1:34" x14ac:dyDescent="0.35">
      <c r="A39" s="33" t="s">
        <v>45</v>
      </c>
      <c r="B39" s="10">
        <v>49479.319999999942</v>
      </c>
      <c r="C39" s="2">
        <v>49498.129999999939</v>
      </c>
      <c r="D39" s="2">
        <v>49512.379999999939</v>
      </c>
      <c r="E39" s="2">
        <v>49513.949999999939</v>
      </c>
      <c r="F39" s="2">
        <v>49528.999999999942</v>
      </c>
      <c r="G39" s="2">
        <v>49548.389999999941</v>
      </c>
      <c r="H39" s="2">
        <v>49569.569999999942</v>
      </c>
      <c r="I39" s="2">
        <v>49590.619999999944</v>
      </c>
      <c r="J39" s="2">
        <v>49608.259999999944</v>
      </c>
      <c r="K39" s="2">
        <v>49619.859999999942</v>
      </c>
      <c r="L39" s="2">
        <v>49619.859999999942</v>
      </c>
      <c r="M39" s="2">
        <v>49626.039999999943</v>
      </c>
      <c r="N39" s="2">
        <v>49641.319999999942</v>
      </c>
      <c r="O39" s="2">
        <v>49657.949999999939</v>
      </c>
      <c r="P39" s="2">
        <v>49677.66999999994</v>
      </c>
      <c r="Q39" s="2">
        <v>49698.629999999939</v>
      </c>
      <c r="R39" s="2">
        <v>49717.969999999936</v>
      </c>
      <c r="S39" s="2">
        <v>49735.689999999937</v>
      </c>
      <c r="T39" s="2">
        <v>49757.089999999938</v>
      </c>
      <c r="U39" s="2">
        <v>49769.879999999939</v>
      </c>
      <c r="V39" s="2">
        <v>49791.34999999994</v>
      </c>
      <c r="W39" s="2">
        <v>49812.519999999939</v>
      </c>
      <c r="X39" s="2">
        <v>49831.629999999939</v>
      </c>
      <c r="Y39" s="2">
        <v>49853.069999999942</v>
      </c>
      <c r="Z39" s="2">
        <v>49875.029999999941</v>
      </c>
      <c r="AA39" s="2">
        <v>49878.529999999941</v>
      </c>
      <c r="AB39" s="2">
        <v>49880.179999999942</v>
      </c>
      <c r="AC39" s="2">
        <v>49887.039999999943</v>
      </c>
      <c r="AD39" s="2">
        <v>49893.609999999942</v>
      </c>
      <c r="AE39" s="2">
        <v>49912.559999999939</v>
      </c>
      <c r="AF39" s="3">
        <v>49929.649999999936</v>
      </c>
      <c r="AG39" s="51">
        <f t="shared" si="1"/>
        <v>49929.649999999936</v>
      </c>
      <c r="AH39" s="44">
        <v>49460.29</v>
      </c>
    </row>
    <row r="40" spans="1:34" x14ac:dyDescent="0.35">
      <c r="A40" s="33" t="s">
        <v>46</v>
      </c>
      <c r="B40" s="10">
        <v>50353.909999999974</v>
      </c>
      <c r="C40" s="2">
        <v>50366.069999999978</v>
      </c>
      <c r="D40" s="2">
        <v>50385.439999999981</v>
      </c>
      <c r="E40" s="2">
        <v>50406.429999999978</v>
      </c>
      <c r="F40" s="2">
        <v>50427.599999999977</v>
      </c>
      <c r="G40" s="2">
        <v>50449.619999999974</v>
      </c>
      <c r="H40" s="2">
        <v>50469.089999999975</v>
      </c>
      <c r="I40" s="2">
        <v>50491.739999999976</v>
      </c>
      <c r="J40" s="2">
        <v>50512.599999999977</v>
      </c>
      <c r="K40" s="2">
        <v>50526.39999999998</v>
      </c>
      <c r="L40" s="2">
        <v>50547.959999999977</v>
      </c>
      <c r="M40" s="2">
        <v>50569.07999999998</v>
      </c>
      <c r="N40" s="2">
        <v>50590.529999999977</v>
      </c>
      <c r="O40" s="2">
        <v>50612.809999999976</v>
      </c>
      <c r="P40" s="2">
        <v>50632.069999999978</v>
      </c>
      <c r="Q40" s="2">
        <v>50653.879999999976</v>
      </c>
      <c r="R40" s="2">
        <v>50674.459999999977</v>
      </c>
      <c r="S40" s="2">
        <v>50694.89999999998</v>
      </c>
      <c r="T40" s="2">
        <v>50715.599999999977</v>
      </c>
      <c r="U40" s="2">
        <v>50736.109999999979</v>
      </c>
      <c r="V40" s="2">
        <v>50743.489999999976</v>
      </c>
      <c r="W40" s="2">
        <v>50765.329999999973</v>
      </c>
      <c r="X40" s="2">
        <v>50781.049999999974</v>
      </c>
      <c r="Y40" s="2">
        <v>50802.149999999972</v>
      </c>
      <c r="Z40" s="2">
        <v>50816.649999999972</v>
      </c>
      <c r="AA40" s="2">
        <v>50838.13999999997</v>
      </c>
      <c r="AB40" s="2">
        <v>50859.70999999997</v>
      </c>
      <c r="AC40" s="2">
        <v>50865.589999999967</v>
      </c>
      <c r="AD40" s="2">
        <v>50884.099999999969</v>
      </c>
      <c r="AE40" s="2">
        <v>50905.20999999997</v>
      </c>
      <c r="AF40" s="3">
        <v>50926.159999999967</v>
      </c>
      <c r="AG40" s="51">
        <f t="shared" si="1"/>
        <v>50926.159999999967</v>
      </c>
      <c r="AH40" s="44">
        <v>50335.4</v>
      </c>
    </row>
    <row r="41" spans="1:34" x14ac:dyDescent="0.35">
      <c r="A41" s="33" t="s">
        <v>47</v>
      </c>
      <c r="B41" s="10">
        <v>48009.150000000023</v>
      </c>
      <c r="C41" s="2">
        <v>48025.510000000024</v>
      </c>
      <c r="D41" s="2">
        <v>48040.320000000022</v>
      </c>
      <c r="E41" s="2">
        <v>48040.320000000022</v>
      </c>
      <c r="F41" s="2">
        <v>48050.820000000022</v>
      </c>
      <c r="G41" s="2">
        <v>48070.910000000018</v>
      </c>
      <c r="H41" s="2">
        <v>48089.050000000017</v>
      </c>
      <c r="I41" s="2">
        <v>48110.370000000017</v>
      </c>
      <c r="J41" s="2">
        <v>48133.010000000017</v>
      </c>
      <c r="K41" s="2">
        <v>48154.560000000019</v>
      </c>
      <c r="L41" s="2">
        <v>48176.190000000017</v>
      </c>
      <c r="M41" s="2">
        <v>48193.790000000015</v>
      </c>
      <c r="N41" s="2">
        <v>48215.180000000015</v>
      </c>
      <c r="O41" s="2">
        <v>48236.670000000013</v>
      </c>
      <c r="P41" s="2">
        <v>48253.44000000001</v>
      </c>
      <c r="Q41" s="2">
        <v>48269.010000000009</v>
      </c>
      <c r="R41" s="2">
        <v>48291.030000000006</v>
      </c>
      <c r="S41" s="2">
        <v>48306.130000000005</v>
      </c>
      <c r="T41" s="2">
        <v>48324.710000000006</v>
      </c>
      <c r="U41" s="2">
        <v>48335.060000000005</v>
      </c>
      <c r="V41" s="2">
        <v>48355.570000000007</v>
      </c>
      <c r="W41" s="2">
        <v>48376.780000000006</v>
      </c>
      <c r="X41" s="2">
        <v>48397.950000000004</v>
      </c>
      <c r="Y41" s="2">
        <v>48419.250000000007</v>
      </c>
      <c r="Z41" s="2">
        <v>48440.330000000009</v>
      </c>
      <c r="AA41" s="2">
        <v>48442.180000000008</v>
      </c>
      <c r="AB41" s="2">
        <v>48455.650000000009</v>
      </c>
      <c r="AC41" s="2">
        <v>48473.900000000009</v>
      </c>
      <c r="AD41" s="2">
        <v>48473.900000000009</v>
      </c>
      <c r="AE41" s="2">
        <v>48494.900000000009</v>
      </c>
      <c r="AF41" s="3">
        <v>48517.19000000001</v>
      </c>
      <c r="AG41" s="51">
        <f t="shared" si="1"/>
        <v>48517.19000000001</v>
      </c>
      <c r="AH41" s="44">
        <v>47992.95</v>
      </c>
    </row>
    <row r="42" spans="1:34" x14ac:dyDescent="0.35">
      <c r="A42" s="33" t="s">
        <v>48</v>
      </c>
      <c r="B42" s="10">
        <v>41879.799999999988</v>
      </c>
      <c r="C42" s="2">
        <v>41894.19999999999</v>
      </c>
      <c r="D42" s="2">
        <v>41894.19999999999</v>
      </c>
      <c r="E42" s="2">
        <v>41894.19999999999</v>
      </c>
      <c r="F42" s="2">
        <v>41895.279999999992</v>
      </c>
      <c r="G42" s="2">
        <v>41895.529999999992</v>
      </c>
      <c r="H42" s="2">
        <v>41916.619999999988</v>
      </c>
      <c r="I42" s="2">
        <v>41929.579999999987</v>
      </c>
      <c r="J42" s="2">
        <v>41936.569999999985</v>
      </c>
      <c r="K42" s="2">
        <v>41943.179999999986</v>
      </c>
      <c r="L42" s="2">
        <v>41944.489999999983</v>
      </c>
      <c r="M42" s="2">
        <v>41944.489999999983</v>
      </c>
      <c r="N42" s="2">
        <v>41944.489999999983</v>
      </c>
      <c r="O42" s="2">
        <v>41944.489999999983</v>
      </c>
      <c r="P42" s="2">
        <v>41944.489999999983</v>
      </c>
      <c r="Q42" s="2">
        <v>41944.489999999983</v>
      </c>
      <c r="R42" s="2">
        <v>41944.489999999983</v>
      </c>
      <c r="S42" s="2">
        <v>41944.489999999983</v>
      </c>
      <c r="T42" s="2">
        <v>41944.489999999983</v>
      </c>
      <c r="U42" s="2">
        <v>41944.489999999983</v>
      </c>
      <c r="V42" s="2">
        <v>41944.489999999983</v>
      </c>
      <c r="W42" s="2">
        <v>41944.489999999983</v>
      </c>
      <c r="X42" s="2">
        <v>41944.489999999983</v>
      </c>
      <c r="Y42" s="2">
        <v>41944.489999999983</v>
      </c>
      <c r="Z42" s="2">
        <v>41944.489999999983</v>
      </c>
      <c r="AA42" s="2">
        <v>41944.489999999983</v>
      </c>
      <c r="AB42" s="2">
        <v>41944.489999999983</v>
      </c>
      <c r="AC42" s="2">
        <v>41944.489999999983</v>
      </c>
      <c r="AD42" s="2">
        <v>41944.489999999983</v>
      </c>
      <c r="AE42" s="2">
        <v>41944.489999999983</v>
      </c>
      <c r="AF42" s="3">
        <v>41944.489999999983</v>
      </c>
      <c r="AG42" s="51">
        <f t="shared" si="1"/>
        <v>41944.489999999983</v>
      </c>
      <c r="AH42" s="44">
        <v>41868.230000000003</v>
      </c>
    </row>
    <row r="43" spans="1:34" x14ac:dyDescent="0.35">
      <c r="A43" s="33" t="s">
        <v>49</v>
      </c>
      <c r="B43" s="10">
        <v>50797.779999999904</v>
      </c>
      <c r="C43" s="2">
        <v>50816.769999999902</v>
      </c>
      <c r="D43" s="2">
        <v>50838.049999999901</v>
      </c>
      <c r="E43" s="2">
        <v>50856.749999999898</v>
      </c>
      <c r="F43" s="2">
        <v>50876.699999999895</v>
      </c>
      <c r="G43" s="2">
        <v>50896.529999999897</v>
      </c>
      <c r="H43" s="2">
        <v>50917.889999999898</v>
      </c>
      <c r="I43" s="2">
        <v>50920.629999999896</v>
      </c>
      <c r="J43" s="2">
        <v>50941.299999999894</v>
      </c>
      <c r="K43" s="2">
        <v>50960.489999999896</v>
      </c>
      <c r="L43" s="2">
        <v>50968.169999999896</v>
      </c>
      <c r="M43" s="2">
        <v>50980.749999999898</v>
      </c>
      <c r="N43" s="2">
        <v>50980.779999999897</v>
      </c>
      <c r="O43" s="2">
        <v>50994.019999999895</v>
      </c>
      <c r="P43" s="2">
        <v>51009.399999999892</v>
      </c>
      <c r="Q43" s="2">
        <v>51030.369999999893</v>
      </c>
      <c r="R43" s="2">
        <v>51051.879999999896</v>
      </c>
      <c r="S43" s="2">
        <v>51073.389999999898</v>
      </c>
      <c r="T43" s="2">
        <v>51094.979999999894</v>
      </c>
      <c r="U43" s="2">
        <v>51107.099999999897</v>
      </c>
      <c r="V43" s="2">
        <v>51109.129999999896</v>
      </c>
      <c r="W43" s="2">
        <v>51109.129999999896</v>
      </c>
      <c r="X43" s="2">
        <v>51120.929999999898</v>
      </c>
      <c r="Y43" s="2">
        <v>51142.239999999896</v>
      </c>
      <c r="Z43" s="2">
        <v>51163.629999999896</v>
      </c>
      <c r="AA43" s="2">
        <v>51168.259999999893</v>
      </c>
      <c r="AB43" s="2">
        <v>51181.829999999893</v>
      </c>
      <c r="AC43" s="2">
        <v>51194.449999999895</v>
      </c>
      <c r="AD43" s="2">
        <v>51214.929999999898</v>
      </c>
      <c r="AE43" s="2">
        <v>51226.859999999899</v>
      </c>
      <c r="AF43" s="3">
        <v>51226.859999999899</v>
      </c>
      <c r="AG43" s="51">
        <f t="shared" si="1"/>
        <v>51226.859999999899</v>
      </c>
      <c r="AH43" s="44">
        <v>50776.82</v>
      </c>
    </row>
    <row r="44" spans="1:34" x14ac:dyDescent="0.35">
      <c r="A44" s="33" t="s">
        <v>50</v>
      </c>
      <c r="B44" s="10">
        <v>50264.969999999979</v>
      </c>
      <c r="C44" s="2">
        <v>50286.659999999982</v>
      </c>
      <c r="D44" s="2">
        <v>50307.919999999984</v>
      </c>
      <c r="E44" s="2">
        <v>50329.269999999982</v>
      </c>
      <c r="F44" s="2">
        <v>50350.999999999985</v>
      </c>
      <c r="G44" s="2">
        <v>50372.939999999988</v>
      </c>
      <c r="H44" s="2">
        <v>50391.669999999991</v>
      </c>
      <c r="I44" s="2">
        <v>50413.189999999988</v>
      </c>
      <c r="J44" s="2">
        <v>50434.599999999991</v>
      </c>
      <c r="K44" s="2">
        <v>50456.389999999992</v>
      </c>
      <c r="L44" s="2">
        <v>50477.649999999994</v>
      </c>
      <c r="M44" s="2">
        <v>50499.38</v>
      </c>
      <c r="N44" s="2">
        <v>50520.24</v>
      </c>
      <c r="O44" s="2">
        <v>50540.81</v>
      </c>
      <c r="P44" s="2">
        <v>50558.899999999994</v>
      </c>
      <c r="Q44" s="2">
        <v>50580.689999999995</v>
      </c>
      <c r="R44" s="2">
        <v>50597.929999999993</v>
      </c>
      <c r="S44" s="2">
        <v>50607.62999999999</v>
      </c>
      <c r="T44" s="2">
        <v>50607.62999999999</v>
      </c>
      <c r="U44" s="2">
        <v>50623.939999999988</v>
      </c>
      <c r="V44" s="2">
        <v>50645.899999999987</v>
      </c>
      <c r="W44" s="2">
        <v>50667.389999999985</v>
      </c>
      <c r="X44" s="2">
        <v>50681.509999999987</v>
      </c>
      <c r="Y44" s="2">
        <v>50702.37999999999</v>
      </c>
      <c r="Z44" s="2">
        <v>50723.189999999988</v>
      </c>
      <c r="AA44" s="2">
        <v>50745.029999999984</v>
      </c>
      <c r="AB44" s="2">
        <v>50766.849999999984</v>
      </c>
      <c r="AC44" s="2">
        <v>50787.499999999985</v>
      </c>
      <c r="AD44" s="2">
        <v>50807.579999999987</v>
      </c>
      <c r="AE44" s="2">
        <v>50826.209999999985</v>
      </c>
      <c r="AF44" s="3">
        <v>50848.049999999981</v>
      </c>
      <c r="AG44" s="51">
        <f t="shared" si="1"/>
        <v>50848.049999999981</v>
      </c>
      <c r="AH44" s="44">
        <v>50243.31</v>
      </c>
    </row>
    <row r="45" spans="1:34" x14ac:dyDescent="0.35">
      <c r="A45" s="33" t="s">
        <v>51</v>
      </c>
      <c r="B45" s="10">
        <v>50287.999999999956</v>
      </c>
      <c r="C45" s="2">
        <v>50309.189999999959</v>
      </c>
      <c r="D45" s="2">
        <v>50330.289999999957</v>
      </c>
      <c r="E45" s="2">
        <v>50351.329999999958</v>
      </c>
      <c r="F45" s="2">
        <v>50372.649999999958</v>
      </c>
      <c r="G45" s="2">
        <v>50393.709999999955</v>
      </c>
      <c r="H45" s="2">
        <v>50415.149999999958</v>
      </c>
      <c r="I45" s="2">
        <v>50436.029999999955</v>
      </c>
      <c r="J45" s="2">
        <v>50457.569999999956</v>
      </c>
      <c r="K45" s="2">
        <v>50474.239999999954</v>
      </c>
      <c r="L45" s="2">
        <v>50495.579999999951</v>
      </c>
      <c r="M45" s="2">
        <v>50515.129999999954</v>
      </c>
      <c r="N45" s="2">
        <v>50530.019999999953</v>
      </c>
      <c r="O45" s="2">
        <v>50530.019999999953</v>
      </c>
      <c r="P45" s="2">
        <v>50530.979999999952</v>
      </c>
      <c r="Q45" s="2">
        <v>50539.169999999955</v>
      </c>
      <c r="R45" s="2">
        <v>50543.889999999956</v>
      </c>
      <c r="S45" s="2">
        <v>50543.889999999956</v>
      </c>
      <c r="T45" s="2">
        <v>50554.649999999958</v>
      </c>
      <c r="U45" s="2">
        <v>50570.009999999958</v>
      </c>
      <c r="V45" s="2">
        <v>50591.549999999959</v>
      </c>
      <c r="W45" s="2">
        <v>50613.329999999958</v>
      </c>
      <c r="X45" s="2">
        <v>50626.439999999959</v>
      </c>
      <c r="Y45" s="2">
        <v>50636.759999999958</v>
      </c>
      <c r="Z45" s="2">
        <v>50657.569999999956</v>
      </c>
      <c r="AA45" s="2">
        <v>50678.539999999957</v>
      </c>
      <c r="AB45" s="2">
        <v>50698.359999999957</v>
      </c>
      <c r="AC45" s="2">
        <v>50702.129999999954</v>
      </c>
      <c r="AD45" s="2">
        <v>50703.829999999951</v>
      </c>
      <c r="AE45" s="2">
        <v>50720.819999999949</v>
      </c>
      <c r="AF45" s="3">
        <v>50733.249999999949</v>
      </c>
      <c r="AG45" s="51">
        <f t="shared" si="1"/>
        <v>50733.249999999949</v>
      </c>
      <c r="AH45" s="44">
        <v>50266.83</v>
      </c>
    </row>
    <row r="46" spans="1:34" x14ac:dyDescent="0.35">
      <c r="A46" s="33" t="s">
        <v>52</v>
      </c>
      <c r="B46" s="10">
        <v>42448.320000000029</v>
      </c>
      <c r="C46" s="2">
        <v>42448.320000000029</v>
      </c>
      <c r="D46" s="2">
        <v>42448.320000000029</v>
      </c>
      <c r="E46" s="2">
        <v>42451.410000000025</v>
      </c>
      <c r="F46" s="2">
        <v>42472.100000000028</v>
      </c>
      <c r="G46" s="2">
        <v>42484.79000000003</v>
      </c>
      <c r="H46" s="2">
        <v>42505.640000000029</v>
      </c>
      <c r="I46" s="2">
        <v>42527.260000000031</v>
      </c>
      <c r="J46" s="2">
        <v>42548.620000000032</v>
      </c>
      <c r="K46" s="2">
        <v>42569.910000000033</v>
      </c>
      <c r="L46" s="2">
        <v>42590.960000000036</v>
      </c>
      <c r="M46" s="2">
        <v>42612.380000000034</v>
      </c>
      <c r="N46" s="2">
        <v>42632.950000000033</v>
      </c>
      <c r="O46" s="2">
        <v>42654.590000000033</v>
      </c>
      <c r="P46" s="2">
        <v>42666.730000000032</v>
      </c>
      <c r="Q46" s="2">
        <v>42687.560000000034</v>
      </c>
      <c r="R46" s="2">
        <v>42701.750000000036</v>
      </c>
      <c r="S46" s="2">
        <v>42708.040000000037</v>
      </c>
      <c r="T46" s="2">
        <v>42708.040000000037</v>
      </c>
      <c r="U46" s="2">
        <v>42708.040000000037</v>
      </c>
      <c r="V46" s="2">
        <v>42708.040000000037</v>
      </c>
      <c r="W46" s="2">
        <v>42708.040000000037</v>
      </c>
      <c r="X46" s="2">
        <v>42708.040000000037</v>
      </c>
      <c r="Y46" s="2">
        <v>42708.040000000037</v>
      </c>
      <c r="Z46" s="2">
        <v>42719.950000000041</v>
      </c>
      <c r="AA46" s="2">
        <v>42740.66000000004</v>
      </c>
      <c r="AB46" s="2">
        <v>42761.260000000038</v>
      </c>
      <c r="AC46" s="2">
        <v>42782.48000000004</v>
      </c>
      <c r="AD46" s="2">
        <v>42803.740000000042</v>
      </c>
      <c r="AE46" s="2">
        <v>42815.370000000039</v>
      </c>
      <c r="AF46" s="3">
        <v>42817.130000000041</v>
      </c>
      <c r="AG46" s="51">
        <f t="shared" si="1"/>
        <v>42817.130000000041</v>
      </c>
      <c r="AH46" s="44">
        <v>42448.32</v>
      </c>
    </row>
    <row r="47" spans="1:34" x14ac:dyDescent="0.35">
      <c r="A47" s="33" t="s">
        <v>53</v>
      </c>
      <c r="B47" s="10">
        <v>44359.359999999993</v>
      </c>
      <c r="C47" s="2">
        <v>44380.679999999993</v>
      </c>
      <c r="D47" s="2">
        <v>44402.59</v>
      </c>
      <c r="E47" s="2">
        <v>44423.95</v>
      </c>
      <c r="F47" s="2">
        <v>44445.39</v>
      </c>
      <c r="G47" s="2">
        <v>44465.909999999996</v>
      </c>
      <c r="H47" s="2">
        <v>44485.539999999994</v>
      </c>
      <c r="I47" s="2">
        <v>44507.179999999993</v>
      </c>
      <c r="J47" s="2">
        <v>44528.34</v>
      </c>
      <c r="K47" s="2">
        <v>44547.649999999994</v>
      </c>
      <c r="L47" s="2">
        <v>44569.189999999995</v>
      </c>
      <c r="M47" s="2">
        <v>44590.59</v>
      </c>
      <c r="N47" s="2">
        <v>44612.159999999996</v>
      </c>
      <c r="O47" s="2">
        <v>44633.1</v>
      </c>
      <c r="P47" s="2">
        <v>44652.38</v>
      </c>
      <c r="Q47" s="2">
        <v>44673.82</v>
      </c>
      <c r="R47" s="2">
        <v>44686.52</v>
      </c>
      <c r="S47" s="2">
        <v>44701.649999999994</v>
      </c>
      <c r="T47" s="2">
        <v>44722.969999999994</v>
      </c>
      <c r="U47" s="2">
        <v>44733.749999999993</v>
      </c>
      <c r="V47" s="2">
        <v>44747.189999999995</v>
      </c>
      <c r="W47" s="2">
        <v>44769.399999999994</v>
      </c>
      <c r="X47" s="2">
        <v>44791.279999999992</v>
      </c>
      <c r="Y47" s="2">
        <v>44812.51999999999</v>
      </c>
      <c r="Z47" s="2">
        <v>44834.849999999991</v>
      </c>
      <c r="AA47" s="2">
        <v>44849.249999999993</v>
      </c>
      <c r="AB47" s="2">
        <v>44867.969999999994</v>
      </c>
      <c r="AC47" s="2">
        <v>44877.13</v>
      </c>
      <c r="AD47" s="2">
        <v>44877.34</v>
      </c>
      <c r="AE47" s="2">
        <v>44897.369999999995</v>
      </c>
      <c r="AF47" s="3">
        <v>44918.63</v>
      </c>
      <c r="AG47" s="51">
        <f t="shared" si="1"/>
        <v>44918.63</v>
      </c>
      <c r="AH47" s="44">
        <v>44338.83</v>
      </c>
    </row>
    <row r="48" spans="1:34" x14ac:dyDescent="0.35">
      <c r="A48" s="33" t="s">
        <v>54</v>
      </c>
      <c r="B48" s="10">
        <v>43592.509999999922</v>
      </c>
      <c r="C48" s="2">
        <v>43607.849999999919</v>
      </c>
      <c r="D48" s="2">
        <v>43625.509999999922</v>
      </c>
      <c r="E48" s="2">
        <v>43644.099999999919</v>
      </c>
      <c r="F48" s="2">
        <v>43654.539999999921</v>
      </c>
      <c r="G48" s="2">
        <v>43668.019999999924</v>
      </c>
      <c r="H48" s="2">
        <v>43690.699999999924</v>
      </c>
      <c r="I48" s="2">
        <v>43712.519999999924</v>
      </c>
      <c r="J48" s="2">
        <v>43732.919999999925</v>
      </c>
      <c r="K48" s="2">
        <v>43747.649999999929</v>
      </c>
      <c r="L48" s="2">
        <v>43747.649999999929</v>
      </c>
      <c r="M48" s="2">
        <v>43747.68999999993</v>
      </c>
      <c r="N48" s="2">
        <v>43747.68999999993</v>
      </c>
      <c r="O48" s="2">
        <v>43747.68999999993</v>
      </c>
      <c r="P48" s="2">
        <v>43747.68999999993</v>
      </c>
      <c r="Q48" s="2">
        <v>43747.68999999993</v>
      </c>
      <c r="R48" s="2">
        <v>43747.68999999993</v>
      </c>
      <c r="S48" s="2">
        <v>43747.68999999993</v>
      </c>
      <c r="T48" s="2">
        <v>43747.68999999993</v>
      </c>
      <c r="U48" s="2">
        <v>43747.68999999993</v>
      </c>
      <c r="V48" s="2">
        <v>43747.68999999993</v>
      </c>
      <c r="W48" s="2">
        <v>43747.68999999993</v>
      </c>
      <c r="X48" s="2">
        <v>43747.68999999993</v>
      </c>
      <c r="Y48" s="2">
        <v>43747.68999999993</v>
      </c>
      <c r="Z48" s="2">
        <v>43747.68999999993</v>
      </c>
      <c r="AA48" s="2">
        <v>43747.68999999993</v>
      </c>
      <c r="AB48" s="2">
        <v>43747.68999999993</v>
      </c>
      <c r="AC48" s="2">
        <v>43747.68999999993</v>
      </c>
      <c r="AD48" s="2">
        <v>43747.68999999993</v>
      </c>
      <c r="AE48" s="2">
        <v>43747.68999999993</v>
      </c>
      <c r="AF48" s="3">
        <v>43747.68999999993</v>
      </c>
      <c r="AG48" s="51">
        <f t="shared" si="1"/>
        <v>43747.68999999993</v>
      </c>
      <c r="AH48" s="44">
        <v>43570.87</v>
      </c>
    </row>
    <row r="49" spans="1:34" x14ac:dyDescent="0.35">
      <c r="A49" s="33" t="s">
        <v>55</v>
      </c>
      <c r="B49" s="10">
        <v>43026.240000000049</v>
      </c>
      <c r="C49" s="2">
        <v>43047.050000000047</v>
      </c>
      <c r="D49" s="2">
        <v>43068.71000000005</v>
      </c>
      <c r="E49" s="2">
        <v>43088.010000000053</v>
      </c>
      <c r="F49" s="2">
        <v>43103.060000000056</v>
      </c>
      <c r="G49" s="2">
        <v>43124.400000000052</v>
      </c>
      <c r="H49" s="2">
        <v>43145.950000000055</v>
      </c>
      <c r="I49" s="2">
        <v>43167.880000000056</v>
      </c>
      <c r="J49" s="2">
        <v>43189.790000000059</v>
      </c>
      <c r="K49" s="2">
        <v>43207.15000000006</v>
      </c>
      <c r="L49" s="2">
        <v>43220.130000000063</v>
      </c>
      <c r="M49" s="2">
        <v>43240.320000000065</v>
      </c>
      <c r="N49" s="2">
        <v>43262.180000000066</v>
      </c>
      <c r="O49" s="2">
        <v>43283.620000000068</v>
      </c>
      <c r="P49" s="2">
        <v>43303.090000000069</v>
      </c>
      <c r="Q49" s="2">
        <v>43324.300000000068</v>
      </c>
      <c r="R49" s="2">
        <v>43345.790000000066</v>
      </c>
      <c r="S49" s="2">
        <v>43367.170000000064</v>
      </c>
      <c r="T49" s="2">
        <v>43388.500000000065</v>
      </c>
      <c r="U49" s="2">
        <v>43405.930000000066</v>
      </c>
      <c r="V49" s="2">
        <v>43427.350000000064</v>
      </c>
      <c r="W49" s="2">
        <v>43449.820000000065</v>
      </c>
      <c r="X49" s="2">
        <v>43470.770000000062</v>
      </c>
      <c r="Y49" s="2">
        <v>43489.840000000062</v>
      </c>
      <c r="Z49" s="2">
        <v>43509.310000000063</v>
      </c>
      <c r="AA49" s="2">
        <v>43530.390000000065</v>
      </c>
      <c r="AB49" s="2">
        <v>43543.850000000064</v>
      </c>
      <c r="AC49" s="2">
        <v>43543.850000000064</v>
      </c>
      <c r="AD49" s="2">
        <v>43543.850000000064</v>
      </c>
      <c r="AE49" s="2">
        <v>43557.420000000064</v>
      </c>
      <c r="AF49" s="3">
        <v>43568.030000000064</v>
      </c>
      <c r="AG49" s="51">
        <f t="shared" si="1"/>
        <v>43568.030000000064</v>
      </c>
      <c r="AH49" s="44">
        <v>43005.19</v>
      </c>
    </row>
    <row r="50" spans="1:34" x14ac:dyDescent="0.35">
      <c r="A50" s="33" t="s">
        <v>56</v>
      </c>
      <c r="B50" s="10">
        <v>42328.260000000111</v>
      </c>
      <c r="C50" s="2">
        <v>42348.29000000011</v>
      </c>
      <c r="D50" s="2">
        <v>42369.910000000113</v>
      </c>
      <c r="E50" s="2">
        <v>42385.490000000114</v>
      </c>
      <c r="F50" s="2">
        <v>42385.490000000114</v>
      </c>
      <c r="G50" s="2">
        <v>42385.490000000114</v>
      </c>
      <c r="H50" s="2">
        <v>42400.350000000115</v>
      </c>
      <c r="I50" s="2">
        <v>42414.930000000117</v>
      </c>
      <c r="J50" s="2">
        <v>42423.110000000117</v>
      </c>
      <c r="K50" s="2">
        <v>42438.240000000114</v>
      </c>
      <c r="L50" s="2">
        <v>42460.330000000111</v>
      </c>
      <c r="M50" s="2">
        <v>42478.510000000111</v>
      </c>
      <c r="N50" s="2">
        <v>42494.780000000108</v>
      </c>
      <c r="O50" s="2">
        <v>42516.680000000109</v>
      </c>
      <c r="P50" s="2">
        <v>42532.600000000108</v>
      </c>
      <c r="Q50" s="2">
        <v>42550.310000000107</v>
      </c>
      <c r="R50" s="2">
        <v>42570.280000000108</v>
      </c>
      <c r="S50" s="2">
        <v>42582.670000000107</v>
      </c>
      <c r="T50" s="2">
        <v>42604.020000000106</v>
      </c>
      <c r="U50" s="2">
        <v>42625.640000000109</v>
      </c>
      <c r="V50" s="2">
        <v>42647.210000000108</v>
      </c>
      <c r="W50" s="2">
        <v>42656.97000000011</v>
      </c>
      <c r="X50" s="2">
        <v>42659.800000000112</v>
      </c>
      <c r="Y50" s="2">
        <v>42659.800000000112</v>
      </c>
      <c r="Z50" s="2">
        <v>42661.490000000114</v>
      </c>
      <c r="AA50" s="2">
        <v>42682.080000000111</v>
      </c>
      <c r="AB50" s="2">
        <v>42703.830000000111</v>
      </c>
      <c r="AC50" s="2">
        <v>42722.500000000109</v>
      </c>
      <c r="AD50" s="2">
        <v>42743.940000000111</v>
      </c>
      <c r="AE50" s="2">
        <v>42761.100000000115</v>
      </c>
      <c r="AF50" s="3">
        <v>42781.360000000117</v>
      </c>
      <c r="AG50" s="51">
        <f t="shared" si="1"/>
        <v>42781.360000000117</v>
      </c>
      <c r="AH50" s="44">
        <v>42306.41</v>
      </c>
    </row>
    <row r="51" spans="1:34" x14ac:dyDescent="0.35">
      <c r="A51" s="33" t="s">
        <v>57</v>
      </c>
      <c r="B51" s="10">
        <v>40903.54999999993</v>
      </c>
      <c r="C51" s="2">
        <v>40925.29999999993</v>
      </c>
      <c r="D51" s="2">
        <v>40946.749999999927</v>
      </c>
      <c r="E51" s="2">
        <v>40968.419999999925</v>
      </c>
      <c r="F51" s="2">
        <v>40989.039999999928</v>
      </c>
      <c r="G51" s="2">
        <v>41003.069999999927</v>
      </c>
      <c r="H51" s="2">
        <v>41014.379999999925</v>
      </c>
      <c r="I51" s="2">
        <v>41035.629999999925</v>
      </c>
      <c r="J51" s="2">
        <v>41054.589999999924</v>
      </c>
      <c r="K51" s="2">
        <v>41065.739999999925</v>
      </c>
      <c r="L51" s="2">
        <v>41076.779999999926</v>
      </c>
      <c r="M51" s="2">
        <v>41094.829999999929</v>
      </c>
      <c r="N51" s="2">
        <v>41116.109999999928</v>
      </c>
      <c r="O51" s="2">
        <v>41133.719999999928</v>
      </c>
      <c r="P51" s="2">
        <v>41141.649999999929</v>
      </c>
      <c r="Q51" s="2">
        <v>41155.839999999931</v>
      </c>
      <c r="R51" s="2">
        <v>41155.839999999931</v>
      </c>
      <c r="S51" s="2">
        <v>41155.839999999931</v>
      </c>
      <c r="T51" s="2">
        <v>41155.839999999931</v>
      </c>
      <c r="U51" s="2">
        <v>41158.099999999933</v>
      </c>
      <c r="V51" s="2">
        <v>41180.079999999936</v>
      </c>
      <c r="W51" s="2">
        <v>41201.369999999937</v>
      </c>
      <c r="X51" s="2">
        <v>41223.339999999938</v>
      </c>
      <c r="Y51" s="2">
        <v>41245.199999999939</v>
      </c>
      <c r="Z51" s="2">
        <v>41267.939999999937</v>
      </c>
      <c r="AA51" s="2">
        <v>41274.829999999936</v>
      </c>
      <c r="AB51" s="2">
        <v>41296.199999999939</v>
      </c>
      <c r="AC51" s="2">
        <v>41316.979999999938</v>
      </c>
      <c r="AD51" s="2">
        <v>41338.329999999936</v>
      </c>
      <c r="AE51" s="2">
        <v>41354.569999999934</v>
      </c>
      <c r="AF51" s="3">
        <v>41375.679999999935</v>
      </c>
      <c r="AG51" s="51">
        <f t="shared" si="1"/>
        <v>41375.679999999935</v>
      </c>
      <c r="AH51" s="44">
        <v>40895.199999999997</v>
      </c>
    </row>
    <row r="52" spans="1:34" x14ac:dyDescent="0.35">
      <c r="A52" s="33" t="s">
        <v>58</v>
      </c>
      <c r="B52" s="10">
        <v>40361.629999999896</v>
      </c>
      <c r="C52" s="2">
        <v>40383.549999999894</v>
      </c>
      <c r="D52" s="2">
        <v>40404.449999999895</v>
      </c>
      <c r="E52" s="2">
        <v>40423.779999999897</v>
      </c>
      <c r="F52" s="2">
        <v>40444.5099999999</v>
      </c>
      <c r="G52" s="2">
        <v>40453.449999999903</v>
      </c>
      <c r="H52" s="2">
        <v>40468.489999999903</v>
      </c>
      <c r="I52" s="2">
        <v>40489.299999999901</v>
      </c>
      <c r="J52" s="2">
        <v>40510.609999999899</v>
      </c>
      <c r="K52" s="2">
        <v>40526.019999999902</v>
      </c>
      <c r="L52" s="2">
        <v>40545.5799999999</v>
      </c>
      <c r="M52" s="2">
        <v>40566.179999999898</v>
      </c>
      <c r="N52" s="2">
        <v>40587.849999999897</v>
      </c>
      <c r="O52" s="2">
        <v>40609.109999999899</v>
      </c>
      <c r="P52" s="2">
        <v>40627.3299999999</v>
      </c>
      <c r="Q52" s="2">
        <v>40642.799999999901</v>
      </c>
      <c r="R52" s="2">
        <v>40663.979999999901</v>
      </c>
      <c r="S52" s="2">
        <v>40685.359999999899</v>
      </c>
      <c r="T52" s="2">
        <v>40695.369999999901</v>
      </c>
      <c r="U52" s="2">
        <v>40697.819999999898</v>
      </c>
      <c r="V52" s="2">
        <v>40715.179999999898</v>
      </c>
      <c r="W52" s="2">
        <v>40727.839999999902</v>
      </c>
      <c r="X52" s="2">
        <v>40749.179999999898</v>
      </c>
      <c r="Y52" s="2">
        <v>40770.6499999999</v>
      </c>
      <c r="Z52" s="2">
        <v>40793.4399999999</v>
      </c>
      <c r="AA52" s="2">
        <v>40814.549999999901</v>
      </c>
      <c r="AB52" s="2">
        <v>40835.859999999899</v>
      </c>
      <c r="AC52" s="2">
        <v>40857.639999999898</v>
      </c>
      <c r="AD52" s="2">
        <v>40879.359999999899</v>
      </c>
      <c r="AE52" s="2">
        <v>40900.969999999899</v>
      </c>
      <c r="AF52" s="3">
        <v>40921.179999999898</v>
      </c>
      <c r="AG52" s="51">
        <f t="shared" si="1"/>
        <v>40921.179999999898</v>
      </c>
      <c r="AH52" s="44">
        <v>40340.080000000002</v>
      </c>
    </row>
    <row r="53" spans="1:34" x14ac:dyDescent="0.35">
      <c r="A53" s="33" t="s">
        <v>59</v>
      </c>
      <c r="B53" s="10">
        <v>43214.590000000011</v>
      </c>
      <c r="C53" s="2">
        <v>43235.470000000008</v>
      </c>
      <c r="D53" s="2">
        <v>43246.610000000008</v>
      </c>
      <c r="E53" s="2">
        <v>43268.040000000008</v>
      </c>
      <c r="F53" s="2">
        <v>43289.250000000007</v>
      </c>
      <c r="G53" s="2">
        <v>43310.830000000009</v>
      </c>
      <c r="H53" s="2">
        <v>43324.780000000006</v>
      </c>
      <c r="I53" s="2">
        <v>43335.210000000006</v>
      </c>
      <c r="J53" s="2">
        <v>43336.650000000009</v>
      </c>
      <c r="K53" s="2">
        <v>43353.48000000001</v>
      </c>
      <c r="L53" s="2">
        <v>43374.130000000012</v>
      </c>
      <c r="M53" s="2">
        <v>43389.950000000012</v>
      </c>
      <c r="N53" s="2">
        <v>43411.510000000009</v>
      </c>
      <c r="O53" s="2">
        <v>43432.590000000011</v>
      </c>
      <c r="P53" s="2">
        <v>43450.660000000011</v>
      </c>
      <c r="Q53" s="2">
        <v>43471.490000000013</v>
      </c>
      <c r="R53" s="2">
        <v>43487.460000000014</v>
      </c>
      <c r="S53" s="2">
        <v>43493.670000000013</v>
      </c>
      <c r="T53" s="2">
        <v>43511.05000000001</v>
      </c>
      <c r="U53" s="2">
        <v>43526.290000000008</v>
      </c>
      <c r="V53" s="2">
        <v>43547.87000000001</v>
      </c>
      <c r="W53" s="2">
        <v>43569.400000000009</v>
      </c>
      <c r="X53" s="2">
        <v>43591.210000000006</v>
      </c>
      <c r="Y53" s="2">
        <v>43612.69000000001</v>
      </c>
      <c r="Z53" s="2">
        <v>43632.680000000008</v>
      </c>
      <c r="AA53" s="2">
        <v>43654.37000000001</v>
      </c>
      <c r="AB53" s="2">
        <v>43674.290000000008</v>
      </c>
      <c r="AC53" s="2">
        <v>43693.750000000007</v>
      </c>
      <c r="AD53" s="2">
        <v>43714.920000000006</v>
      </c>
      <c r="AE53" s="2">
        <v>43735.860000000008</v>
      </c>
      <c r="AF53" s="3">
        <v>43757.040000000008</v>
      </c>
      <c r="AG53" s="51">
        <f t="shared" si="1"/>
        <v>43757.040000000008</v>
      </c>
      <c r="AH53" s="44">
        <v>43193.25</v>
      </c>
    </row>
    <row r="54" spans="1:34" x14ac:dyDescent="0.35">
      <c r="A54" s="33" t="s">
        <v>60</v>
      </c>
      <c r="B54" s="10">
        <v>42941.640000000145</v>
      </c>
      <c r="C54" s="2">
        <v>42942.580000000147</v>
      </c>
      <c r="D54" s="2">
        <v>42942.580000000147</v>
      </c>
      <c r="E54" s="2">
        <v>42944.250000000146</v>
      </c>
      <c r="F54" s="2">
        <v>42965.410000000149</v>
      </c>
      <c r="G54" s="2">
        <v>42987.150000000147</v>
      </c>
      <c r="H54" s="2">
        <v>43006.81000000015</v>
      </c>
      <c r="I54" s="2">
        <v>43028.590000000149</v>
      </c>
      <c r="J54" s="2">
        <v>43050.600000000151</v>
      </c>
      <c r="K54" s="2">
        <v>43071.540000000154</v>
      </c>
      <c r="L54" s="2">
        <v>43093.090000000157</v>
      </c>
      <c r="M54" s="2">
        <v>43114.420000000158</v>
      </c>
      <c r="N54" s="2">
        <v>43135.150000000162</v>
      </c>
      <c r="O54" s="2">
        <v>43152.170000000158</v>
      </c>
      <c r="P54" s="2">
        <v>43169.480000000156</v>
      </c>
      <c r="Q54" s="2">
        <v>43188.660000000156</v>
      </c>
      <c r="R54" s="2">
        <v>43199.740000000158</v>
      </c>
      <c r="S54" s="2">
        <v>43220.860000000161</v>
      </c>
      <c r="T54" s="2">
        <v>43238.620000000163</v>
      </c>
      <c r="U54" s="2">
        <v>43259.50000000016</v>
      </c>
      <c r="V54" s="2">
        <v>43281.210000000159</v>
      </c>
      <c r="W54" s="2">
        <v>43294.220000000161</v>
      </c>
      <c r="X54" s="2">
        <v>43306.530000000159</v>
      </c>
      <c r="Y54" s="2">
        <v>43328.43000000016</v>
      </c>
      <c r="Z54" s="2">
        <v>43350.230000000163</v>
      </c>
      <c r="AA54" s="2">
        <v>43372.130000000165</v>
      </c>
      <c r="AB54" s="2">
        <v>43394.850000000166</v>
      </c>
      <c r="AC54" s="2">
        <v>43414.130000000165</v>
      </c>
      <c r="AD54" s="2">
        <v>43435.340000000164</v>
      </c>
      <c r="AE54" s="2">
        <v>43456.960000000166</v>
      </c>
      <c r="AF54" s="3">
        <v>43475.650000000169</v>
      </c>
      <c r="AG54" s="51">
        <f t="shared" si="1"/>
        <v>43475.650000000169</v>
      </c>
      <c r="AH54" s="44">
        <v>42921.440000000002</v>
      </c>
    </row>
    <row r="55" spans="1:34" x14ac:dyDescent="0.35">
      <c r="A55" s="33" t="s">
        <v>61</v>
      </c>
      <c r="B55" s="10">
        <v>42576.459999999992</v>
      </c>
      <c r="C55" s="2">
        <v>42596.12999999999</v>
      </c>
      <c r="D55" s="2">
        <v>42596.12999999999</v>
      </c>
      <c r="E55" s="2">
        <v>42607.419999999991</v>
      </c>
      <c r="F55" s="2">
        <v>42629.679999999993</v>
      </c>
      <c r="G55" s="2">
        <v>42644.26999999999</v>
      </c>
      <c r="H55" s="2">
        <v>42661.469999999987</v>
      </c>
      <c r="I55" s="2">
        <v>42676.01999999999</v>
      </c>
      <c r="J55" s="2">
        <v>42697.789999999986</v>
      </c>
      <c r="K55" s="2">
        <v>42718.479999999989</v>
      </c>
      <c r="L55" s="2">
        <v>42730.599999999991</v>
      </c>
      <c r="M55" s="2">
        <v>42751.12999999999</v>
      </c>
      <c r="N55" s="2">
        <v>42772.219999999987</v>
      </c>
      <c r="O55" s="2">
        <v>42793.609999999986</v>
      </c>
      <c r="P55" s="2">
        <v>42815.049999999988</v>
      </c>
      <c r="Q55" s="2">
        <v>42836.709999999992</v>
      </c>
      <c r="R55" s="2">
        <v>42858.62999999999</v>
      </c>
      <c r="S55" s="2">
        <v>42879.469999999987</v>
      </c>
      <c r="T55" s="2">
        <v>42901.339999999989</v>
      </c>
      <c r="U55" s="2">
        <v>42923.119999999988</v>
      </c>
      <c r="V55" s="2">
        <v>42944.929999999986</v>
      </c>
      <c r="W55" s="2">
        <v>42967.049999999988</v>
      </c>
      <c r="X55" s="2">
        <v>42985.329999999987</v>
      </c>
      <c r="Y55" s="2">
        <v>43001.119999999988</v>
      </c>
      <c r="Z55" s="2">
        <v>43021.149999999987</v>
      </c>
      <c r="AA55" s="2">
        <v>43038.159999999989</v>
      </c>
      <c r="AB55" s="2">
        <v>43059.319999999992</v>
      </c>
      <c r="AC55" s="2">
        <v>43078.599999999991</v>
      </c>
      <c r="AD55" s="2">
        <v>43099.679999999993</v>
      </c>
      <c r="AE55" s="2">
        <v>43113.359999999993</v>
      </c>
      <c r="AF55" s="3">
        <v>43134.969999999994</v>
      </c>
      <c r="AG55" s="51">
        <f t="shared" si="1"/>
        <v>43134.969999999994</v>
      </c>
      <c r="AH55" s="44">
        <v>42556.79</v>
      </c>
    </row>
    <row r="56" spans="1:34" x14ac:dyDescent="0.35">
      <c r="A56" s="33" t="s">
        <v>62</v>
      </c>
      <c r="B56" s="10">
        <v>52531.570000000007</v>
      </c>
      <c r="C56" s="2">
        <v>52553.05000000001</v>
      </c>
      <c r="D56" s="2">
        <v>52573.960000000014</v>
      </c>
      <c r="E56" s="2">
        <v>52588.150000000016</v>
      </c>
      <c r="F56" s="2">
        <v>52607.670000000013</v>
      </c>
      <c r="G56" s="2">
        <v>52615.69000000001</v>
      </c>
      <c r="H56" s="2">
        <v>52615.69000000001</v>
      </c>
      <c r="I56" s="2">
        <v>52618.680000000008</v>
      </c>
      <c r="J56" s="2">
        <v>52631.180000000008</v>
      </c>
      <c r="K56" s="2">
        <v>52652.700000000004</v>
      </c>
      <c r="L56" s="2">
        <v>52672.270000000004</v>
      </c>
      <c r="M56" s="2">
        <v>52688.480000000003</v>
      </c>
      <c r="N56" s="2">
        <v>52702.94</v>
      </c>
      <c r="O56" s="2">
        <v>52724.850000000006</v>
      </c>
      <c r="P56" s="2">
        <v>52747.080000000009</v>
      </c>
      <c r="Q56" s="2">
        <v>52768.290000000008</v>
      </c>
      <c r="R56" s="2">
        <v>52786.98000000001</v>
      </c>
      <c r="S56" s="2">
        <v>52796.670000000013</v>
      </c>
      <c r="T56" s="2">
        <v>52814.920000000013</v>
      </c>
      <c r="U56" s="2">
        <v>52836.030000000013</v>
      </c>
      <c r="V56" s="2">
        <v>52855.450000000012</v>
      </c>
      <c r="W56" s="2">
        <v>52876.810000000012</v>
      </c>
      <c r="X56" s="2">
        <v>52898.23000000001</v>
      </c>
      <c r="Y56" s="2">
        <v>52898.23000000001</v>
      </c>
      <c r="Z56" s="2">
        <v>52913.080000000009</v>
      </c>
      <c r="AA56" s="2">
        <v>52935.520000000011</v>
      </c>
      <c r="AB56" s="2">
        <v>52958.250000000015</v>
      </c>
      <c r="AC56" s="2">
        <v>52978.630000000012</v>
      </c>
      <c r="AD56" s="2">
        <v>52993.880000000012</v>
      </c>
      <c r="AE56" s="2">
        <v>53009.170000000013</v>
      </c>
      <c r="AF56" s="3">
        <v>53029.55000000001</v>
      </c>
      <c r="AG56" s="51">
        <f t="shared" si="1"/>
        <v>53029.55000000001</v>
      </c>
      <c r="AH56" s="44">
        <v>52515</v>
      </c>
    </row>
    <row r="57" spans="1:34" x14ac:dyDescent="0.35">
      <c r="A57" s="33" t="s">
        <v>63</v>
      </c>
      <c r="B57" s="10">
        <v>19390.930000000008</v>
      </c>
      <c r="C57" s="2">
        <v>19408.190000000006</v>
      </c>
      <c r="D57" s="2">
        <v>19425.890000000007</v>
      </c>
      <c r="E57" s="2">
        <v>19443.170000000006</v>
      </c>
      <c r="F57" s="2">
        <v>19465.560000000005</v>
      </c>
      <c r="G57" s="2">
        <v>19484.360000000004</v>
      </c>
      <c r="H57" s="2">
        <v>19498.760000000006</v>
      </c>
      <c r="I57" s="2">
        <v>19519.750000000007</v>
      </c>
      <c r="J57" s="2">
        <v>19529.120000000006</v>
      </c>
      <c r="K57" s="2">
        <v>19550.310000000005</v>
      </c>
      <c r="L57" s="2">
        <v>19568.720000000005</v>
      </c>
      <c r="M57" s="2">
        <v>19589.770000000004</v>
      </c>
      <c r="N57" s="2">
        <v>19605.420000000006</v>
      </c>
      <c r="O57" s="2">
        <v>19627.140000000007</v>
      </c>
      <c r="P57" s="2">
        <v>19645.690000000006</v>
      </c>
      <c r="Q57" s="2">
        <v>19661.180000000008</v>
      </c>
      <c r="R57" s="2">
        <v>19661.180000000008</v>
      </c>
      <c r="S57" s="2">
        <v>19661.180000000008</v>
      </c>
      <c r="T57" s="2">
        <v>19661.180000000008</v>
      </c>
      <c r="U57" s="2">
        <v>19661.180000000008</v>
      </c>
      <c r="V57" s="2">
        <v>19661.180000000008</v>
      </c>
      <c r="W57" s="2">
        <v>19661.180000000008</v>
      </c>
      <c r="X57" s="2">
        <v>19661.180000000008</v>
      </c>
      <c r="Y57" s="2">
        <v>19661.180000000008</v>
      </c>
      <c r="Z57" s="2">
        <v>19661.180000000008</v>
      </c>
      <c r="AA57" s="2">
        <v>19661.180000000008</v>
      </c>
      <c r="AB57" s="2">
        <v>19662.000000000007</v>
      </c>
      <c r="AC57" s="2">
        <v>19662.120000000006</v>
      </c>
      <c r="AD57" s="2">
        <v>19678.120000000006</v>
      </c>
      <c r="AE57" s="2">
        <v>19696.970000000005</v>
      </c>
      <c r="AF57" s="3">
        <v>19711.630000000005</v>
      </c>
      <c r="AG57" s="51">
        <f t="shared" si="1"/>
        <v>19711.630000000005</v>
      </c>
      <c r="AH57" s="44">
        <v>19380.34</v>
      </c>
    </row>
    <row r="58" spans="1:34" x14ac:dyDescent="0.35">
      <c r="A58" s="33" t="s">
        <v>64</v>
      </c>
      <c r="B58" s="10">
        <v>19794.500277600007</v>
      </c>
      <c r="C58" s="2">
        <v>19813.020277600008</v>
      </c>
      <c r="D58" s="2">
        <v>19833.370277600006</v>
      </c>
      <c r="E58" s="2">
        <v>19852.860277600008</v>
      </c>
      <c r="F58" s="2">
        <v>19875.250277600007</v>
      </c>
      <c r="G58" s="2">
        <v>19894.040277600008</v>
      </c>
      <c r="H58" s="2">
        <v>19903.920277600009</v>
      </c>
      <c r="I58" s="2">
        <v>19912.910277600011</v>
      </c>
      <c r="J58" s="2">
        <v>19932.480277600011</v>
      </c>
      <c r="K58" s="2">
        <v>19953.770277600011</v>
      </c>
      <c r="L58" s="2">
        <v>19972.420277600013</v>
      </c>
      <c r="M58" s="2">
        <v>19992.200277600012</v>
      </c>
      <c r="N58" s="2">
        <v>20012.310277600012</v>
      </c>
      <c r="O58" s="2">
        <v>20033.430277600011</v>
      </c>
      <c r="P58" s="2">
        <v>20051.760277600013</v>
      </c>
      <c r="Q58" s="2">
        <v>20074.150277600012</v>
      </c>
      <c r="R58" s="2">
        <v>20096.210277600014</v>
      </c>
      <c r="S58" s="2">
        <v>20115.910277600015</v>
      </c>
      <c r="T58" s="2">
        <v>20134.650277600016</v>
      </c>
      <c r="U58" s="2">
        <v>20158.530277600017</v>
      </c>
      <c r="V58" s="2">
        <v>20167.920277600017</v>
      </c>
      <c r="W58" s="2">
        <v>20184.450277600015</v>
      </c>
      <c r="X58" s="2">
        <v>20204.510277600017</v>
      </c>
      <c r="Y58" s="2">
        <v>20204.510277600017</v>
      </c>
      <c r="Z58" s="2">
        <v>20226.140277600018</v>
      </c>
      <c r="AA58" s="2">
        <v>20247.950277600019</v>
      </c>
      <c r="AB58" s="2">
        <v>20267.040277600019</v>
      </c>
      <c r="AC58" s="2">
        <v>20286.940277600021</v>
      </c>
      <c r="AD58" s="2">
        <v>20305.410277600022</v>
      </c>
      <c r="AE58" s="2">
        <v>20326.880277600023</v>
      </c>
      <c r="AF58" s="3">
        <v>20347.690277600024</v>
      </c>
      <c r="AG58" s="51">
        <f t="shared" si="1"/>
        <v>20347.690277600024</v>
      </c>
      <c r="AH58" s="44">
        <v>19775.87</v>
      </c>
    </row>
    <row r="59" spans="1:34" x14ac:dyDescent="0.35">
      <c r="A59" s="33" t="s">
        <v>65</v>
      </c>
      <c r="B59" s="10">
        <v>26359.954444100011</v>
      </c>
      <c r="C59" s="2">
        <v>26379.924444100012</v>
      </c>
      <c r="D59" s="2">
        <v>26400.014444100012</v>
      </c>
      <c r="E59" s="2">
        <v>26418.634444100011</v>
      </c>
      <c r="F59" s="2">
        <v>26440.16444410001</v>
      </c>
      <c r="G59" s="2">
        <v>26458.814444100011</v>
      </c>
      <c r="H59" s="2">
        <v>26478.214444100013</v>
      </c>
      <c r="I59" s="2">
        <v>26490.664444100013</v>
      </c>
      <c r="J59" s="2">
        <v>26494.854444100012</v>
      </c>
      <c r="K59" s="2">
        <v>26516.134444100011</v>
      </c>
      <c r="L59" s="2">
        <v>26534.554444100009</v>
      </c>
      <c r="M59" s="2">
        <v>26555.00444410001</v>
      </c>
      <c r="N59" s="2">
        <v>26574.284444100009</v>
      </c>
      <c r="O59" s="2">
        <v>26595.214444100009</v>
      </c>
      <c r="P59" s="2">
        <v>26613.32444410001</v>
      </c>
      <c r="Q59" s="2">
        <v>26630.534444100009</v>
      </c>
      <c r="R59" s="2">
        <v>26652.444444100009</v>
      </c>
      <c r="S59" s="2">
        <v>26672.114444100007</v>
      </c>
      <c r="T59" s="2">
        <v>26682.914444100006</v>
      </c>
      <c r="U59" s="2">
        <v>26706.914444100006</v>
      </c>
      <c r="V59" s="2">
        <v>26725.904444100008</v>
      </c>
      <c r="W59" s="2">
        <v>26744.204444100007</v>
      </c>
      <c r="X59" s="2">
        <v>26764.524444100007</v>
      </c>
      <c r="Y59" s="2">
        <v>26764.524444100007</v>
      </c>
      <c r="Z59" s="2">
        <v>26786.244444100008</v>
      </c>
      <c r="AA59" s="2">
        <v>26808.744444100008</v>
      </c>
      <c r="AB59" s="2">
        <v>26830.724444100008</v>
      </c>
      <c r="AC59" s="2">
        <v>26851.864444100007</v>
      </c>
      <c r="AD59" s="2">
        <v>26870.604444100009</v>
      </c>
      <c r="AE59" s="2">
        <v>26890.694444100009</v>
      </c>
      <c r="AF59" s="3">
        <v>26911.494444100008</v>
      </c>
      <c r="AG59" s="51">
        <f t="shared" si="1"/>
        <v>26911.494444100008</v>
      </c>
      <c r="AH59" s="44">
        <v>26343.41</v>
      </c>
    </row>
    <row r="60" spans="1:34" x14ac:dyDescent="0.35">
      <c r="A60" s="33" t="s">
        <v>66</v>
      </c>
      <c r="B60" s="10">
        <v>27009.450000000037</v>
      </c>
      <c r="C60" s="2">
        <v>27028.340000000037</v>
      </c>
      <c r="D60" s="2">
        <v>27048.320000000036</v>
      </c>
      <c r="E60" s="2">
        <v>27060.380000000037</v>
      </c>
      <c r="F60" s="2">
        <v>27082.760000000038</v>
      </c>
      <c r="G60" s="2">
        <v>27098.800000000039</v>
      </c>
      <c r="H60" s="2">
        <v>27118.390000000039</v>
      </c>
      <c r="I60" s="2">
        <v>27140.93000000004</v>
      </c>
      <c r="J60" s="2">
        <v>27161.210000000039</v>
      </c>
      <c r="K60" s="2">
        <v>27182.50000000004</v>
      </c>
      <c r="L60" s="2">
        <v>27200.490000000042</v>
      </c>
      <c r="M60" s="2">
        <v>27220.880000000041</v>
      </c>
      <c r="N60" s="2">
        <v>27240.48000000004</v>
      </c>
      <c r="O60" s="2">
        <v>27257.16000000004</v>
      </c>
      <c r="P60" s="2">
        <v>27273.060000000041</v>
      </c>
      <c r="Q60" s="2">
        <v>27280.620000000043</v>
      </c>
      <c r="R60" s="2">
        <v>27280.620000000043</v>
      </c>
      <c r="S60" s="2">
        <v>27280.620000000043</v>
      </c>
      <c r="T60" s="2">
        <v>27294.200000000044</v>
      </c>
      <c r="U60" s="2">
        <v>27310.590000000044</v>
      </c>
      <c r="V60" s="2">
        <v>27329.510000000042</v>
      </c>
      <c r="W60" s="2">
        <v>27348.320000000043</v>
      </c>
      <c r="X60" s="2">
        <v>27368.770000000044</v>
      </c>
      <c r="Y60" s="2">
        <v>27368.770000000044</v>
      </c>
      <c r="Z60" s="2">
        <v>27390.440000000042</v>
      </c>
      <c r="AA60" s="2">
        <v>27412.940000000042</v>
      </c>
      <c r="AB60" s="2">
        <v>27434.850000000042</v>
      </c>
      <c r="AC60" s="2">
        <v>27435.050000000043</v>
      </c>
      <c r="AD60" s="2">
        <v>27448.320000000043</v>
      </c>
      <c r="AE60" s="2">
        <v>27471.250000000044</v>
      </c>
      <c r="AF60" s="3">
        <v>27492.050000000043</v>
      </c>
      <c r="AG60" s="51">
        <f t="shared" si="1"/>
        <v>27492.050000000043</v>
      </c>
      <c r="AH60" s="44">
        <v>26991.74</v>
      </c>
    </row>
    <row r="61" spans="1:34" x14ac:dyDescent="0.35">
      <c r="A61" s="33" t="s">
        <v>67</v>
      </c>
      <c r="B61" s="10">
        <v>27663.970000000027</v>
      </c>
      <c r="C61" s="2">
        <v>27683.110000000026</v>
      </c>
      <c r="D61" s="2">
        <v>27702.960000000025</v>
      </c>
      <c r="E61" s="2">
        <v>27722.400000000023</v>
      </c>
      <c r="F61" s="2">
        <v>27744.770000000022</v>
      </c>
      <c r="G61" s="2">
        <v>27768.660000000022</v>
      </c>
      <c r="H61" s="2">
        <v>27787.270000000022</v>
      </c>
      <c r="I61" s="2">
        <v>27808.200000000023</v>
      </c>
      <c r="J61" s="2">
        <v>27826.330000000024</v>
      </c>
      <c r="K61" s="2">
        <v>27847.090000000022</v>
      </c>
      <c r="L61" s="2">
        <v>27852.130000000023</v>
      </c>
      <c r="M61" s="2">
        <v>27870.570000000022</v>
      </c>
      <c r="N61" s="2">
        <v>27890.290000000023</v>
      </c>
      <c r="O61" s="2">
        <v>27907.950000000023</v>
      </c>
      <c r="P61" s="2">
        <v>27927.880000000023</v>
      </c>
      <c r="Q61" s="2">
        <v>27950.250000000022</v>
      </c>
      <c r="R61" s="2">
        <v>27965.910000000022</v>
      </c>
      <c r="S61" s="2">
        <v>27984.200000000023</v>
      </c>
      <c r="T61" s="2">
        <v>28007.430000000022</v>
      </c>
      <c r="U61" s="2">
        <v>28026.590000000022</v>
      </c>
      <c r="V61" s="2">
        <v>28050.580000000024</v>
      </c>
      <c r="W61" s="2">
        <v>28068.250000000022</v>
      </c>
      <c r="X61" s="2">
        <v>28088.450000000023</v>
      </c>
      <c r="Y61" s="2">
        <v>28088.450000000023</v>
      </c>
      <c r="Z61" s="2">
        <v>28110.160000000022</v>
      </c>
      <c r="AA61" s="2">
        <v>28132.660000000022</v>
      </c>
      <c r="AB61" s="2">
        <v>28154.470000000023</v>
      </c>
      <c r="AC61" s="2">
        <v>28174.870000000024</v>
      </c>
      <c r="AD61" s="2">
        <v>28187.720000000023</v>
      </c>
      <c r="AE61" s="2">
        <v>28187.810000000023</v>
      </c>
      <c r="AF61" s="3">
        <v>28188.370000000024</v>
      </c>
      <c r="AG61" s="51">
        <f t="shared" si="1"/>
        <v>28188.370000000024</v>
      </c>
      <c r="AH61" s="44">
        <v>27644.43</v>
      </c>
    </row>
    <row r="62" spans="1:34" x14ac:dyDescent="0.35">
      <c r="A62" s="33" t="s">
        <v>68</v>
      </c>
      <c r="B62" s="10">
        <v>27637.030000000021</v>
      </c>
      <c r="C62" s="2">
        <v>27656.220000000019</v>
      </c>
      <c r="D62" s="2">
        <v>27676.140000000018</v>
      </c>
      <c r="E62" s="2">
        <v>27698.340000000018</v>
      </c>
      <c r="F62" s="2">
        <v>27720.720000000019</v>
      </c>
      <c r="G62" s="2">
        <v>27739.51000000002</v>
      </c>
      <c r="H62" s="2">
        <v>27757.870000000021</v>
      </c>
      <c r="I62" s="2">
        <v>27777.180000000022</v>
      </c>
      <c r="J62" s="2">
        <v>27784.840000000022</v>
      </c>
      <c r="K62" s="2">
        <v>27806.400000000023</v>
      </c>
      <c r="L62" s="2">
        <v>27824.990000000023</v>
      </c>
      <c r="M62" s="2">
        <v>27845.430000000022</v>
      </c>
      <c r="N62" s="2">
        <v>27855.420000000024</v>
      </c>
      <c r="O62" s="2">
        <v>27855.520000000022</v>
      </c>
      <c r="P62" s="2">
        <v>27870.120000000021</v>
      </c>
      <c r="Q62" s="2">
        <v>27892.480000000021</v>
      </c>
      <c r="R62" s="2">
        <v>27914.480000000021</v>
      </c>
      <c r="S62" s="2">
        <v>27934.430000000022</v>
      </c>
      <c r="T62" s="2">
        <v>27952.230000000021</v>
      </c>
      <c r="U62" s="2">
        <v>27976.230000000021</v>
      </c>
      <c r="V62" s="2">
        <v>27985.720000000023</v>
      </c>
      <c r="W62" s="2">
        <v>28004.040000000023</v>
      </c>
      <c r="X62" s="2">
        <v>28024.370000000024</v>
      </c>
      <c r="Y62" s="2">
        <v>28024.370000000024</v>
      </c>
      <c r="Z62" s="2">
        <v>28046.080000000024</v>
      </c>
      <c r="AA62" s="2">
        <v>28067.790000000023</v>
      </c>
      <c r="AB62" s="2">
        <v>28089.640000000021</v>
      </c>
      <c r="AC62" s="2">
        <v>28109.60000000002</v>
      </c>
      <c r="AD62" s="2">
        <v>28129.000000000022</v>
      </c>
      <c r="AE62" s="2">
        <v>28151.060000000023</v>
      </c>
      <c r="AF62" s="3">
        <v>28171.870000000024</v>
      </c>
      <c r="AG62" s="51">
        <f t="shared" si="1"/>
        <v>28171.870000000024</v>
      </c>
      <c r="AH62" s="44">
        <v>27617.52</v>
      </c>
    </row>
    <row r="63" spans="1:34" x14ac:dyDescent="0.35">
      <c r="A63" s="33" t="s">
        <v>69</v>
      </c>
      <c r="B63" s="10">
        <v>76987.39999999998</v>
      </c>
      <c r="C63" s="2">
        <v>76987.39999999998</v>
      </c>
      <c r="D63" s="2">
        <v>76987.39999999998</v>
      </c>
      <c r="E63" s="2">
        <v>76987.39999999998</v>
      </c>
      <c r="F63" s="2">
        <v>76987.39999999998</v>
      </c>
      <c r="G63" s="2">
        <v>76987.39999999998</v>
      </c>
      <c r="H63" s="2">
        <v>76987.39999999998</v>
      </c>
      <c r="I63" s="2">
        <v>76987.39999999998</v>
      </c>
      <c r="J63" s="2">
        <v>76987.39999999998</v>
      </c>
      <c r="K63" s="2">
        <v>76987.39999999998</v>
      </c>
      <c r="L63" s="2">
        <v>76987.39999999998</v>
      </c>
      <c r="M63" s="2">
        <v>76987.39999999998</v>
      </c>
      <c r="N63" s="2">
        <v>76987.39999999998</v>
      </c>
      <c r="O63" s="2">
        <v>76987.39999999998</v>
      </c>
      <c r="P63" s="2">
        <v>76987.39999999998</v>
      </c>
      <c r="Q63" s="2">
        <v>76987.39999999998</v>
      </c>
      <c r="R63" s="2">
        <v>76987.39999999998</v>
      </c>
      <c r="S63" s="2">
        <v>76987.39999999998</v>
      </c>
      <c r="T63" s="2">
        <v>76987.39999999998</v>
      </c>
      <c r="U63" s="2">
        <v>76987.39999999998</v>
      </c>
      <c r="V63" s="2">
        <v>76987.39999999998</v>
      </c>
      <c r="W63" s="2">
        <v>76987.39999999998</v>
      </c>
      <c r="X63" s="2">
        <v>76987.39999999998</v>
      </c>
      <c r="Y63" s="2">
        <v>76987.39999999998</v>
      </c>
      <c r="Z63" s="2">
        <v>76987.39999999998</v>
      </c>
      <c r="AA63" s="2">
        <v>76987.39999999998</v>
      </c>
      <c r="AB63" s="2">
        <v>76987.39999999998</v>
      </c>
      <c r="AC63" s="2">
        <v>76987.39999999998</v>
      </c>
      <c r="AD63" s="2">
        <v>76987.39999999998</v>
      </c>
      <c r="AE63" s="2">
        <v>76987.39999999998</v>
      </c>
      <c r="AF63" s="3">
        <v>76987.39999999998</v>
      </c>
      <c r="AG63" s="51">
        <f t="shared" si="1"/>
        <v>76987.39999999998</v>
      </c>
      <c r="AH63" s="44">
        <v>76987.399999999994</v>
      </c>
    </row>
    <row r="64" spans="1:34" x14ac:dyDescent="0.35">
      <c r="A64" s="33" t="s">
        <v>70</v>
      </c>
      <c r="B64" s="10">
        <v>86428.489999999991</v>
      </c>
      <c r="C64" s="2">
        <v>86428.489999999991</v>
      </c>
      <c r="D64" s="2">
        <v>86428.489999999991</v>
      </c>
      <c r="E64" s="2">
        <v>86428.489999999991</v>
      </c>
      <c r="F64" s="2">
        <v>86428.489999999991</v>
      </c>
      <c r="G64" s="2">
        <v>86428.489999999991</v>
      </c>
      <c r="H64" s="2">
        <v>86428.489999999991</v>
      </c>
      <c r="I64" s="2">
        <v>86428.489999999991</v>
      </c>
      <c r="J64" s="2">
        <v>86428.489999999991</v>
      </c>
      <c r="K64" s="2">
        <v>86428.489999999991</v>
      </c>
      <c r="L64" s="2">
        <v>86428.489999999991</v>
      </c>
      <c r="M64" s="2">
        <v>86428.489999999991</v>
      </c>
      <c r="N64" s="2">
        <v>86428.489999999991</v>
      </c>
      <c r="O64" s="2">
        <v>86428.489999999991</v>
      </c>
      <c r="P64" s="2">
        <v>86428.489999999991</v>
      </c>
      <c r="Q64" s="2">
        <v>86428.489999999991</v>
      </c>
      <c r="R64" s="2">
        <v>86428.489999999991</v>
      </c>
      <c r="S64" s="2">
        <v>86428.489999999991</v>
      </c>
      <c r="T64" s="2">
        <v>86428.489999999991</v>
      </c>
      <c r="U64" s="2">
        <v>86428.489999999991</v>
      </c>
      <c r="V64" s="2">
        <v>86428.489999999991</v>
      </c>
      <c r="W64" s="2">
        <v>86428.489999999991</v>
      </c>
      <c r="X64" s="2">
        <v>86428.489999999991</v>
      </c>
      <c r="Y64" s="2">
        <v>86428.489999999991</v>
      </c>
      <c r="Z64" s="2">
        <v>86428.489999999991</v>
      </c>
      <c r="AA64" s="2">
        <v>86428.489999999991</v>
      </c>
      <c r="AB64" s="2">
        <v>86428.489999999991</v>
      </c>
      <c r="AC64" s="2">
        <v>86428.489999999991</v>
      </c>
      <c r="AD64" s="2">
        <v>86428.489999999991</v>
      </c>
      <c r="AE64" s="2">
        <v>86428.489999999991</v>
      </c>
      <c r="AF64" s="3">
        <v>86428.489999999991</v>
      </c>
      <c r="AG64" s="51">
        <f t="shared" si="1"/>
        <v>86428.489999999991</v>
      </c>
      <c r="AH64" s="44">
        <v>86428.49</v>
      </c>
    </row>
    <row r="65" spans="1:34" x14ac:dyDescent="0.35">
      <c r="A65" s="33" t="s">
        <v>71</v>
      </c>
      <c r="B65" s="10">
        <v>83321.390000000029</v>
      </c>
      <c r="C65" s="2">
        <v>83328.020000000033</v>
      </c>
      <c r="D65" s="2">
        <v>83335.140000000029</v>
      </c>
      <c r="E65" s="2">
        <v>83355.550000000032</v>
      </c>
      <c r="F65" s="2">
        <v>83377.190000000031</v>
      </c>
      <c r="G65" s="2">
        <v>83398.200000000026</v>
      </c>
      <c r="H65" s="2">
        <v>83401.400000000023</v>
      </c>
      <c r="I65" s="2">
        <v>83401.400000000023</v>
      </c>
      <c r="J65" s="2">
        <v>83401.400000000023</v>
      </c>
      <c r="K65" s="2">
        <v>83401.400000000023</v>
      </c>
      <c r="L65" s="2">
        <v>83403.730000000025</v>
      </c>
      <c r="M65" s="2">
        <v>83424.580000000031</v>
      </c>
      <c r="N65" s="2">
        <v>83446.390000000029</v>
      </c>
      <c r="O65" s="2">
        <v>83467.950000000026</v>
      </c>
      <c r="P65" s="2">
        <v>83481.410000000033</v>
      </c>
      <c r="Q65" s="2">
        <v>83499.500000000029</v>
      </c>
      <c r="R65" s="2">
        <v>83499.500000000029</v>
      </c>
      <c r="S65" s="2">
        <v>83512.410000000033</v>
      </c>
      <c r="T65" s="2">
        <v>83532.420000000027</v>
      </c>
      <c r="U65" s="2">
        <v>83551.500000000029</v>
      </c>
      <c r="V65" s="2">
        <v>83573.120000000024</v>
      </c>
      <c r="W65" s="2">
        <v>83590.430000000022</v>
      </c>
      <c r="X65" s="2">
        <v>83602.270000000019</v>
      </c>
      <c r="Y65" s="2">
        <v>83609.070000000022</v>
      </c>
      <c r="Z65" s="2">
        <v>83627.220000000016</v>
      </c>
      <c r="AA65" s="2">
        <v>83641.280000000013</v>
      </c>
      <c r="AB65" s="2">
        <v>83662.950000000012</v>
      </c>
      <c r="AC65" s="2">
        <v>83684.210000000006</v>
      </c>
      <c r="AD65" s="2">
        <v>83698.280000000013</v>
      </c>
      <c r="AE65" s="2">
        <v>83716.800000000017</v>
      </c>
      <c r="AF65" s="3">
        <v>83729.48000000001</v>
      </c>
      <c r="AG65" s="51">
        <f t="shared" si="1"/>
        <v>83729.48000000001</v>
      </c>
      <c r="AH65" s="44">
        <v>83300.37</v>
      </c>
    </row>
    <row r="66" spans="1:34" x14ac:dyDescent="0.35">
      <c r="A66" s="33" t="s">
        <v>72</v>
      </c>
      <c r="B66" s="10">
        <v>81376.160000000207</v>
      </c>
      <c r="C66" s="2">
        <v>81396.740000000209</v>
      </c>
      <c r="D66" s="2">
        <v>81415.720000000205</v>
      </c>
      <c r="E66" s="2">
        <v>81432.190000000206</v>
      </c>
      <c r="F66" s="2">
        <v>81441.430000000211</v>
      </c>
      <c r="G66" s="2">
        <v>81462.630000000208</v>
      </c>
      <c r="H66" s="2">
        <v>81484.030000000203</v>
      </c>
      <c r="I66" s="2">
        <v>81504.280000000203</v>
      </c>
      <c r="J66" s="2">
        <v>81504.290000000197</v>
      </c>
      <c r="K66" s="2">
        <v>81521.940000000192</v>
      </c>
      <c r="L66" s="2">
        <v>81540.410000000193</v>
      </c>
      <c r="M66" s="2">
        <v>81561.750000000189</v>
      </c>
      <c r="N66" s="2">
        <v>81578.190000000192</v>
      </c>
      <c r="O66" s="2">
        <v>81599.710000000196</v>
      </c>
      <c r="P66" s="2">
        <v>81609.010000000198</v>
      </c>
      <c r="Q66" s="2">
        <v>81625.280000000203</v>
      </c>
      <c r="R66" s="2">
        <v>81626.2300000002</v>
      </c>
      <c r="S66" s="2">
        <v>81632.540000000197</v>
      </c>
      <c r="T66" s="2">
        <v>81650.650000000198</v>
      </c>
      <c r="U66" s="2">
        <v>81669.080000000191</v>
      </c>
      <c r="V66" s="2">
        <v>81688.420000000187</v>
      </c>
      <c r="W66" s="2">
        <v>81708.980000000185</v>
      </c>
      <c r="X66" s="2">
        <v>81726.630000000179</v>
      </c>
      <c r="Y66" s="2">
        <v>81737.440000000177</v>
      </c>
      <c r="Z66" s="2">
        <v>81757.030000000173</v>
      </c>
      <c r="AA66" s="2">
        <v>81773.10000000018</v>
      </c>
      <c r="AB66" s="2">
        <v>81786.74000000018</v>
      </c>
      <c r="AC66" s="2">
        <v>81791.040000000183</v>
      </c>
      <c r="AD66" s="2">
        <v>81797.440000000177</v>
      </c>
      <c r="AE66" s="2">
        <v>81811.230000000171</v>
      </c>
      <c r="AF66" s="3">
        <v>81821.250000000175</v>
      </c>
      <c r="AG66" s="51">
        <f t="shared" si="1"/>
        <v>81821.250000000175</v>
      </c>
      <c r="AH66" s="44">
        <v>81359.95</v>
      </c>
    </row>
    <row r="67" spans="1:34" x14ac:dyDescent="0.35">
      <c r="A67" s="33" t="s">
        <v>73</v>
      </c>
      <c r="B67" s="10">
        <v>83895.259999999907</v>
      </c>
      <c r="C67" s="2">
        <v>83914.569999999905</v>
      </c>
      <c r="D67" s="2">
        <v>83929.819999999905</v>
      </c>
      <c r="E67" s="2">
        <v>83937.789999999906</v>
      </c>
      <c r="F67" s="2">
        <v>83956.039999999906</v>
      </c>
      <c r="G67" s="2">
        <v>83963.599999999904</v>
      </c>
      <c r="H67" s="2">
        <v>83983.94999999991</v>
      </c>
      <c r="I67" s="2">
        <v>83991.69999999991</v>
      </c>
      <c r="J67" s="2">
        <v>84013.049999999916</v>
      </c>
      <c r="K67" s="2">
        <v>84034.889999999912</v>
      </c>
      <c r="L67" s="2">
        <v>84035.039999999906</v>
      </c>
      <c r="M67" s="2">
        <v>84035.039999999906</v>
      </c>
      <c r="N67" s="2">
        <v>84035.039999999906</v>
      </c>
      <c r="O67" s="2">
        <v>84035.039999999906</v>
      </c>
      <c r="P67" s="2">
        <v>84035.039999999906</v>
      </c>
      <c r="Q67" s="2">
        <v>84035.039999999906</v>
      </c>
      <c r="R67" s="2">
        <v>84035.039999999906</v>
      </c>
      <c r="S67" s="2">
        <v>84040.769999999902</v>
      </c>
      <c r="T67" s="2">
        <v>84061.879999999903</v>
      </c>
      <c r="U67" s="2">
        <v>84082.789999999906</v>
      </c>
      <c r="V67" s="2">
        <v>84104.029999999912</v>
      </c>
      <c r="W67" s="2">
        <v>84111.139999999912</v>
      </c>
      <c r="X67" s="2">
        <v>84133.019999999917</v>
      </c>
      <c r="Y67" s="2">
        <v>84147.649999999921</v>
      </c>
      <c r="Z67" s="2">
        <v>84147.649999999921</v>
      </c>
      <c r="AA67" s="2">
        <v>84168.669999999925</v>
      </c>
      <c r="AB67" s="2">
        <v>84191.139999999927</v>
      </c>
      <c r="AC67" s="2">
        <v>84201.329999999929</v>
      </c>
      <c r="AD67" s="2">
        <v>84220.269999999931</v>
      </c>
      <c r="AE67" s="2">
        <v>84224.909999999931</v>
      </c>
      <c r="AF67" s="3">
        <v>84225.029999999926</v>
      </c>
      <c r="AG67" s="51">
        <f t="shared" si="1"/>
        <v>84225.029999999926</v>
      </c>
      <c r="AH67" s="44">
        <v>83873.8</v>
      </c>
    </row>
    <row r="68" spans="1:34" x14ac:dyDescent="0.35">
      <c r="A68" s="33" t="s">
        <v>74</v>
      </c>
      <c r="B68" s="10">
        <v>81580.089999999851</v>
      </c>
      <c r="C68" s="2">
        <v>81595.759999999849</v>
      </c>
      <c r="D68" s="2">
        <v>81614.129999999845</v>
      </c>
      <c r="E68" s="2">
        <v>81623.36999999985</v>
      </c>
      <c r="F68" s="2">
        <v>81635.719999999856</v>
      </c>
      <c r="G68" s="2">
        <v>81643.889999999854</v>
      </c>
      <c r="H68" s="2">
        <v>81654.009999999849</v>
      </c>
      <c r="I68" s="2">
        <v>81674.649999999849</v>
      </c>
      <c r="J68" s="2">
        <v>81686.699999999852</v>
      </c>
      <c r="K68" s="2">
        <v>81708.789999999848</v>
      </c>
      <c r="L68" s="2">
        <v>81730.469999999841</v>
      </c>
      <c r="M68" s="2">
        <v>81752.009999999835</v>
      </c>
      <c r="N68" s="2">
        <v>81774.069999999832</v>
      </c>
      <c r="O68" s="2">
        <v>81795.479999999836</v>
      </c>
      <c r="P68" s="2">
        <v>81813.139999999839</v>
      </c>
      <c r="Q68" s="2">
        <v>81831.979999999836</v>
      </c>
      <c r="R68" s="2">
        <v>81852.009999999835</v>
      </c>
      <c r="S68" s="2">
        <v>81871.529999999839</v>
      </c>
      <c r="T68" s="2">
        <v>81890.399999999834</v>
      </c>
      <c r="U68" s="2">
        <v>81912.299999999828</v>
      </c>
      <c r="V68" s="2">
        <v>81932.889999999825</v>
      </c>
      <c r="W68" s="2">
        <v>81937.639999999825</v>
      </c>
      <c r="X68" s="2">
        <v>81959.159999999829</v>
      </c>
      <c r="Y68" s="2">
        <v>81980.909999999829</v>
      </c>
      <c r="Z68" s="2">
        <v>81987.909999999829</v>
      </c>
      <c r="AA68" s="2">
        <v>81991.719999999827</v>
      </c>
      <c r="AB68" s="2">
        <v>82013.889999999825</v>
      </c>
      <c r="AC68" s="2">
        <v>82033.609999999826</v>
      </c>
      <c r="AD68" s="2">
        <v>82043.679999999833</v>
      </c>
      <c r="AE68" s="2">
        <v>82045.169999999838</v>
      </c>
      <c r="AF68" s="3">
        <v>82050.209999999832</v>
      </c>
      <c r="AG68" s="51">
        <f t="shared" ref="AG68:AG99" si="2">MAX(B68:AF68)</f>
        <v>82050.209999999832</v>
      </c>
      <c r="AH68" s="44">
        <v>81561.02</v>
      </c>
    </row>
    <row r="69" spans="1:34" x14ac:dyDescent="0.35">
      <c r="A69" s="33" t="s">
        <v>75</v>
      </c>
      <c r="B69" s="10">
        <v>84986.780000000115</v>
      </c>
      <c r="C69" s="2">
        <v>84996.850000000122</v>
      </c>
      <c r="D69" s="2">
        <v>85017.920000000129</v>
      </c>
      <c r="E69" s="2">
        <v>85039.510000000126</v>
      </c>
      <c r="F69" s="2">
        <v>85054.050000000119</v>
      </c>
      <c r="G69" s="2">
        <v>85074.170000000115</v>
      </c>
      <c r="H69" s="2">
        <v>85094.640000000116</v>
      </c>
      <c r="I69" s="2">
        <v>85116.000000000116</v>
      </c>
      <c r="J69" s="2">
        <v>85137.760000000111</v>
      </c>
      <c r="K69" s="2">
        <v>85160.04000000011</v>
      </c>
      <c r="L69" s="2">
        <v>85182.230000000112</v>
      </c>
      <c r="M69" s="2">
        <v>85203.320000000109</v>
      </c>
      <c r="N69" s="2">
        <v>85224.590000000113</v>
      </c>
      <c r="O69" s="2">
        <v>85245.900000000111</v>
      </c>
      <c r="P69" s="2">
        <v>85258.740000000107</v>
      </c>
      <c r="Q69" s="2">
        <v>85272.090000000113</v>
      </c>
      <c r="R69" s="2">
        <v>85282.810000000114</v>
      </c>
      <c r="S69" s="2">
        <v>85294.150000000111</v>
      </c>
      <c r="T69" s="2">
        <v>85313.060000000114</v>
      </c>
      <c r="U69" s="2">
        <v>85332.050000000119</v>
      </c>
      <c r="V69" s="2">
        <v>85351.450000000114</v>
      </c>
      <c r="W69" s="2">
        <v>85372.950000000114</v>
      </c>
      <c r="X69" s="2">
        <v>85394.010000000111</v>
      </c>
      <c r="Y69" s="2">
        <v>85415.410000000105</v>
      </c>
      <c r="Z69" s="2">
        <v>85436.820000000109</v>
      </c>
      <c r="AA69" s="2">
        <v>85458.350000000108</v>
      </c>
      <c r="AB69" s="2">
        <v>85479.110000000102</v>
      </c>
      <c r="AC69" s="2">
        <v>85490.840000000098</v>
      </c>
      <c r="AD69" s="2">
        <v>85511.270000000091</v>
      </c>
      <c r="AE69" s="2">
        <v>85522.19000000009</v>
      </c>
      <c r="AF69" s="3">
        <v>85532.860000000088</v>
      </c>
      <c r="AG69" s="51">
        <f t="shared" si="2"/>
        <v>85532.860000000088</v>
      </c>
      <c r="AH69" s="44">
        <v>84986.78</v>
      </c>
    </row>
    <row r="70" spans="1:34" x14ac:dyDescent="0.35">
      <c r="A70" s="33" t="s">
        <v>76</v>
      </c>
      <c r="B70" s="10">
        <v>83600.380000000092</v>
      </c>
      <c r="C70" s="2">
        <v>83614.260000000097</v>
      </c>
      <c r="D70" s="2">
        <v>83627.790000000095</v>
      </c>
      <c r="E70" s="2">
        <v>83646.69000000009</v>
      </c>
      <c r="F70" s="2">
        <v>83658.320000000094</v>
      </c>
      <c r="G70" s="2">
        <v>83672.590000000098</v>
      </c>
      <c r="H70" s="2">
        <v>83679.430000000095</v>
      </c>
      <c r="I70" s="2">
        <v>83679.430000000095</v>
      </c>
      <c r="J70" s="2">
        <v>83685.320000000094</v>
      </c>
      <c r="K70" s="2">
        <v>83705.380000000092</v>
      </c>
      <c r="L70" s="2">
        <v>83724.610000000088</v>
      </c>
      <c r="M70" s="2">
        <v>83745.740000000093</v>
      </c>
      <c r="N70" s="2">
        <v>83766.630000000092</v>
      </c>
      <c r="O70" s="2">
        <v>83788.410000000091</v>
      </c>
      <c r="P70" s="2">
        <v>83804.820000000094</v>
      </c>
      <c r="Q70" s="2">
        <v>83825.610000000088</v>
      </c>
      <c r="R70" s="2">
        <v>83840.070000000094</v>
      </c>
      <c r="S70" s="2">
        <v>83860.94000000009</v>
      </c>
      <c r="T70" s="2">
        <v>83881.780000000086</v>
      </c>
      <c r="U70" s="2">
        <v>83898.480000000083</v>
      </c>
      <c r="V70" s="2">
        <v>83908.610000000088</v>
      </c>
      <c r="W70" s="2">
        <v>83920.44000000009</v>
      </c>
      <c r="X70" s="2">
        <v>83940.310000000085</v>
      </c>
      <c r="Y70" s="2">
        <v>83961.350000000079</v>
      </c>
      <c r="Z70" s="2">
        <v>83982.040000000081</v>
      </c>
      <c r="AA70" s="2">
        <v>84003.050000000076</v>
      </c>
      <c r="AB70" s="2">
        <v>84023.660000000076</v>
      </c>
      <c r="AC70" s="2">
        <v>84042.510000000082</v>
      </c>
      <c r="AD70" s="2">
        <v>84060.82000000008</v>
      </c>
      <c r="AE70" s="2">
        <v>84077.140000000087</v>
      </c>
      <c r="AF70" s="3">
        <v>84097.040000000081</v>
      </c>
      <c r="AG70" s="51">
        <f t="shared" si="2"/>
        <v>84097.040000000081</v>
      </c>
      <c r="AH70" s="44">
        <v>83580.78</v>
      </c>
    </row>
    <row r="71" spans="1:34" x14ac:dyDescent="0.35">
      <c r="A71" s="33" t="s">
        <v>77</v>
      </c>
      <c r="B71" s="10">
        <v>73603.140000000101</v>
      </c>
      <c r="C71" s="2">
        <v>73616.430000000095</v>
      </c>
      <c r="D71" s="2">
        <v>73631.160000000091</v>
      </c>
      <c r="E71" s="2">
        <v>73642.070000000094</v>
      </c>
      <c r="F71" s="2">
        <v>73653.580000000089</v>
      </c>
      <c r="G71" s="2">
        <v>73673.410000000091</v>
      </c>
      <c r="H71" s="2">
        <v>73693.430000000095</v>
      </c>
      <c r="I71" s="2">
        <v>73715.910000000091</v>
      </c>
      <c r="J71" s="2">
        <v>73735.540000000095</v>
      </c>
      <c r="K71" s="2">
        <v>73755.830000000089</v>
      </c>
      <c r="L71" s="2">
        <v>73771.170000000086</v>
      </c>
      <c r="M71" s="2">
        <v>73782.630000000092</v>
      </c>
      <c r="N71" s="2">
        <v>73789.770000000091</v>
      </c>
      <c r="O71" s="2">
        <v>73802.130000000092</v>
      </c>
      <c r="P71" s="2">
        <v>73807.010000000097</v>
      </c>
      <c r="Q71" s="2">
        <v>73807.010000000097</v>
      </c>
      <c r="R71" s="2">
        <v>73810.860000000102</v>
      </c>
      <c r="S71" s="2">
        <v>73827.330000000104</v>
      </c>
      <c r="T71" s="2">
        <v>73841.200000000099</v>
      </c>
      <c r="U71" s="2">
        <v>73860.490000000093</v>
      </c>
      <c r="V71" s="2">
        <v>73882.340000000098</v>
      </c>
      <c r="W71" s="2">
        <v>73903.620000000097</v>
      </c>
      <c r="X71" s="2">
        <v>73924.640000000101</v>
      </c>
      <c r="Y71" s="2">
        <v>73931.220000000103</v>
      </c>
      <c r="Z71" s="2">
        <v>73931.220000000103</v>
      </c>
      <c r="AA71" s="2">
        <v>73931.220000000103</v>
      </c>
      <c r="AB71" s="2">
        <v>73938.240000000107</v>
      </c>
      <c r="AC71" s="2">
        <v>73958.390000000101</v>
      </c>
      <c r="AD71" s="2">
        <v>73977.430000000095</v>
      </c>
      <c r="AE71" s="2">
        <v>73999.010000000097</v>
      </c>
      <c r="AF71" s="3">
        <v>74020.590000000098</v>
      </c>
      <c r="AG71" s="51">
        <f t="shared" si="2"/>
        <v>74020.590000000098</v>
      </c>
      <c r="AH71" s="44">
        <v>73584.789999999994</v>
      </c>
    </row>
    <row r="72" spans="1:34" x14ac:dyDescent="0.35">
      <c r="A72" s="33" t="s">
        <v>78</v>
      </c>
      <c r="B72" s="10">
        <v>76683.399999999892</v>
      </c>
      <c r="C72" s="2">
        <v>76683.399999999892</v>
      </c>
      <c r="D72" s="2">
        <v>76683.399999999892</v>
      </c>
      <c r="E72" s="2">
        <v>76683.399999999892</v>
      </c>
      <c r="F72" s="2">
        <v>76693.479999999894</v>
      </c>
      <c r="G72" s="2">
        <v>76714.1899999999</v>
      </c>
      <c r="H72" s="2">
        <v>76734.3299999999</v>
      </c>
      <c r="I72" s="2">
        <v>76748.379999999903</v>
      </c>
      <c r="J72" s="2">
        <v>76768.799999999901</v>
      </c>
      <c r="K72" s="2">
        <v>76791.219999999899</v>
      </c>
      <c r="L72" s="2">
        <v>76812.679999999906</v>
      </c>
      <c r="M72" s="2">
        <v>76825.979999999909</v>
      </c>
      <c r="N72" s="2">
        <v>76843.959999999905</v>
      </c>
      <c r="O72" s="2">
        <v>76865.399999999907</v>
      </c>
      <c r="P72" s="2">
        <v>76872.739999999903</v>
      </c>
      <c r="Q72" s="2">
        <v>76893.05999999991</v>
      </c>
      <c r="R72" s="2">
        <v>76906.909999999916</v>
      </c>
      <c r="S72" s="2">
        <v>76908.089999999909</v>
      </c>
      <c r="T72" s="2">
        <v>76925.129999999903</v>
      </c>
      <c r="U72" s="2">
        <v>76944.679999999906</v>
      </c>
      <c r="V72" s="2">
        <v>76962.979999999909</v>
      </c>
      <c r="W72" s="2">
        <v>76980.039999999906</v>
      </c>
      <c r="X72" s="2">
        <v>76983.379999999903</v>
      </c>
      <c r="Y72" s="2">
        <v>76983.379999999903</v>
      </c>
      <c r="Z72" s="2">
        <v>76983.379999999903</v>
      </c>
      <c r="AA72" s="2">
        <v>76987.359999999899</v>
      </c>
      <c r="AB72" s="2">
        <v>77004.419999999896</v>
      </c>
      <c r="AC72" s="2">
        <v>77025.619999999893</v>
      </c>
      <c r="AD72" s="2">
        <v>77044.799999999886</v>
      </c>
      <c r="AE72" s="2">
        <v>77061.649999999892</v>
      </c>
      <c r="AF72" s="3">
        <v>77081.469999999899</v>
      </c>
      <c r="AG72" s="51">
        <f t="shared" si="2"/>
        <v>77081.469999999899</v>
      </c>
      <c r="AH72" s="44">
        <v>76683.399999999994</v>
      </c>
    </row>
    <row r="73" spans="1:34" x14ac:dyDescent="0.35">
      <c r="A73" s="33" t="s">
        <v>79</v>
      </c>
      <c r="B73" s="10">
        <v>78865.819999999876</v>
      </c>
      <c r="C73" s="2">
        <v>78870.439999999871</v>
      </c>
      <c r="D73" s="2">
        <v>78876.309999999867</v>
      </c>
      <c r="E73" s="2">
        <v>78888.159999999873</v>
      </c>
      <c r="F73" s="2">
        <v>78896.289999999877</v>
      </c>
      <c r="G73" s="2">
        <v>78897.359999999884</v>
      </c>
      <c r="H73" s="2">
        <v>78897.359999999884</v>
      </c>
      <c r="I73" s="2">
        <v>78906.629999999888</v>
      </c>
      <c r="J73" s="2">
        <v>78929.019999999888</v>
      </c>
      <c r="K73" s="2">
        <v>78948.839999999895</v>
      </c>
      <c r="L73" s="2">
        <v>78969.899999999892</v>
      </c>
      <c r="M73" s="2">
        <v>78990.70999999989</v>
      </c>
      <c r="N73" s="2">
        <v>79009.919999999896</v>
      </c>
      <c r="O73" s="2">
        <v>79010.929999999891</v>
      </c>
      <c r="P73" s="2">
        <v>79016.279999999897</v>
      </c>
      <c r="Q73" s="2">
        <v>79016.279999999897</v>
      </c>
      <c r="R73" s="2">
        <v>79033.999999999898</v>
      </c>
      <c r="S73" s="2">
        <v>79043.839999999895</v>
      </c>
      <c r="T73" s="2">
        <v>79062.049999999901</v>
      </c>
      <c r="U73" s="2">
        <v>79081.8299999999</v>
      </c>
      <c r="V73" s="2">
        <v>79103.809999999896</v>
      </c>
      <c r="W73" s="2">
        <v>79123.399999999892</v>
      </c>
      <c r="X73" s="2">
        <v>79142.369999999893</v>
      </c>
      <c r="Y73" s="2">
        <v>79162.9399999999</v>
      </c>
      <c r="Z73" s="2">
        <v>79172.969999999899</v>
      </c>
      <c r="AA73" s="2">
        <v>79173.859999999899</v>
      </c>
      <c r="AB73" s="2">
        <v>79174.059999999896</v>
      </c>
      <c r="AC73" s="2">
        <v>79187.099999999889</v>
      </c>
      <c r="AD73" s="2">
        <v>79203.639999999883</v>
      </c>
      <c r="AE73" s="2">
        <v>79221.429999999877</v>
      </c>
      <c r="AF73" s="3">
        <v>79240.179999999877</v>
      </c>
      <c r="AG73" s="51">
        <f t="shared" si="2"/>
        <v>79240.179999999877</v>
      </c>
      <c r="AH73" s="44">
        <v>78865.820000000007</v>
      </c>
    </row>
    <row r="74" spans="1:34" x14ac:dyDescent="0.35">
      <c r="A74" s="33" t="s">
        <v>80</v>
      </c>
      <c r="B74" s="10">
        <v>83909.25</v>
      </c>
      <c r="C74" s="2">
        <v>83922.59</v>
      </c>
      <c r="D74" s="2">
        <v>83944.239999999991</v>
      </c>
      <c r="E74" s="2">
        <v>83965.79</v>
      </c>
      <c r="F74" s="2">
        <v>83987.199999999997</v>
      </c>
      <c r="G74" s="2">
        <v>84008.8</v>
      </c>
      <c r="H74" s="2">
        <v>84022.46</v>
      </c>
      <c r="I74" s="2">
        <v>84043.200000000012</v>
      </c>
      <c r="J74" s="2">
        <v>84064.390000000014</v>
      </c>
      <c r="K74" s="2">
        <v>84086.300000000017</v>
      </c>
      <c r="L74" s="2">
        <v>84106.140000000014</v>
      </c>
      <c r="M74" s="2">
        <v>84122.300000000017</v>
      </c>
      <c r="N74" s="2">
        <v>84122.300000000017</v>
      </c>
      <c r="O74" s="2">
        <v>84135.310000000012</v>
      </c>
      <c r="P74" s="2">
        <v>84146.080000000016</v>
      </c>
      <c r="Q74" s="2">
        <v>84163.24000000002</v>
      </c>
      <c r="R74" s="2">
        <v>84182.720000000016</v>
      </c>
      <c r="S74" s="2">
        <v>84204.410000000018</v>
      </c>
      <c r="T74" s="2">
        <v>84222.590000000011</v>
      </c>
      <c r="U74" s="2">
        <v>84227.6</v>
      </c>
      <c r="V74" s="2">
        <v>84248.77</v>
      </c>
      <c r="W74" s="2">
        <v>84270</v>
      </c>
      <c r="X74" s="2">
        <v>84291.05</v>
      </c>
      <c r="Y74" s="2">
        <v>84304.91</v>
      </c>
      <c r="Z74" s="2">
        <v>84322.27</v>
      </c>
      <c r="AA74" s="2">
        <v>84339.840000000011</v>
      </c>
      <c r="AB74" s="2">
        <v>84361.35</v>
      </c>
      <c r="AC74" s="2">
        <v>84381.760000000009</v>
      </c>
      <c r="AD74" s="2">
        <v>84402.94</v>
      </c>
      <c r="AE74" s="2">
        <v>84422.48</v>
      </c>
      <c r="AF74" s="3">
        <v>84443.849999999991</v>
      </c>
      <c r="AG74" s="51">
        <f t="shared" si="2"/>
        <v>84443.849999999991</v>
      </c>
      <c r="AH74" s="44">
        <v>83892.88</v>
      </c>
    </row>
    <row r="75" spans="1:34" x14ac:dyDescent="0.35">
      <c r="A75" s="33" t="s">
        <v>81</v>
      </c>
      <c r="B75" s="10">
        <v>82946.309999999852</v>
      </c>
      <c r="C75" s="2">
        <v>82959.409999999858</v>
      </c>
      <c r="D75" s="2">
        <v>82968.98999999986</v>
      </c>
      <c r="E75" s="2">
        <v>82987.539999999863</v>
      </c>
      <c r="F75" s="2">
        <v>83000.959999999861</v>
      </c>
      <c r="G75" s="2">
        <v>83021.819999999861</v>
      </c>
      <c r="H75" s="2">
        <v>83040.459999999861</v>
      </c>
      <c r="I75" s="2">
        <v>83046.329999999856</v>
      </c>
      <c r="J75" s="2">
        <v>83058.219999999856</v>
      </c>
      <c r="K75" s="2">
        <v>83068.059999999852</v>
      </c>
      <c r="L75" s="2">
        <v>83090.169999999853</v>
      </c>
      <c r="M75" s="2">
        <v>83097.339999999851</v>
      </c>
      <c r="N75" s="2">
        <v>83119.759999999849</v>
      </c>
      <c r="O75" s="2">
        <v>83141.089999999851</v>
      </c>
      <c r="P75" s="2">
        <v>83155.969999999856</v>
      </c>
      <c r="Q75" s="2">
        <v>83166.079999999856</v>
      </c>
      <c r="R75" s="2">
        <v>83187.22999999985</v>
      </c>
      <c r="S75" s="2">
        <v>83202.389999999854</v>
      </c>
      <c r="T75" s="2">
        <v>83223.279999999853</v>
      </c>
      <c r="U75" s="2">
        <v>83236.379999999859</v>
      </c>
      <c r="V75" s="2">
        <v>83251.669999999853</v>
      </c>
      <c r="W75" s="2">
        <v>83271.73999999986</v>
      </c>
      <c r="X75" s="2">
        <v>83291.329999999856</v>
      </c>
      <c r="Y75" s="2">
        <v>83309.449999999852</v>
      </c>
      <c r="Z75" s="2">
        <v>83328.489999999845</v>
      </c>
      <c r="AA75" s="2">
        <v>83349.809999999852</v>
      </c>
      <c r="AB75" s="2">
        <v>83372.36999999985</v>
      </c>
      <c r="AC75" s="2">
        <v>83383.049999999843</v>
      </c>
      <c r="AD75" s="2">
        <v>83399.069999999847</v>
      </c>
      <c r="AE75" s="2">
        <v>83417.899999999849</v>
      </c>
      <c r="AF75" s="3">
        <v>83439.209999999846</v>
      </c>
      <c r="AG75" s="51">
        <f t="shared" si="2"/>
        <v>83439.209999999846</v>
      </c>
      <c r="AH75" s="44">
        <v>82935.41</v>
      </c>
    </row>
    <row r="76" spans="1:34" x14ac:dyDescent="0.35">
      <c r="A76" s="33" t="s">
        <v>82</v>
      </c>
      <c r="B76" s="10">
        <v>83052.420000000173</v>
      </c>
      <c r="C76" s="2">
        <v>83072.960000000166</v>
      </c>
      <c r="D76" s="2">
        <v>83092.950000000172</v>
      </c>
      <c r="E76" s="2">
        <v>83114.180000000168</v>
      </c>
      <c r="F76" s="2">
        <v>83135.690000000162</v>
      </c>
      <c r="G76" s="2">
        <v>83156.640000000159</v>
      </c>
      <c r="H76" s="2">
        <v>83168.570000000153</v>
      </c>
      <c r="I76" s="2">
        <v>83184.140000000159</v>
      </c>
      <c r="J76" s="2">
        <v>83205.260000000155</v>
      </c>
      <c r="K76" s="2">
        <v>83226.890000000159</v>
      </c>
      <c r="L76" s="2">
        <v>83248.290000000154</v>
      </c>
      <c r="M76" s="2">
        <v>83268.02000000015</v>
      </c>
      <c r="N76" s="2">
        <v>83287.260000000155</v>
      </c>
      <c r="O76" s="2">
        <v>83306.310000000158</v>
      </c>
      <c r="P76" s="2">
        <v>83323.030000000159</v>
      </c>
      <c r="Q76" s="2">
        <v>83344.370000000155</v>
      </c>
      <c r="R76" s="2">
        <v>83364.63000000015</v>
      </c>
      <c r="S76" s="2">
        <v>83385.900000000154</v>
      </c>
      <c r="T76" s="2">
        <v>83400.840000000157</v>
      </c>
      <c r="U76" s="2">
        <v>83421.940000000162</v>
      </c>
      <c r="V76" s="2">
        <v>83443.170000000158</v>
      </c>
      <c r="W76" s="2">
        <v>83463.510000000155</v>
      </c>
      <c r="X76" s="2">
        <v>83484.77000000015</v>
      </c>
      <c r="Y76" s="2">
        <v>83506.02000000015</v>
      </c>
      <c r="Z76" s="2">
        <v>83527.510000000155</v>
      </c>
      <c r="AA76" s="2">
        <v>83548.400000000154</v>
      </c>
      <c r="AB76" s="2">
        <v>83569.390000000159</v>
      </c>
      <c r="AC76" s="2">
        <v>83591.110000000161</v>
      </c>
      <c r="AD76" s="2">
        <v>83602.930000000168</v>
      </c>
      <c r="AE76" s="2">
        <v>83624.310000000172</v>
      </c>
      <c r="AF76" s="3">
        <v>83637.940000000177</v>
      </c>
      <c r="AG76" s="51">
        <f t="shared" si="2"/>
        <v>83637.940000000177</v>
      </c>
      <c r="AH76" s="44">
        <v>83034.490000000005</v>
      </c>
    </row>
    <row r="77" spans="1:34" x14ac:dyDescent="0.35">
      <c r="A77" s="33" t="s">
        <v>83</v>
      </c>
      <c r="B77" s="10">
        <v>82788.739999999962</v>
      </c>
      <c r="C77" s="2">
        <v>82788.739999999962</v>
      </c>
      <c r="D77" s="2">
        <v>82788.739999999962</v>
      </c>
      <c r="E77" s="2">
        <v>82788.739999999962</v>
      </c>
      <c r="F77" s="2">
        <v>82788.739999999962</v>
      </c>
      <c r="G77" s="2">
        <v>82788.739999999962</v>
      </c>
      <c r="H77" s="2">
        <v>82788.739999999962</v>
      </c>
      <c r="I77" s="2">
        <v>82788.739999999962</v>
      </c>
      <c r="J77" s="2">
        <v>82788.739999999962</v>
      </c>
      <c r="K77" s="2">
        <v>82788.739999999962</v>
      </c>
      <c r="L77" s="2">
        <v>82788.739999999962</v>
      </c>
      <c r="M77" s="2">
        <v>82788.739999999962</v>
      </c>
      <c r="N77" s="2">
        <v>82788.739999999962</v>
      </c>
      <c r="O77" s="2">
        <v>82788.739999999962</v>
      </c>
      <c r="P77" s="2">
        <v>82788.739999999962</v>
      </c>
      <c r="Q77" s="2">
        <v>82788.739999999962</v>
      </c>
      <c r="R77" s="2">
        <v>82788.739999999962</v>
      </c>
      <c r="S77" s="2">
        <v>82788.739999999962</v>
      </c>
      <c r="T77" s="2">
        <v>82788.739999999962</v>
      </c>
      <c r="U77" s="2">
        <v>82788.739999999962</v>
      </c>
      <c r="V77" s="2">
        <v>82788.739999999962</v>
      </c>
      <c r="W77" s="2">
        <v>82788.739999999962</v>
      </c>
      <c r="X77" s="2">
        <v>82788.739999999962</v>
      </c>
      <c r="Y77" s="2">
        <v>82788.739999999962</v>
      </c>
      <c r="Z77" s="2">
        <v>82788.739999999962</v>
      </c>
      <c r="AA77" s="2">
        <v>82788.739999999962</v>
      </c>
      <c r="AB77" s="2">
        <v>82788.739999999962</v>
      </c>
      <c r="AC77" s="2">
        <v>82788.739999999962</v>
      </c>
      <c r="AD77" s="2">
        <v>82788.739999999962</v>
      </c>
      <c r="AE77" s="2">
        <v>82788.739999999962</v>
      </c>
      <c r="AF77" s="3">
        <v>82788.739999999962</v>
      </c>
      <c r="AG77" s="51">
        <f t="shared" si="2"/>
        <v>82788.739999999962</v>
      </c>
      <c r="AH77" s="44">
        <v>82788.740000000005</v>
      </c>
    </row>
    <row r="78" spans="1:34" x14ac:dyDescent="0.35">
      <c r="A78" s="33" t="s">
        <v>84</v>
      </c>
      <c r="B78" s="10">
        <v>84949.099999999962</v>
      </c>
      <c r="C78" s="2">
        <v>84970.259999999966</v>
      </c>
      <c r="D78" s="2">
        <v>84981.069999999963</v>
      </c>
      <c r="E78" s="2">
        <v>85000.63999999997</v>
      </c>
      <c r="F78" s="2">
        <v>85000.63999999997</v>
      </c>
      <c r="G78" s="2">
        <v>85018.759999999966</v>
      </c>
      <c r="H78" s="2">
        <v>85040.379999999961</v>
      </c>
      <c r="I78" s="2">
        <v>85060.609999999957</v>
      </c>
      <c r="J78" s="2">
        <v>85079.959999999963</v>
      </c>
      <c r="K78" s="2">
        <v>85080.059999999969</v>
      </c>
      <c r="L78" s="2">
        <v>85080.059999999969</v>
      </c>
      <c r="M78" s="2">
        <v>85084.579999999973</v>
      </c>
      <c r="N78" s="2">
        <v>85106.099999999977</v>
      </c>
      <c r="O78" s="2">
        <v>85127.699999999983</v>
      </c>
      <c r="P78" s="2">
        <v>85134.139999999985</v>
      </c>
      <c r="Q78" s="2">
        <v>85152.219999999987</v>
      </c>
      <c r="R78" s="2">
        <v>85170.689999999988</v>
      </c>
      <c r="S78" s="2">
        <v>85185.909999999989</v>
      </c>
      <c r="T78" s="2">
        <v>85206.099999999991</v>
      </c>
      <c r="U78" s="2">
        <v>85225.719999999987</v>
      </c>
      <c r="V78" s="2">
        <v>85243.979999999981</v>
      </c>
      <c r="W78" s="2">
        <v>85257.50999999998</v>
      </c>
      <c r="X78" s="2">
        <v>85279.329999999987</v>
      </c>
      <c r="Y78" s="2">
        <v>85279.359999999986</v>
      </c>
      <c r="Z78" s="2">
        <v>85281.549999999988</v>
      </c>
      <c r="AA78" s="2">
        <v>85304.299999999988</v>
      </c>
      <c r="AB78" s="2">
        <v>85321.109999999986</v>
      </c>
      <c r="AC78" s="2">
        <v>85329.159999999989</v>
      </c>
      <c r="AD78" s="2">
        <v>85349.779999999984</v>
      </c>
      <c r="AE78" s="2">
        <v>85367.079999999987</v>
      </c>
      <c r="AF78" s="3">
        <v>85383.099999999991</v>
      </c>
      <c r="AG78" s="51">
        <f t="shared" si="2"/>
        <v>85383.099999999991</v>
      </c>
      <c r="AH78" s="44">
        <v>84928.23</v>
      </c>
    </row>
    <row r="79" spans="1:34" x14ac:dyDescent="0.35">
      <c r="A79" s="33" t="s">
        <v>85</v>
      </c>
      <c r="B79" s="10">
        <v>85143.549999999872</v>
      </c>
      <c r="C79" s="2">
        <v>85165.159999999873</v>
      </c>
      <c r="D79" s="2">
        <v>85185.96999999987</v>
      </c>
      <c r="E79" s="2">
        <v>85190.10999999987</v>
      </c>
      <c r="F79" s="2">
        <v>85212.309999999867</v>
      </c>
      <c r="G79" s="2">
        <v>85233.269999999873</v>
      </c>
      <c r="H79" s="2">
        <v>85255.869999999879</v>
      </c>
      <c r="I79" s="2">
        <v>85277.519999999873</v>
      </c>
      <c r="J79" s="2">
        <v>85298.929999999877</v>
      </c>
      <c r="K79" s="2">
        <v>85311.159999999873</v>
      </c>
      <c r="L79" s="2">
        <v>85331.929999999877</v>
      </c>
      <c r="M79" s="2">
        <v>85352.639999999883</v>
      </c>
      <c r="N79" s="2">
        <v>85374.419999999882</v>
      </c>
      <c r="O79" s="2">
        <v>85395.959999999875</v>
      </c>
      <c r="P79" s="2">
        <v>85413.709999999875</v>
      </c>
      <c r="Q79" s="2">
        <v>85429.289999999877</v>
      </c>
      <c r="R79" s="2">
        <v>85430.369999999879</v>
      </c>
      <c r="S79" s="2">
        <v>85432.059999999881</v>
      </c>
      <c r="T79" s="2">
        <v>85453.489999999874</v>
      </c>
      <c r="U79" s="2">
        <v>85470.319999999876</v>
      </c>
      <c r="V79" s="2">
        <v>85489.83999999988</v>
      </c>
      <c r="W79" s="2">
        <v>85511.359999999884</v>
      </c>
      <c r="X79" s="2">
        <v>85531.869999999879</v>
      </c>
      <c r="Y79" s="2">
        <v>85553.22999999988</v>
      </c>
      <c r="Z79" s="2">
        <v>85574.759999999878</v>
      </c>
      <c r="AA79" s="2">
        <v>85594.939999999871</v>
      </c>
      <c r="AB79" s="2">
        <v>85612.209999999875</v>
      </c>
      <c r="AC79" s="2">
        <v>85632.189999999871</v>
      </c>
      <c r="AD79" s="2">
        <v>85647.989999999874</v>
      </c>
      <c r="AE79" s="2">
        <v>85669.649999999878</v>
      </c>
      <c r="AF79" s="3">
        <v>85690.369999999879</v>
      </c>
      <c r="AG79" s="51">
        <f t="shared" si="2"/>
        <v>85690.369999999879</v>
      </c>
      <c r="AH79" s="44">
        <v>85122.26</v>
      </c>
    </row>
    <row r="80" spans="1:34" x14ac:dyDescent="0.35">
      <c r="A80" s="33" t="s">
        <v>86</v>
      </c>
      <c r="B80" s="10">
        <v>83468.21999999987</v>
      </c>
      <c r="C80" s="2">
        <v>83489.459999999875</v>
      </c>
      <c r="D80" s="2">
        <v>83496.829999999871</v>
      </c>
      <c r="E80" s="2">
        <v>83499.059999999867</v>
      </c>
      <c r="F80" s="2">
        <v>83520.309999999867</v>
      </c>
      <c r="G80" s="2">
        <v>83535.389999999868</v>
      </c>
      <c r="H80" s="2">
        <v>83556.669999999867</v>
      </c>
      <c r="I80" s="2">
        <v>83579.019999999873</v>
      </c>
      <c r="J80" s="2">
        <v>83601.429999999877</v>
      </c>
      <c r="K80" s="2">
        <v>83614.809999999881</v>
      </c>
      <c r="L80" s="2">
        <v>83625.619999999879</v>
      </c>
      <c r="M80" s="2">
        <v>83634.109999999884</v>
      </c>
      <c r="N80" s="2">
        <v>83634.109999999884</v>
      </c>
      <c r="O80" s="2">
        <v>83634.109999999884</v>
      </c>
      <c r="P80" s="2">
        <v>83634.109999999884</v>
      </c>
      <c r="Q80" s="2">
        <v>83634.109999999884</v>
      </c>
      <c r="R80" s="2">
        <v>83640.469999999885</v>
      </c>
      <c r="S80" s="2">
        <v>83661.829999999885</v>
      </c>
      <c r="T80" s="2">
        <v>83683.039999999892</v>
      </c>
      <c r="U80" s="2">
        <v>83695.759999999893</v>
      </c>
      <c r="V80" s="2">
        <v>83713.359999999899</v>
      </c>
      <c r="W80" s="2">
        <v>83734.659999999902</v>
      </c>
      <c r="X80" s="2">
        <v>83756.269999999902</v>
      </c>
      <c r="Y80" s="2">
        <v>83777.379999999903</v>
      </c>
      <c r="Z80" s="2">
        <v>83798.999999999898</v>
      </c>
      <c r="AA80" s="2">
        <v>83811.279999999897</v>
      </c>
      <c r="AB80" s="2">
        <v>83811.279999999897</v>
      </c>
      <c r="AC80" s="2">
        <v>83811.279999999897</v>
      </c>
      <c r="AD80" s="2">
        <v>83817.639999999898</v>
      </c>
      <c r="AE80" s="2">
        <v>83837.649999999892</v>
      </c>
      <c r="AF80" s="3">
        <v>83859.219999999899</v>
      </c>
      <c r="AG80" s="51">
        <f t="shared" si="2"/>
        <v>83859.219999999899</v>
      </c>
      <c r="AH80" s="44">
        <v>83447.09</v>
      </c>
    </row>
    <row r="81" spans="1:34" x14ac:dyDescent="0.35">
      <c r="A81" s="33" t="s">
        <v>87</v>
      </c>
      <c r="B81" s="10">
        <v>83058.600000000137</v>
      </c>
      <c r="C81" s="2">
        <v>83079.990000000136</v>
      </c>
      <c r="D81" s="2">
        <v>83099.380000000136</v>
      </c>
      <c r="E81" s="2">
        <v>83114.860000000132</v>
      </c>
      <c r="F81" s="2">
        <v>83134.550000000134</v>
      </c>
      <c r="G81" s="2">
        <v>83150.460000000137</v>
      </c>
      <c r="H81" s="2">
        <v>83161.570000000138</v>
      </c>
      <c r="I81" s="2">
        <v>83175.200000000143</v>
      </c>
      <c r="J81" s="2">
        <v>83196.440000000148</v>
      </c>
      <c r="K81" s="2">
        <v>83218.800000000148</v>
      </c>
      <c r="L81" s="2">
        <v>83240.590000000142</v>
      </c>
      <c r="M81" s="2">
        <v>83242.660000000149</v>
      </c>
      <c r="N81" s="2">
        <v>83242.660000000149</v>
      </c>
      <c r="O81" s="2">
        <v>83259.720000000147</v>
      </c>
      <c r="P81" s="2">
        <v>83277.580000000147</v>
      </c>
      <c r="Q81" s="2">
        <v>83287.330000000147</v>
      </c>
      <c r="R81" s="2">
        <v>83307.950000000143</v>
      </c>
      <c r="S81" s="2">
        <v>83314.200000000143</v>
      </c>
      <c r="T81" s="2">
        <v>83335.750000000146</v>
      </c>
      <c r="U81" s="2">
        <v>83355.940000000148</v>
      </c>
      <c r="V81" s="2">
        <v>83377.570000000153</v>
      </c>
      <c r="W81" s="2">
        <v>83385.510000000155</v>
      </c>
      <c r="X81" s="2">
        <v>83406.950000000157</v>
      </c>
      <c r="Y81" s="2">
        <v>83426.660000000164</v>
      </c>
      <c r="Z81" s="2">
        <v>83450.160000000164</v>
      </c>
      <c r="AA81" s="2">
        <v>83473.740000000165</v>
      </c>
      <c r="AB81" s="2">
        <v>83495.140000000159</v>
      </c>
      <c r="AC81" s="2">
        <v>83515.620000000155</v>
      </c>
      <c r="AD81" s="2">
        <v>83537.170000000158</v>
      </c>
      <c r="AE81" s="2">
        <v>83557.860000000161</v>
      </c>
      <c r="AF81" s="3">
        <v>83577.080000000162</v>
      </c>
      <c r="AG81" s="51">
        <f t="shared" si="2"/>
        <v>83577.080000000162</v>
      </c>
      <c r="AH81" s="44">
        <v>83037.570000000007</v>
      </c>
    </row>
    <row r="82" spans="1:34" x14ac:dyDescent="0.35">
      <c r="A82" s="33" t="s">
        <v>88</v>
      </c>
      <c r="B82" s="10">
        <v>83370.159999999902</v>
      </c>
      <c r="C82" s="2">
        <v>83381.349999999904</v>
      </c>
      <c r="D82" s="2">
        <v>83399.369999999908</v>
      </c>
      <c r="E82" s="2">
        <v>83419.929999999906</v>
      </c>
      <c r="F82" s="2">
        <v>83441.289999999906</v>
      </c>
      <c r="G82" s="2">
        <v>83462.729999999909</v>
      </c>
      <c r="H82" s="2">
        <v>83484.859999999913</v>
      </c>
      <c r="I82" s="2">
        <v>83501.30999999991</v>
      </c>
      <c r="J82" s="2">
        <v>83519.509999999907</v>
      </c>
      <c r="K82" s="2">
        <v>83541.749999999913</v>
      </c>
      <c r="L82" s="2">
        <v>83559.69999999991</v>
      </c>
      <c r="M82" s="2">
        <v>83580.619999999908</v>
      </c>
      <c r="N82" s="2">
        <v>83601.599999999904</v>
      </c>
      <c r="O82" s="2">
        <v>83622.909999999902</v>
      </c>
      <c r="P82" s="2">
        <v>83643.779999999897</v>
      </c>
      <c r="Q82" s="2">
        <v>83665.229999999894</v>
      </c>
      <c r="R82" s="2">
        <v>83686.929999999891</v>
      </c>
      <c r="S82" s="2">
        <v>83700.70999999989</v>
      </c>
      <c r="T82" s="2">
        <v>83722.439999999886</v>
      </c>
      <c r="U82" s="2">
        <v>83737.719999999885</v>
      </c>
      <c r="V82" s="2">
        <v>83737.719999999885</v>
      </c>
      <c r="W82" s="2">
        <v>83749.70999999989</v>
      </c>
      <c r="X82" s="2">
        <v>83771.199999999895</v>
      </c>
      <c r="Y82" s="2">
        <v>83792.779999999897</v>
      </c>
      <c r="Z82" s="2">
        <v>83814.9399999999</v>
      </c>
      <c r="AA82" s="2">
        <v>83836.269999999902</v>
      </c>
      <c r="AB82" s="2">
        <v>83853.919999999896</v>
      </c>
      <c r="AC82" s="2">
        <v>83875.739999999903</v>
      </c>
      <c r="AD82" s="2">
        <v>83895.819999999905</v>
      </c>
      <c r="AE82" s="2">
        <v>83917.159999999902</v>
      </c>
      <c r="AF82" s="3">
        <v>83937.919999999896</v>
      </c>
      <c r="AG82" s="51">
        <f t="shared" si="2"/>
        <v>83937.919999999896</v>
      </c>
      <c r="AH82" s="44">
        <v>83353.7</v>
      </c>
    </row>
    <row r="83" spans="1:34" x14ac:dyDescent="0.35">
      <c r="A83" s="33" t="s">
        <v>89</v>
      </c>
      <c r="B83" s="10">
        <v>83371.959999999715</v>
      </c>
      <c r="C83" s="2">
        <v>83392.35999999971</v>
      </c>
      <c r="D83" s="2">
        <v>83408.789999999703</v>
      </c>
      <c r="E83" s="2">
        <v>83426.529999999708</v>
      </c>
      <c r="F83" s="2">
        <v>83436.929999999702</v>
      </c>
      <c r="G83" s="2">
        <v>83457.319999999701</v>
      </c>
      <c r="H83" s="2">
        <v>83479.569999999701</v>
      </c>
      <c r="I83" s="2">
        <v>83496.839999999705</v>
      </c>
      <c r="J83" s="2">
        <v>83511.8499999997</v>
      </c>
      <c r="K83" s="2">
        <v>83526.749999999694</v>
      </c>
      <c r="L83" s="2">
        <v>83529.289999999688</v>
      </c>
      <c r="M83" s="2">
        <v>83550.849999999686</v>
      </c>
      <c r="N83" s="2">
        <v>83572.629999999685</v>
      </c>
      <c r="O83" s="2">
        <v>83590.74999999968</v>
      </c>
      <c r="P83" s="2">
        <v>83604.019999999684</v>
      </c>
      <c r="Q83" s="2">
        <v>83620.49999999968</v>
      </c>
      <c r="R83" s="2">
        <v>83641.839999999676</v>
      </c>
      <c r="S83" s="2">
        <v>83648.10999999968</v>
      </c>
      <c r="T83" s="2">
        <v>83669.429999999687</v>
      </c>
      <c r="U83" s="2">
        <v>83685.999999999694</v>
      </c>
      <c r="V83" s="2">
        <v>83707.679999999687</v>
      </c>
      <c r="W83" s="2">
        <v>83721.879999999685</v>
      </c>
      <c r="X83" s="2">
        <v>83743.769999999684</v>
      </c>
      <c r="Y83" s="2">
        <v>83758.209999999686</v>
      </c>
      <c r="Z83" s="2">
        <v>83758.209999999686</v>
      </c>
      <c r="AA83" s="2">
        <v>83758.209999999686</v>
      </c>
      <c r="AB83" s="2">
        <v>83758.209999999686</v>
      </c>
      <c r="AC83" s="2">
        <v>83758.209999999686</v>
      </c>
      <c r="AD83" s="2">
        <v>83767.699999999691</v>
      </c>
      <c r="AE83" s="2">
        <v>83788.879999999685</v>
      </c>
      <c r="AF83" s="3">
        <v>83809.779999999679</v>
      </c>
      <c r="AG83" s="51">
        <f t="shared" si="2"/>
        <v>83809.779999999679</v>
      </c>
      <c r="AH83" s="44">
        <v>83351</v>
      </c>
    </row>
    <row r="84" spans="1:34" x14ac:dyDescent="0.35">
      <c r="A84" s="33" t="s">
        <v>90</v>
      </c>
      <c r="B84" s="10">
        <v>84936.09</v>
      </c>
      <c r="C84" s="2">
        <v>84953.45</v>
      </c>
      <c r="D84" s="2">
        <v>84969.69</v>
      </c>
      <c r="E84" s="2">
        <v>84987.12</v>
      </c>
      <c r="F84" s="2">
        <v>85008.51</v>
      </c>
      <c r="G84" s="2">
        <v>85019.549999999988</v>
      </c>
      <c r="H84" s="2">
        <v>85019.549999999988</v>
      </c>
      <c r="I84" s="2">
        <v>85019.549999999988</v>
      </c>
      <c r="J84" s="2">
        <v>85024.219999999987</v>
      </c>
      <c r="K84" s="2">
        <v>85046.749999999985</v>
      </c>
      <c r="L84" s="2">
        <v>85068.859999999986</v>
      </c>
      <c r="M84" s="2">
        <v>85090.109999999986</v>
      </c>
      <c r="N84" s="2">
        <v>85110.599999999991</v>
      </c>
      <c r="O84" s="2">
        <v>85132.029999999984</v>
      </c>
      <c r="P84" s="2">
        <v>85147.849999999991</v>
      </c>
      <c r="Q84" s="2">
        <v>85160.43</v>
      </c>
      <c r="R84" s="2">
        <v>85174.87</v>
      </c>
      <c r="S84" s="2">
        <v>85191.44</v>
      </c>
      <c r="T84" s="2">
        <v>85202.82</v>
      </c>
      <c r="U84" s="2">
        <v>85222.94</v>
      </c>
      <c r="V84" s="2">
        <v>85245.22</v>
      </c>
      <c r="W84" s="2">
        <v>85247.94</v>
      </c>
      <c r="X84" s="2">
        <v>85248.17</v>
      </c>
      <c r="Y84" s="2">
        <v>85268.79</v>
      </c>
      <c r="Z84" s="2">
        <v>85286.79</v>
      </c>
      <c r="AA84" s="2">
        <v>85287.29</v>
      </c>
      <c r="AB84" s="2">
        <v>85287.29</v>
      </c>
      <c r="AC84" s="2">
        <v>85287.29</v>
      </c>
      <c r="AD84" s="2">
        <v>85287.29</v>
      </c>
      <c r="AE84" s="2">
        <v>85287.29</v>
      </c>
      <c r="AF84" s="3">
        <v>85287.29</v>
      </c>
      <c r="AG84" s="51">
        <f t="shared" si="2"/>
        <v>85287.29</v>
      </c>
      <c r="AH84" s="44">
        <v>84925.440000000002</v>
      </c>
    </row>
    <row r="85" spans="1:34" x14ac:dyDescent="0.35">
      <c r="A85" s="33" t="s">
        <v>91</v>
      </c>
      <c r="B85" s="10">
        <v>84390.489999999758</v>
      </c>
      <c r="C85" s="2">
        <v>84405.719999999754</v>
      </c>
      <c r="D85" s="2">
        <v>84427.169999999751</v>
      </c>
      <c r="E85" s="2">
        <v>84439.589999999749</v>
      </c>
      <c r="F85" s="2">
        <v>84450.479999999749</v>
      </c>
      <c r="G85" s="2">
        <v>84469.119999999748</v>
      </c>
      <c r="H85" s="2">
        <v>84488.549999999741</v>
      </c>
      <c r="I85" s="2">
        <v>84508.07999999974</v>
      </c>
      <c r="J85" s="2">
        <v>84528.43999999974</v>
      </c>
      <c r="K85" s="2">
        <v>84549.669999999736</v>
      </c>
      <c r="L85" s="2">
        <v>84571.119999999733</v>
      </c>
      <c r="M85" s="2">
        <v>84589.999999999738</v>
      </c>
      <c r="N85" s="2">
        <v>84611.809999999736</v>
      </c>
      <c r="O85" s="2">
        <v>84633.349999999729</v>
      </c>
      <c r="P85" s="2">
        <v>84645.149999999732</v>
      </c>
      <c r="Q85" s="2">
        <v>84665.909999999727</v>
      </c>
      <c r="R85" s="2">
        <v>84687.58999999972</v>
      </c>
      <c r="S85" s="2">
        <v>84708.119999999719</v>
      </c>
      <c r="T85" s="2">
        <v>84725.909999999712</v>
      </c>
      <c r="U85" s="2">
        <v>84747.409999999712</v>
      </c>
      <c r="V85" s="2">
        <v>84768.989999999714</v>
      </c>
      <c r="W85" s="2">
        <v>84789.939999999711</v>
      </c>
      <c r="X85" s="2">
        <v>84811.439999999711</v>
      </c>
      <c r="Y85" s="2">
        <v>84832.159999999712</v>
      </c>
      <c r="Z85" s="2">
        <v>84853.569999999716</v>
      </c>
      <c r="AA85" s="2">
        <v>84873.439999999711</v>
      </c>
      <c r="AB85" s="2">
        <v>84883.589999999705</v>
      </c>
      <c r="AC85" s="2">
        <v>84904.249999999709</v>
      </c>
      <c r="AD85" s="2">
        <v>84916.789999999703</v>
      </c>
      <c r="AE85" s="2">
        <v>84927.35999999971</v>
      </c>
      <c r="AF85" s="3">
        <v>84948.909999999712</v>
      </c>
      <c r="AG85" s="51">
        <f t="shared" si="2"/>
        <v>84948.909999999712</v>
      </c>
      <c r="AH85" s="44">
        <v>84390.49</v>
      </c>
    </row>
    <row r="86" spans="1:34" x14ac:dyDescent="0.35">
      <c r="A86" s="33" t="s">
        <v>92</v>
      </c>
      <c r="B86" s="10">
        <v>84643.070000000138</v>
      </c>
      <c r="C86" s="2">
        <v>84661.910000000134</v>
      </c>
      <c r="D86" s="2">
        <v>84683.180000000139</v>
      </c>
      <c r="E86" s="2">
        <v>84693.320000000138</v>
      </c>
      <c r="F86" s="2">
        <v>84707.820000000138</v>
      </c>
      <c r="G86" s="2">
        <v>84728.750000000131</v>
      </c>
      <c r="H86" s="2">
        <v>84750.510000000126</v>
      </c>
      <c r="I86" s="2">
        <v>84772.080000000133</v>
      </c>
      <c r="J86" s="2">
        <v>84789.990000000136</v>
      </c>
      <c r="K86" s="2">
        <v>84810.14000000013</v>
      </c>
      <c r="L86" s="2">
        <v>84816.710000000137</v>
      </c>
      <c r="M86" s="2">
        <v>84837.720000000132</v>
      </c>
      <c r="N86" s="2">
        <v>84858.910000000134</v>
      </c>
      <c r="O86" s="2">
        <v>84879.710000000137</v>
      </c>
      <c r="P86" s="2">
        <v>84897.070000000138</v>
      </c>
      <c r="Q86" s="2">
        <v>84918.51000000014</v>
      </c>
      <c r="R86" s="2">
        <v>84938.450000000143</v>
      </c>
      <c r="S86" s="2">
        <v>84959.670000000144</v>
      </c>
      <c r="T86" s="2">
        <v>84972.290000000139</v>
      </c>
      <c r="U86" s="2">
        <v>84992.710000000137</v>
      </c>
      <c r="V86" s="2">
        <v>85005.860000000132</v>
      </c>
      <c r="W86" s="2">
        <v>85005.860000000132</v>
      </c>
      <c r="X86" s="2">
        <v>85005.860000000132</v>
      </c>
      <c r="Y86" s="2">
        <v>85005.860000000132</v>
      </c>
      <c r="Z86" s="2">
        <v>85022.090000000127</v>
      </c>
      <c r="AA86" s="2">
        <v>85027.570000000123</v>
      </c>
      <c r="AB86" s="2">
        <v>85049.610000000117</v>
      </c>
      <c r="AC86" s="2">
        <v>85071.120000000112</v>
      </c>
      <c r="AD86" s="2">
        <v>85090.940000000119</v>
      </c>
      <c r="AE86" s="2">
        <v>85103.650000000125</v>
      </c>
      <c r="AF86" s="3">
        <v>85124.89000000013</v>
      </c>
      <c r="AG86" s="51">
        <f t="shared" si="2"/>
        <v>85124.89000000013</v>
      </c>
      <c r="AH86" s="44">
        <v>84624.9</v>
      </c>
    </row>
    <row r="87" spans="1:34" x14ac:dyDescent="0.35">
      <c r="A87" s="33" t="s">
        <v>93</v>
      </c>
      <c r="B87" s="10">
        <v>78325.419999999896</v>
      </c>
      <c r="C87" s="2">
        <v>78345.779999999897</v>
      </c>
      <c r="D87" s="2">
        <v>78367.419999999896</v>
      </c>
      <c r="E87" s="2">
        <v>78388.009999999893</v>
      </c>
      <c r="F87" s="2">
        <v>78409.289999999892</v>
      </c>
      <c r="G87" s="2">
        <v>78425.849999999889</v>
      </c>
      <c r="H87" s="2">
        <v>78447.449999999895</v>
      </c>
      <c r="I87" s="2">
        <v>78468.399999999892</v>
      </c>
      <c r="J87" s="2">
        <v>78490.299999999886</v>
      </c>
      <c r="K87" s="2">
        <v>78507.369999999893</v>
      </c>
      <c r="L87" s="2">
        <v>78530.499999999898</v>
      </c>
      <c r="M87" s="2">
        <v>78550.4399999999</v>
      </c>
      <c r="N87" s="2">
        <v>78571.099999999904</v>
      </c>
      <c r="O87" s="2">
        <v>78591.259999999907</v>
      </c>
      <c r="P87" s="2">
        <v>78605.339999999909</v>
      </c>
      <c r="Q87" s="2">
        <v>78625.999999999913</v>
      </c>
      <c r="R87" s="2">
        <v>78642.629999999917</v>
      </c>
      <c r="S87" s="2">
        <v>78664.029999999912</v>
      </c>
      <c r="T87" s="2">
        <v>78685.289999999906</v>
      </c>
      <c r="U87" s="2">
        <v>78698.529999999912</v>
      </c>
      <c r="V87" s="2">
        <v>78719.969999999914</v>
      </c>
      <c r="W87" s="2">
        <v>78738.479999999909</v>
      </c>
      <c r="X87" s="2">
        <v>78749.349999999904</v>
      </c>
      <c r="Y87" s="2">
        <v>78766.739999999903</v>
      </c>
      <c r="Z87" s="2">
        <v>78781.599999999904</v>
      </c>
      <c r="AA87" s="2">
        <v>78790.379999999903</v>
      </c>
      <c r="AB87" s="2">
        <v>78790.379999999903</v>
      </c>
      <c r="AC87" s="2">
        <v>78809.44999999991</v>
      </c>
      <c r="AD87" s="2">
        <v>78830.019999999917</v>
      </c>
      <c r="AE87" s="2">
        <v>78844.009999999922</v>
      </c>
      <c r="AF87" s="3">
        <v>78863.229999999923</v>
      </c>
      <c r="AG87" s="51">
        <f t="shared" si="2"/>
        <v>78863.229999999923</v>
      </c>
      <c r="AH87" s="44">
        <v>78304.070000000007</v>
      </c>
    </row>
    <row r="88" spans="1:34" x14ac:dyDescent="0.35">
      <c r="A88" s="33" t="s">
        <v>94</v>
      </c>
      <c r="B88" s="10">
        <v>86275.709999999919</v>
      </c>
      <c r="C88" s="2">
        <v>86297.019999999917</v>
      </c>
      <c r="D88" s="2">
        <v>86317.959999999919</v>
      </c>
      <c r="E88" s="2">
        <v>86339.249999999913</v>
      </c>
      <c r="F88" s="2">
        <v>86359.219999999914</v>
      </c>
      <c r="G88" s="2">
        <v>86380.209999999919</v>
      </c>
      <c r="H88" s="2">
        <v>86401.389999999912</v>
      </c>
      <c r="I88" s="2">
        <v>86401.509999999907</v>
      </c>
      <c r="J88" s="2">
        <v>86401.509999999907</v>
      </c>
      <c r="K88" s="2">
        <v>86401.509999999907</v>
      </c>
      <c r="L88" s="2">
        <v>86406.80999999991</v>
      </c>
      <c r="M88" s="2">
        <v>86425.349999999904</v>
      </c>
      <c r="N88" s="2">
        <v>86443.249999999898</v>
      </c>
      <c r="O88" s="2">
        <v>86465.059999999896</v>
      </c>
      <c r="P88" s="2">
        <v>86483.149999999892</v>
      </c>
      <c r="Q88" s="2">
        <v>86490.879999999888</v>
      </c>
      <c r="R88" s="2">
        <v>86490.879999999888</v>
      </c>
      <c r="S88" s="2">
        <v>86509.269999999888</v>
      </c>
      <c r="T88" s="2">
        <v>86528.849999999889</v>
      </c>
      <c r="U88" s="2">
        <v>86544.469999999885</v>
      </c>
      <c r="V88" s="2">
        <v>86566.549999999886</v>
      </c>
      <c r="W88" s="2">
        <v>86587.999999999884</v>
      </c>
      <c r="X88" s="2">
        <v>86609.999999999884</v>
      </c>
      <c r="Y88" s="2">
        <v>86630.009999999878</v>
      </c>
      <c r="Z88" s="2">
        <v>86647.989999999874</v>
      </c>
      <c r="AA88" s="2">
        <v>86663.749999999869</v>
      </c>
      <c r="AB88" s="2">
        <v>86663.749999999869</v>
      </c>
      <c r="AC88" s="2">
        <v>86663.749999999869</v>
      </c>
      <c r="AD88" s="2">
        <v>86663.749999999869</v>
      </c>
      <c r="AE88" s="2">
        <v>86663.749999999869</v>
      </c>
      <c r="AF88" s="3">
        <v>86678.029999999868</v>
      </c>
      <c r="AG88" s="51">
        <f t="shared" si="2"/>
        <v>86678.029999999868</v>
      </c>
      <c r="AH88" s="44">
        <v>86254.62</v>
      </c>
    </row>
    <row r="89" spans="1:34" x14ac:dyDescent="0.35">
      <c r="A89" s="33" t="s">
        <v>95</v>
      </c>
      <c r="B89" s="10">
        <v>82201.549999999712</v>
      </c>
      <c r="C89" s="2">
        <v>82212.389999999708</v>
      </c>
      <c r="D89" s="2">
        <v>82225.669999999707</v>
      </c>
      <c r="E89" s="2">
        <v>82246.899999999703</v>
      </c>
      <c r="F89" s="2">
        <v>82262.659999999698</v>
      </c>
      <c r="G89" s="2">
        <v>82276.629999999699</v>
      </c>
      <c r="H89" s="2">
        <v>82298.4899999997</v>
      </c>
      <c r="I89" s="2">
        <v>82320.399999999703</v>
      </c>
      <c r="J89" s="2">
        <v>82342.119999999704</v>
      </c>
      <c r="K89" s="2">
        <v>82363.999999999709</v>
      </c>
      <c r="L89" s="2">
        <v>82386.679999999702</v>
      </c>
      <c r="M89" s="2">
        <v>82404.109999999695</v>
      </c>
      <c r="N89" s="2">
        <v>82424.929999999702</v>
      </c>
      <c r="O89" s="2">
        <v>82425.089999999705</v>
      </c>
      <c r="P89" s="2">
        <v>82446.3499999997</v>
      </c>
      <c r="Q89" s="2">
        <v>82456.529999999693</v>
      </c>
      <c r="R89" s="2">
        <v>82474.309999999692</v>
      </c>
      <c r="S89" s="2">
        <v>82493.569999999687</v>
      </c>
      <c r="T89" s="2">
        <v>82514.419999999693</v>
      </c>
      <c r="U89" s="2">
        <v>82532.61999999969</v>
      </c>
      <c r="V89" s="2">
        <v>82550.279999999693</v>
      </c>
      <c r="W89" s="2">
        <v>82571.309999999692</v>
      </c>
      <c r="X89" s="2">
        <v>82592.919999999693</v>
      </c>
      <c r="Y89" s="2">
        <v>82614.219999999696</v>
      </c>
      <c r="Z89" s="2">
        <v>82636.61999999969</v>
      </c>
      <c r="AA89" s="2">
        <v>82659.099999999686</v>
      </c>
      <c r="AB89" s="2">
        <v>82674.509999999689</v>
      </c>
      <c r="AC89" s="2">
        <v>82674.509999999689</v>
      </c>
      <c r="AD89" s="2">
        <v>82680.959999999686</v>
      </c>
      <c r="AE89" s="2">
        <v>82702.059999999692</v>
      </c>
      <c r="AF89" s="3">
        <v>82721.279999999693</v>
      </c>
      <c r="AG89" s="51">
        <f t="shared" si="2"/>
        <v>82721.279999999693</v>
      </c>
      <c r="AH89" s="44">
        <v>82201.55</v>
      </c>
    </row>
    <row r="90" spans="1:34" x14ac:dyDescent="0.35">
      <c r="A90" s="33" t="s">
        <v>96</v>
      </c>
      <c r="B90" s="10">
        <v>83694.879999999888</v>
      </c>
      <c r="C90" s="2">
        <v>83715.969999999885</v>
      </c>
      <c r="D90" s="2">
        <v>83736.509999999878</v>
      </c>
      <c r="E90" s="2">
        <v>83757.079999999885</v>
      </c>
      <c r="F90" s="2">
        <v>83778.47999999988</v>
      </c>
      <c r="G90" s="2">
        <v>83799.269999999873</v>
      </c>
      <c r="H90" s="2">
        <v>83820.539999999877</v>
      </c>
      <c r="I90" s="2">
        <v>83831.429999999877</v>
      </c>
      <c r="J90" s="2">
        <v>83843.499999999884</v>
      </c>
      <c r="K90" s="2">
        <v>83866.109999999884</v>
      </c>
      <c r="L90" s="2">
        <v>83872.499999999884</v>
      </c>
      <c r="M90" s="2">
        <v>83887.999999999884</v>
      </c>
      <c r="N90" s="2">
        <v>83909.269999999888</v>
      </c>
      <c r="O90" s="2">
        <v>83930.939999999886</v>
      </c>
      <c r="P90" s="2">
        <v>83935.629999999888</v>
      </c>
      <c r="Q90" s="2">
        <v>83941.70999999989</v>
      </c>
      <c r="R90" s="2">
        <v>83962.749999999884</v>
      </c>
      <c r="S90" s="2">
        <v>83984.139999999883</v>
      </c>
      <c r="T90" s="2">
        <v>84005.299999999886</v>
      </c>
      <c r="U90" s="2">
        <v>84012.629999999888</v>
      </c>
      <c r="V90" s="2">
        <v>84023.599999999889</v>
      </c>
      <c r="W90" s="2">
        <v>84042.279999999882</v>
      </c>
      <c r="X90" s="2">
        <v>84062.189999999886</v>
      </c>
      <c r="Y90" s="2">
        <v>84080.419999999882</v>
      </c>
      <c r="Z90" s="2">
        <v>84096.849999999875</v>
      </c>
      <c r="AA90" s="2">
        <v>84116.999999999869</v>
      </c>
      <c r="AB90" s="2">
        <v>84139.169999999867</v>
      </c>
      <c r="AC90" s="2">
        <v>84160.639999999868</v>
      </c>
      <c r="AD90" s="2">
        <v>84181.589999999866</v>
      </c>
      <c r="AE90" s="2">
        <v>84201.949999999866</v>
      </c>
      <c r="AF90" s="3">
        <v>84218.46999999987</v>
      </c>
      <c r="AG90" s="51">
        <f t="shared" si="2"/>
        <v>84218.46999999987</v>
      </c>
      <c r="AH90" s="44">
        <v>83683.259999999995</v>
      </c>
    </row>
    <row r="91" spans="1:34" x14ac:dyDescent="0.35">
      <c r="A91" s="33" t="s">
        <v>97</v>
      </c>
      <c r="B91" s="10">
        <v>84867.240000000049</v>
      </c>
      <c r="C91" s="2">
        <v>84888.720000000045</v>
      </c>
      <c r="D91" s="2">
        <v>84909.84000000004</v>
      </c>
      <c r="E91" s="2">
        <v>84918.59000000004</v>
      </c>
      <c r="F91" s="2">
        <v>84938.900000000038</v>
      </c>
      <c r="G91" s="2">
        <v>84958.140000000043</v>
      </c>
      <c r="H91" s="2">
        <v>84975.890000000043</v>
      </c>
      <c r="I91" s="2">
        <v>84975.890000000043</v>
      </c>
      <c r="J91" s="2">
        <v>84975.890000000043</v>
      </c>
      <c r="K91" s="2">
        <v>84977.190000000046</v>
      </c>
      <c r="L91" s="2">
        <v>84978.440000000046</v>
      </c>
      <c r="M91" s="2">
        <v>84992.650000000052</v>
      </c>
      <c r="N91" s="2">
        <v>84998.850000000049</v>
      </c>
      <c r="O91" s="2">
        <v>85001.250000000044</v>
      </c>
      <c r="P91" s="2">
        <v>85002.560000000041</v>
      </c>
      <c r="Q91" s="2">
        <v>85010.870000000039</v>
      </c>
      <c r="R91" s="2">
        <v>85032.520000000033</v>
      </c>
      <c r="S91" s="2">
        <v>85052.660000000033</v>
      </c>
      <c r="T91" s="2">
        <v>85064.450000000026</v>
      </c>
      <c r="U91" s="2">
        <v>85064.450000000026</v>
      </c>
      <c r="V91" s="2">
        <v>85071.370000000024</v>
      </c>
      <c r="W91" s="2">
        <v>85083.790000000023</v>
      </c>
      <c r="X91" s="2">
        <v>85084.410000000018</v>
      </c>
      <c r="Y91" s="2">
        <v>85088.930000000022</v>
      </c>
      <c r="Z91" s="2">
        <v>85111.410000000018</v>
      </c>
      <c r="AA91" s="2">
        <v>85133.840000000011</v>
      </c>
      <c r="AB91" s="2">
        <v>85153.580000000016</v>
      </c>
      <c r="AC91" s="2">
        <v>85164.040000000023</v>
      </c>
      <c r="AD91" s="2">
        <v>85174.680000000022</v>
      </c>
      <c r="AE91" s="2">
        <v>85191.170000000027</v>
      </c>
      <c r="AF91" s="3">
        <v>85210.960000000021</v>
      </c>
      <c r="AG91" s="51">
        <f t="shared" si="2"/>
        <v>85210.960000000021</v>
      </c>
      <c r="AH91" s="44">
        <v>84845.84</v>
      </c>
    </row>
    <row r="92" spans="1:34" x14ac:dyDescent="0.35">
      <c r="A92" s="33" t="s">
        <v>98</v>
      </c>
      <c r="B92" s="10">
        <v>83758.570000000022</v>
      </c>
      <c r="C92" s="2">
        <v>83779.60000000002</v>
      </c>
      <c r="D92" s="2">
        <v>83800.930000000022</v>
      </c>
      <c r="E92" s="2">
        <v>83822.120000000024</v>
      </c>
      <c r="F92" s="2">
        <v>83829.400000000023</v>
      </c>
      <c r="G92" s="2">
        <v>83850.710000000021</v>
      </c>
      <c r="H92" s="2">
        <v>83872.520000000019</v>
      </c>
      <c r="I92" s="2">
        <v>83895.180000000022</v>
      </c>
      <c r="J92" s="2">
        <v>83917.74000000002</v>
      </c>
      <c r="K92" s="2">
        <v>83939.410000000018</v>
      </c>
      <c r="L92" s="2">
        <v>83943.690000000017</v>
      </c>
      <c r="M92" s="2">
        <v>83948.160000000018</v>
      </c>
      <c r="N92" s="2">
        <v>83966.930000000022</v>
      </c>
      <c r="O92" s="2">
        <v>83973.630000000019</v>
      </c>
      <c r="P92" s="2">
        <v>83992.170000000013</v>
      </c>
      <c r="Q92" s="2">
        <v>84013.420000000013</v>
      </c>
      <c r="R92" s="2">
        <v>84031.470000000016</v>
      </c>
      <c r="S92" s="2">
        <v>84031.470000000016</v>
      </c>
      <c r="T92" s="2">
        <v>84032.910000000018</v>
      </c>
      <c r="U92" s="2">
        <v>84049.320000000022</v>
      </c>
      <c r="V92" s="2">
        <v>84070.650000000023</v>
      </c>
      <c r="W92" s="2">
        <v>84092.170000000027</v>
      </c>
      <c r="X92" s="2">
        <v>84113.620000000024</v>
      </c>
      <c r="Y92" s="2">
        <v>84134.97000000003</v>
      </c>
      <c r="Z92" s="2">
        <v>84152.100000000035</v>
      </c>
      <c r="AA92" s="2">
        <v>84156.72000000003</v>
      </c>
      <c r="AB92" s="2">
        <v>84156.72000000003</v>
      </c>
      <c r="AC92" s="2">
        <v>84156.72000000003</v>
      </c>
      <c r="AD92" s="2">
        <v>84156.72000000003</v>
      </c>
      <c r="AE92" s="2">
        <v>84156.72000000003</v>
      </c>
      <c r="AF92" s="3">
        <v>84165.150000000023</v>
      </c>
      <c r="AG92" s="51">
        <f t="shared" si="2"/>
        <v>84165.150000000023</v>
      </c>
      <c r="AH92" s="44">
        <v>83745.440000000002</v>
      </c>
    </row>
    <row r="93" spans="1:34" x14ac:dyDescent="0.35">
      <c r="A93" s="33" t="s">
        <v>99</v>
      </c>
      <c r="B93" s="10">
        <v>80972.780000000188</v>
      </c>
      <c r="C93" s="2">
        <v>80994.100000000195</v>
      </c>
      <c r="D93" s="2">
        <v>81005.710000000196</v>
      </c>
      <c r="E93" s="2">
        <v>81026.380000000194</v>
      </c>
      <c r="F93" s="2">
        <v>81047.630000000194</v>
      </c>
      <c r="G93" s="2">
        <v>81061.11000000019</v>
      </c>
      <c r="H93" s="2">
        <v>81082.200000000186</v>
      </c>
      <c r="I93" s="2">
        <v>81100.300000000192</v>
      </c>
      <c r="J93" s="2">
        <v>81108.330000000191</v>
      </c>
      <c r="K93" s="2">
        <v>81129.170000000187</v>
      </c>
      <c r="L93" s="2">
        <v>81145.930000000182</v>
      </c>
      <c r="M93" s="2">
        <v>81164.230000000185</v>
      </c>
      <c r="N93" s="2">
        <v>81185.250000000189</v>
      </c>
      <c r="O93" s="2">
        <v>81207.000000000189</v>
      </c>
      <c r="P93" s="2">
        <v>81227.500000000189</v>
      </c>
      <c r="Q93" s="2">
        <v>81248.86000000019</v>
      </c>
      <c r="R93" s="2">
        <v>81269.320000000196</v>
      </c>
      <c r="S93" s="2">
        <v>81287.800000000192</v>
      </c>
      <c r="T93" s="2">
        <v>81309.750000000189</v>
      </c>
      <c r="U93" s="2">
        <v>81321.170000000187</v>
      </c>
      <c r="V93" s="2">
        <v>81340.950000000186</v>
      </c>
      <c r="W93" s="2">
        <v>81361.290000000183</v>
      </c>
      <c r="X93" s="2">
        <v>81382.920000000187</v>
      </c>
      <c r="Y93" s="2">
        <v>81404.510000000184</v>
      </c>
      <c r="Z93" s="2">
        <v>81415.560000000187</v>
      </c>
      <c r="AA93" s="2">
        <v>81415.560000000187</v>
      </c>
      <c r="AB93" s="2">
        <v>81415.560000000187</v>
      </c>
      <c r="AC93" s="2">
        <v>81415.560000000187</v>
      </c>
      <c r="AD93" s="2">
        <v>81426.270000000193</v>
      </c>
      <c r="AE93" s="2">
        <v>81444.910000000193</v>
      </c>
      <c r="AF93" s="3">
        <v>81462.200000000186</v>
      </c>
      <c r="AG93" s="51">
        <f t="shared" si="2"/>
        <v>81462.200000000186</v>
      </c>
      <c r="AH93" s="44">
        <v>80955.570000000007</v>
      </c>
    </row>
    <row r="94" spans="1:34" x14ac:dyDescent="0.35">
      <c r="A94" s="293" t="s">
        <v>100</v>
      </c>
      <c r="B94" s="10">
        <v>81277.610000000015</v>
      </c>
      <c r="C94" s="2">
        <v>81277.610000000015</v>
      </c>
      <c r="D94" s="2">
        <v>81277.610000000015</v>
      </c>
      <c r="E94" s="2">
        <v>81277.610000000015</v>
      </c>
      <c r="F94" s="2">
        <v>81277.610000000015</v>
      </c>
      <c r="G94" s="2">
        <v>81277.610000000015</v>
      </c>
      <c r="H94" s="2">
        <v>81277.610000000015</v>
      </c>
      <c r="I94" s="2">
        <v>81277.610000000015</v>
      </c>
      <c r="J94" s="2">
        <v>81277.610000000015</v>
      </c>
      <c r="K94" s="2">
        <v>81277.610000000015</v>
      </c>
      <c r="L94" s="2">
        <v>81277.610000000015</v>
      </c>
      <c r="M94" s="2">
        <v>81277.610000000015</v>
      </c>
      <c r="N94" s="2">
        <v>81277.610000000015</v>
      </c>
      <c r="O94" s="2">
        <v>81277.610000000015</v>
      </c>
      <c r="P94" s="2">
        <v>81277.610000000015</v>
      </c>
      <c r="Q94" s="2">
        <v>81277.610000000015</v>
      </c>
      <c r="R94" s="2">
        <v>81277.610000000015</v>
      </c>
      <c r="S94" s="2">
        <v>81277.610000000015</v>
      </c>
      <c r="T94" s="2">
        <v>81277.610000000015</v>
      </c>
      <c r="U94" s="2">
        <v>81277.610000000015</v>
      </c>
      <c r="V94" s="2">
        <v>81277.610000000015</v>
      </c>
      <c r="W94" s="2">
        <v>81277.610000000015</v>
      </c>
      <c r="X94" s="2">
        <v>81277.610000000015</v>
      </c>
      <c r="Y94" s="2">
        <v>81277.610000000015</v>
      </c>
      <c r="Z94" s="2">
        <v>81277.610000000015</v>
      </c>
      <c r="AA94" s="2">
        <v>81277.610000000015</v>
      </c>
      <c r="AB94" s="2">
        <v>81277.610000000015</v>
      </c>
      <c r="AC94" s="2">
        <v>81277.610000000015</v>
      </c>
      <c r="AD94" s="2">
        <v>81277.610000000015</v>
      </c>
      <c r="AE94" s="2">
        <v>81277.610000000015</v>
      </c>
      <c r="AF94" s="3">
        <v>81277.610000000015</v>
      </c>
      <c r="AG94" s="51">
        <f t="shared" si="2"/>
        <v>81277.610000000015</v>
      </c>
      <c r="AH94" s="44">
        <v>81277.61</v>
      </c>
    </row>
    <row r="95" spans="1:34" x14ac:dyDescent="0.35">
      <c r="A95" s="33" t="s">
        <v>101</v>
      </c>
      <c r="B95" s="10">
        <v>82285.569999999934</v>
      </c>
      <c r="C95" s="2">
        <v>82285.569999999934</v>
      </c>
      <c r="D95" s="2">
        <v>82285.569999999934</v>
      </c>
      <c r="E95" s="2">
        <v>82285.569999999934</v>
      </c>
      <c r="F95" s="2">
        <v>82285.569999999934</v>
      </c>
      <c r="G95" s="2">
        <v>82285.569999999934</v>
      </c>
      <c r="H95" s="2">
        <v>82285.569999999934</v>
      </c>
      <c r="I95" s="2">
        <v>82285.569999999934</v>
      </c>
      <c r="J95" s="2">
        <v>82285.569999999934</v>
      </c>
      <c r="K95" s="2">
        <v>82285.569999999934</v>
      </c>
      <c r="L95" s="2">
        <v>82285.569999999934</v>
      </c>
      <c r="M95" s="2">
        <v>82285.569999999934</v>
      </c>
      <c r="N95" s="2">
        <v>82285.569999999934</v>
      </c>
      <c r="O95" s="2">
        <v>82285.569999999934</v>
      </c>
      <c r="P95" s="2">
        <v>82285.569999999934</v>
      </c>
      <c r="Q95" s="2">
        <v>82293.66999999994</v>
      </c>
      <c r="R95" s="2">
        <v>82296.959999999934</v>
      </c>
      <c r="S95" s="2">
        <v>82301.43999999993</v>
      </c>
      <c r="T95" s="2">
        <v>82322.04999999993</v>
      </c>
      <c r="U95" s="2">
        <v>82327.429999999935</v>
      </c>
      <c r="V95" s="2">
        <v>82346.859999999928</v>
      </c>
      <c r="W95" s="2">
        <v>82367.899999999921</v>
      </c>
      <c r="X95" s="2">
        <v>82373.67999999992</v>
      </c>
      <c r="Y95" s="2">
        <v>82373.67999999992</v>
      </c>
      <c r="Z95" s="2">
        <v>82373.919999999925</v>
      </c>
      <c r="AA95" s="2">
        <v>82373.919999999925</v>
      </c>
      <c r="AB95" s="2">
        <v>82373.919999999925</v>
      </c>
      <c r="AC95" s="2">
        <v>82373.919999999925</v>
      </c>
      <c r="AD95" s="2">
        <v>82373.919999999925</v>
      </c>
      <c r="AE95" s="2">
        <v>82373.919999999925</v>
      </c>
      <c r="AF95" s="3">
        <v>82379.419999999925</v>
      </c>
      <c r="AG95" s="51">
        <f t="shared" si="2"/>
        <v>82379.419999999925</v>
      </c>
      <c r="AH95" s="44">
        <v>82285.570000000007</v>
      </c>
    </row>
    <row r="96" spans="1:34" x14ac:dyDescent="0.35">
      <c r="A96" s="33" t="s">
        <v>102</v>
      </c>
      <c r="B96" s="10">
        <v>83364.840000000127</v>
      </c>
      <c r="C96" s="2">
        <v>83374.010000000126</v>
      </c>
      <c r="D96" s="2">
        <v>83395.110000000132</v>
      </c>
      <c r="E96" s="2">
        <v>83400.700000000128</v>
      </c>
      <c r="F96" s="2">
        <v>83421.930000000124</v>
      </c>
      <c r="G96" s="2">
        <v>83441.440000000119</v>
      </c>
      <c r="H96" s="2">
        <v>83447.630000000121</v>
      </c>
      <c r="I96" s="2">
        <v>83451.490000000122</v>
      </c>
      <c r="J96" s="2">
        <v>83472.700000000128</v>
      </c>
      <c r="K96" s="2">
        <v>83492.990000000122</v>
      </c>
      <c r="L96" s="2">
        <v>83507.650000000125</v>
      </c>
      <c r="M96" s="2">
        <v>83514.77000000012</v>
      </c>
      <c r="N96" s="2">
        <v>83514.77000000012</v>
      </c>
      <c r="O96" s="2">
        <v>83514.77000000012</v>
      </c>
      <c r="P96" s="2">
        <v>83522.590000000127</v>
      </c>
      <c r="Q96" s="2">
        <v>83543.610000000132</v>
      </c>
      <c r="R96" s="2">
        <v>83565.020000000135</v>
      </c>
      <c r="S96" s="2">
        <v>83584.940000000133</v>
      </c>
      <c r="T96" s="2">
        <v>83595.720000000132</v>
      </c>
      <c r="U96" s="2">
        <v>83616.320000000138</v>
      </c>
      <c r="V96" s="2">
        <v>83634.280000000144</v>
      </c>
      <c r="W96" s="2">
        <v>83643.180000000139</v>
      </c>
      <c r="X96" s="2">
        <v>83658.100000000137</v>
      </c>
      <c r="Y96" s="2">
        <v>83674.970000000132</v>
      </c>
      <c r="Z96" s="2">
        <v>83691.550000000134</v>
      </c>
      <c r="AA96" s="2">
        <v>83708.750000000131</v>
      </c>
      <c r="AB96" s="2">
        <v>83710.690000000133</v>
      </c>
      <c r="AC96" s="2">
        <v>83719.740000000136</v>
      </c>
      <c r="AD96" s="2">
        <v>83739.76000000014</v>
      </c>
      <c r="AE96" s="2">
        <v>83761.000000000146</v>
      </c>
      <c r="AF96" s="3">
        <v>83781.51000000014</v>
      </c>
      <c r="AG96" s="51">
        <f t="shared" si="2"/>
        <v>83781.51000000014</v>
      </c>
      <c r="AH96" s="44">
        <v>83343.59</v>
      </c>
    </row>
    <row r="97" spans="1:34" x14ac:dyDescent="0.35">
      <c r="A97" s="33" t="s">
        <v>103</v>
      </c>
      <c r="B97" s="10">
        <v>83960.149999999747</v>
      </c>
      <c r="C97" s="2">
        <v>83981.679999999746</v>
      </c>
      <c r="D97" s="2">
        <v>83996.599999999744</v>
      </c>
      <c r="E97" s="2">
        <v>84016.979999999749</v>
      </c>
      <c r="F97" s="2">
        <v>84038.249999999753</v>
      </c>
      <c r="G97" s="2">
        <v>84059.999999999753</v>
      </c>
      <c r="H97" s="2">
        <v>84080.829999999754</v>
      </c>
      <c r="I97" s="2">
        <v>84102.919999999751</v>
      </c>
      <c r="J97" s="2">
        <v>84124.139999999752</v>
      </c>
      <c r="K97" s="2">
        <v>84145.499999999753</v>
      </c>
      <c r="L97" s="2">
        <v>84168.139999999752</v>
      </c>
      <c r="M97" s="2">
        <v>84189.689999999755</v>
      </c>
      <c r="N97" s="2">
        <v>84211.769999999757</v>
      </c>
      <c r="O97" s="2">
        <v>84233.17999999976</v>
      </c>
      <c r="P97" s="2">
        <v>84254.619999999763</v>
      </c>
      <c r="Q97" s="2">
        <v>84276.129999999757</v>
      </c>
      <c r="R97" s="2">
        <v>84297.859999999753</v>
      </c>
      <c r="S97" s="2">
        <v>84319.799999999756</v>
      </c>
      <c r="T97" s="2">
        <v>84341.359999999753</v>
      </c>
      <c r="U97" s="2">
        <v>84353.969999999754</v>
      </c>
      <c r="V97" s="2">
        <v>84367.109999999753</v>
      </c>
      <c r="W97" s="2">
        <v>84382.729999999749</v>
      </c>
      <c r="X97" s="2">
        <v>84404.289999999746</v>
      </c>
      <c r="Y97" s="2">
        <v>84421.049999999741</v>
      </c>
      <c r="Z97" s="2">
        <v>84441.879999999743</v>
      </c>
      <c r="AA97" s="2">
        <v>84462.179999999746</v>
      </c>
      <c r="AB97" s="2">
        <v>84480.149999999747</v>
      </c>
      <c r="AC97" s="2">
        <v>84494.989999999743</v>
      </c>
      <c r="AD97" s="2">
        <v>84512.05999999975</v>
      </c>
      <c r="AE97" s="2">
        <v>84522.899999999747</v>
      </c>
      <c r="AF97" s="3">
        <v>84532.779999999751</v>
      </c>
      <c r="AG97" s="51">
        <f t="shared" si="2"/>
        <v>84532.779999999751</v>
      </c>
      <c r="AH97" s="44">
        <v>83954.64</v>
      </c>
    </row>
    <row r="98" spans="1:34" x14ac:dyDescent="0.35">
      <c r="A98" s="33" t="s">
        <v>104</v>
      </c>
      <c r="B98" s="10">
        <v>82169.500000000247</v>
      </c>
      <c r="C98" s="2">
        <v>82190.69000000025</v>
      </c>
      <c r="D98" s="2">
        <v>82212.100000000253</v>
      </c>
      <c r="E98" s="2">
        <v>82214.990000000253</v>
      </c>
      <c r="F98" s="2">
        <v>82214.990000000253</v>
      </c>
      <c r="G98" s="2">
        <v>82227.840000000258</v>
      </c>
      <c r="H98" s="2">
        <v>82248.620000000257</v>
      </c>
      <c r="I98" s="2">
        <v>82269.080000000264</v>
      </c>
      <c r="J98" s="2">
        <v>82290.56000000026</v>
      </c>
      <c r="K98" s="2">
        <v>82297.690000000264</v>
      </c>
      <c r="L98" s="2">
        <v>82311.510000000271</v>
      </c>
      <c r="M98" s="2">
        <v>82333.990000000267</v>
      </c>
      <c r="N98" s="2">
        <v>82355.770000000266</v>
      </c>
      <c r="O98" s="2">
        <v>82376.280000000261</v>
      </c>
      <c r="P98" s="2">
        <v>82393.010000000257</v>
      </c>
      <c r="Q98" s="2">
        <v>82414.540000000256</v>
      </c>
      <c r="R98" s="2">
        <v>82435.470000000249</v>
      </c>
      <c r="S98" s="2">
        <v>82450.980000000243</v>
      </c>
      <c r="T98" s="2">
        <v>82455.880000000237</v>
      </c>
      <c r="U98" s="2">
        <v>82474.800000000236</v>
      </c>
      <c r="V98" s="2">
        <v>82477.82000000024</v>
      </c>
      <c r="W98" s="2">
        <v>82477.82000000024</v>
      </c>
      <c r="X98" s="2">
        <v>82497.32000000024</v>
      </c>
      <c r="Y98" s="2">
        <v>82518.370000000243</v>
      </c>
      <c r="Z98" s="2">
        <v>82538.960000000239</v>
      </c>
      <c r="AA98" s="2">
        <v>82560.590000000244</v>
      </c>
      <c r="AB98" s="2">
        <v>82580.610000000248</v>
      </c>
      <c r="AC98" s="2">
        <v>82596.820000000254</v>
      </c>
      <c r="AD98" s="2">
        <v>82613.870000000257</v>
      </c>
      <c r="AE98" s="2">
        <v>82635.030000000261</v>
      </c>
      <c r="AF98" s="3">
        <v>82656.140000000261</v>
      </c>
      <c r="AG98" s="51">
        <f t="shared" si="2"/>
        <v>82656.140000000261</v>
      </c>
      <c r="AH98" s="44">
        <v>82148.81</v>
      </c>
    </row>
    <row r="99" spans="1:34" x14ac:dyDescent="0.35">
      <c r="A99" s="33" t="s">
        <v>105</v>
      </c>
      <c r="B99" s="10">
        <v>81838.540000000008</v>
      </c>
      <c r="C99" s="2">
        <v>81855.010000000009</v>
      </c>
      <c r="D99" s="2">
        <v>81868.240000000005</v>
      </c>
      <c r="E99" s="2">
        <v>81886.64</v>
      </c>
      <c r="F99" s="2">
        <v>81902.3</v>
      </c>
      <c r="G99" s="2">
        <v>81913.94</v>
      </c>
      <c r="H99" s="2">
        <v>81935.27</v>
      </c>
      <c r="I99" s="2">
        <v>81954.75</v>
      </c>
      <c r="J99" s="2">
        <v>81973.279999999999</v>
      </c>
      <c r="K99" s="2">
        <v>81973.279999999999</v>
      </c>
      <c r="L99" s="2">
        <v>81973.279999999999</v>
      </c>
      <c r="M99" s="2">
        <v>81973.279999999999</v>
      </c>
      <c r="N99" s="2">
        <v>81973.279999999999</v>
      </c>
      <c r="O99" s="2">
        <v>81973.279999999999</v>
      </c>
      <c r="P99" s="2">
        <v>81973.279999999999</v>
      </c>
      <c r="Q99" s="2">
        <v>81973.279999999999</v>
      </c>
      <c r="R99" s="2">
        <v>81973.279999999999</v>
      </c>
      <c r="S99" s="2">
        <v>81973.279999999999</v>
      </c>
      <c r="T99" s="2">
        <v>81973.279999999999</v>
      </c>
      <c r="U99" s="2">
        <v>81973.279999999999</v>
      </c>
      <c r="V99" s="2">
        <v>81973.279999999999</v>
      </c>
      <c r="W99" s="2">
        <v>81973.279999999999</v>
      </c>
      <c r="X99" s="2">
        <v>81973.279999999999</v>
      </c>
      <c r="Y99" s="2">
        <v>81973.279999999999</v>
      </c>
      <c r="Z99" s="2">
        <v>81973.279999999999</v>
      </c>
      <c r="AA99" s="2">
        <v>81973.279999999999</v>
      </c>
      <c r="AB99" s="2">
        <v>81973.279999999999</v>
      </c>
      <c r="AC99" s="2">
        <v>81973.279999999999</v>
      </c>
      <c r="AD99" s="2">
        <v>81973.279999999999</v>
      </c>
      <c r="AE99" s="2">
        <v>81973.279999999999</v>
      </c>
      <c r="AF99" s="3">
        <v>81973.279999999999</v>
      </c>
      <c r="AG99" s="51">
        <f t="shared" si="2"/>
        <v>81973.279999999999</v>
      </c>
      <c r="AH99" s="44">
        <v>81817.17</v>
      </c>
    </row>
    <row r="100" spans="1:34" x14ac:dyDescent="0.35">
      <c r="A100" s="33" t="s">
        <v>106</v>
      </c>
      <c r="B100" s="10">
        <v>79443.350000000108</v>
      </c>
      <c r="C100" s="2">
        <v>79456.280000000101</v>
      </c>
      <c r="D100" s="2">
        <v>79462.500000000102</v>
      </c>
      <c r="E100" s="2">
        <v>79479.830000000104</v>
      </c>
      <c r="F100" s="2">
        <v>79502.050000000105</v>
      </c>
      <c r="G100" s="2">
        <v>79522.960000000108</v>
      </c>
      <c r="H100" s="2">
        <v>79544.220000000103</v>
      </c>
      <c r="I100" s="2">
        <v>79566.910000000105</v>
      </c>
      <c r="J100" s="2">
        <v>79588.890000000101</v>
      </c>
      <c r="K100" s="2">
        <v>79609.470000000103</v>
      </c>
      <c r="L100" s="2">
        <v>79631.390000000101</v>
      </c>
      <c r="M100" s="2">
        <v>79652.430000000095</v>
      </c>
      <c r="N100" s="2">
        <v>79658.530000000101</v>
      </c>
      <c r="O100" s="2">
        <v>79658.530000000101</v>
      </c>
      <c r="P100" s="2">
        <v>79664.520000000106</v>
      </c>
      <c r="Q100" s="2">
        <v>79686.200000000099</v>
      </c>
      <c r="R100" s="2">
        <v>79707.6700000001</v>
      </c>
      <c r="S100" s="2">
        <v>79728.340000000098</v>
      </c>
      <c r="T100" s="2">
        <v>79744.750000000102</v>
      </c>
      <c r="U100" s="2">
        <v>79765.950000000099</v>
      </c>
      <c r="V100" s="2">
        <v>79780.110000000102</v>
      </c>
      <c r="W100" s="2">
        <v>79790.840000000098</v>
      </c>
      <c r="X100" s="2">
        <v>79812.270000000091</v>
      </c>
      <c r="Y100" s="2">
        <v>79825.720000000088</v>
      </c>
      <c r="Z100" s="2">
        <v>79838.840000000084</v>
      </c>
      <c r="AA100" s="2">
        <v>79838.840000000084</v>
      </c>
      <c r="AB100" s="2">
        <v>79838.840000000084</v>
      </c>
      <c r="AC100" s="2">
        <v>79838.840000000084</v>
      </c>
      <c r="AD100" s="2">
        <v>79838.840000000084</v>
      </c>
      <c r="AE100" s="2">
        <v>79847.400000000081</v>
      </c>
      <c r="AF100" s="3">
        <v>79861.950000000084</v>
      </c>
      <c r="AG100" s="51">
        <f t="shared" ref="AG100:AG106" si="3">MAX(B100:AF100)</f>
        <v>79861.950000000084</v>
      </c>
      <c r="AH100" s="44">
        <v>79438.399999999994</v>
      </c>
    </row>
    <row r="101" spans="1:34" x14ac:dyDescent="0.35">
      <c r="A101" s="33" t="s">
        <v>107</v>
      </c>
      <c r="B101" s="10">
        <v>82167.020000000033</v>
      </c>
      <c r="C101" s="2">
        <v>82184.34000000004</v>
      </c>
      <c r="D101" s="2">
        <v>82196.530000000042</v>
      </c>
      <c r="E101" s="2">
        <v>82217.800000000047</v>
      </c>
      <c r="F101" s="2">
        <v>82238.610000000044</v>
      </c>
      <c r="G101" s="2">
        <v>82257.670000000042</v>
      </c>
      <c r="H101" s="2">
        <v>82275.540000000037</v>
      </c>
      <c r="I101" s="2">
        <v>82284.59000000004</v>
      </c>
      <c r="J101" s="2">
        <v>82288.660000000047</v>
      </c>
      <c r="K101" s="2">
        <v>82288.660000000047</v>
      </c>
      <c r="L101" s="2">
        <v>82288.660000000047</v>
      </c>
      <c r="M101" s="2">
        <v>82288.660000000047</v>
      </c>
      <c r="N101" s="2">
        <v>82288.660000000047</v>
      </c>
      <c r="O101" s="2">
        <v>82288.660000000047</v>
      </c>
      <c r="P101" s="2">
        <v>82288.660000000047</v>
      </c>
      <c r="Q101" s="2">
        <v>82288.660000000047</v>
      </c>
      <c r="R101" s="2">
        <v>82288.660000000047</v>
      </c>
      <c r="S101" s="2">
        <v>82288.660000000047</v>
      </c>
      <c r="T101" s="2">
        <v>82288.660000000047</v>
      </c>
      <c r="U101" s="2">
        <v>82301.850000000049</v>
      </c>
      <c r="V101" s="2">
        <v>82323.270000000048</v>
      </c>
      <c r="W101" s="2">
        <v>82337.030000000042</v>
      </c>
      <c r="X101" s="2">
        <v>82355.140000000043</v>
      </c>
      <c r="Y101" s="2">
        <v>82373.570000000036</v>
      </c>
      <c r="Z101" s="2">
        <v>82395.34000000004</v>
      </c>
      <c r="AA101" s="2">
        <v>82412.950000000041</v>
      </c>
      <c r="AB101" s="2">
        <v>82434.48000000004</v>
      </c>
      <c r="AC101" s="2">
        <v>82454.890000000043</v>
      </c>
      <c r="AD101" s="2">
        <v>82474.700000000041</v>
      </c>
      <c r="AE101" s="2">
        <v>82493.740000000034</v>
      </c>
      <c r="AF101" s="3">
        <v>82515.510000000038</v>
      </c>
      <c r="AG101" s="51">
        <f t="shared" si="3"/>
        <v>82515.510000000038</v>
      </c>
      <c r="AH101" s="44">
        <v>82150.759999999995</v>
      </c>
    </row>
    <row r="102" spans="1:34" x14ac:dyDescent="0.35">
      <c r="A102" s="33" t="s">
        <v>108</v>
      </c>
      <c r="B102" s="10">
        <v>82700.009999999951</v>
      </c>
      <c r="C102" s="2">
        <v>82707.309999999954</v>
      </c>
      <c r="D102" s="2">
        <v>82725.829999999958</v>
      </c>
      <c r="E102" s="2">
        <v>82747.129999999961</v>
      </c>
      <c r="F102" s="2">
        <v>82767.029999999955</v>
      </c>
      <c r="G102" s="2">
        <v>82780.179999999949</v>
      </c>
      <c r="H102" s="2">
        <v>82798.899999999951</v>
      </c>
      <c r="I102" s="2">
        <v>82821.869999999952</v>
      </c>
      <c r="J102" s="2">
        <v>82843.749999999956</v>
      </c>
      <c r="K102" s="2">
        <v>82865.209999999963</v>
      </c>
      <c r="L102" s="2">
        <v>82879.259999999966</v>
      </c>
      <c r="M102" s="2">
        <v>82896.969999999972</v>
      </c>
      <c r="N102" s="2">
        <v>82917.009999999966</v>
      </c>
      <c r="O102" s="2">
        <v>82938.939999999959</v>
      </c>
      <c r="P102" s="2">
        <v>82953.759999999966</v>
      </c>
      <c r="Q102" s="2">
        <v>82974.749999999971</v>
      </c>
      <c r="R102" s="2">
        <v>82996.519999999975</v>
      </c>
      <c r="S102" s="2">
        <v>83012.119999999981</v>
      </c>
      <c r="T102" s="2">
        <v>83033.479999999981</v>
      </c>
      <c r="U102" s="2">
        <v>83053.569999999978</v>
      </c>
      <c r="V102" s="2">
        <v>83071.839999999982</v>
      </c>
      <c r="W102" s="2">
        <v>83071.839999999982</v>
      </c>
      <c r="X102" s="2">
        <v>83071.839999999982</v>
      </c>
      <c r="Y102" s="2">
        <v>83071.839999999982</v>
      </c>
      <c r="Z102" s="2">
        <v>83092.769999999975</v>
      </c>
      <c r="AA102" s="2">
        <v>83109.999999999971</v>
      </c>
      <c r="AB102" s="2">
        <v>83109.999999999971</v>
      </c>
      <c r="AC102" s="2">
        <v>83109.999999999971</v>
      </c>
      <c r="AD102" s="2">
        <v>83129.089999999967</v>
      </c>
      <c r="AE102" s="2">
        <v>83150.119999999966</v>
      </c>
      <c r="AF102" s="3">
        <v>83167.539999999964</v>
      </c>
      <c r="AG102" s="51">
        <f t="shared" si="3"/>
        <v>83167.539999999964</v>
      </c>
      <c r="AH102" s="44">
        <v>82678.960000000006</v>
      </c>
    </row>
    <row r="103" spans="1:34" x14ac:dyDescent="0.35">
      <c r="A103" s="33" t="s">
        <v>109</v>
      </c>
      <c r="B103" s="10">
        <v>81616.690000000104</v>
      </c>
      <c r="C103" s="2">
        <v>81638.070000000109</v>
      </c>
      <c r="D103" s="2">
        <v>81659.270000000106</v>
      </c>
      <c r="E103" s="2">
        <v>81680.160000000105</v>
      </c>
      <c r="F103" s="2">
        <v>81701.120000000112</v>
      </c>
      <c r="G103" s="2">
        <v>81721.090000000113</v>
      </c>
      <c r="H103" s="2">
        <v>81740.770000000106</v>
      </c>
      <c r="I103" s="2">
        <v>81763.240000000107</v>
      </c>
      <c r="J103" s="2">
        <v>81780.270000000106</v>
      </c>
      <c r="K103" s="2">
        <v>81796.630000000107</v>
      </c>
      <c r="L103" s="2">
        <v>81817.960000000108</v>
      </c>
      <c r="M103" s="2">
        <v>81839.090000000113</v>
      </c>
      <c r="N103" s="2">
        <v>81857.000000000116</v>
      </c>
      <c r="O103" s="2">
        <v>81868.070000000123</v>
      </c>
      <c r="P103" s="2">
        <v>81882.230000000127</v>
      </c>
      <c r="Q103" s="2">
        <v>81898.560000000129</v>
      </c>
      <c r="R103" s="2">
        <v>81919.990000000122</v>
      </c>
      <c r="S103" s="2">
        <v>81931.100000000122</v>
      </c>
      <c r="T103" s="2">
        <v>81937.640000000116</v>
      </c>
      <c r="U103" s="2">
        <v>81949.420000000115</v>
      </c>
      <c r="V103" s="2">
        <v>81970.630000000121</v>
      </c>
      <c r="W103" s="2">
        <v>81992.740000000122</v>
      </c>
      <c r="X103" s="2">
        <v>82011.100000000122</v>
      </c>
      <c r="Y103" s="2">
        <v>82012.66000000012</v>
      </c>
      <c r="Z103" s="2">
        <v>82027.510000000126</v>
      </c>
      <c r="AA103" s="2">
        <v>82036.220000000132</v>
      </c>
      <c r="AB103" s="2">
        <v>82036.220000000132</v>
      </c>
      <c r="AC103" s="2">
        <v>82036.220000000132</v>
      </c>
      <c r="AD103" s="2">
        <v>82046.39000000013</v>
      </c>
      <c r="AE103" s="2">
        <v>82046.410000000134</v>
      </c>
      <c r="AF103" s="3">
        <v>82059.950000000128</v>
      </c>
      <c r="AG103" s="51">
        <f t="shared" si="3"/>
        <v>82059.950000000128</v>
      </c>
      <c r="AH103" s="44">
        <v>81603.05</v>
      </c>
    </row>
    <row r="104" spans="1:34" x14ac:dyDescent="0.35">
      <c r="A104" s="33" t="s">
        <v>110</v>
      </c>
      <c r="B104" s="10">
        <v>82853.040000000154</v>
      </c>
      <c r="C104" s="2">
        <v>82869.310000000158</v>
      </c>
      <c r="D104" s="2">
        <v>82890.320000000153</v>
      </c>
      <c r="E104" s="2">
        <v>82910.350000000151</v>
      </c>
      <c r="F104" s="2">
        <v>82931.430000000153</v>
      </c>
      <c r="G104" s="2">
        <v>82948.170000000158</v>
      </c>
      <c r="H104" s="2">
        <v>82967.350000000151</v>
      </c>
      <c r="I104" s="2">
        <v>82989.680000000153</v>
      </c>
      <c r="J104" s="2">
        <v>83009.240000000151</v>
      </c>
      <c r="K104" s="2">
        <v>83028.980000000156</v>
      </c>
      <c r="L104" s="2">
        <v>83047.450000000157</v>
      </c>
      <c r="M104" s="2">
        <v>83067.240000000151</v>
      </c>
      <c r="N104" s="2">
        <v>83077.070000000153</v>
      </c>
      <c r="O104" s="2">
        <v>83096.800000000148</v>
      </c>
      <c r="P104" s="2">
        <v>83108.150000000154</v>
      </c>
      <c r="Q104" s="2">
        <v>83127.230000000156</v>
      </c>
      <c r="R104" s="2">
        <v>83145.320000000153</v>
      </c>
      <c r="S104" s="2">
        <v>83166.480000000156</v>
      </c>
      <c r="T104" s="2">
        <v>83187.800000000163</v>
      </c>
      <c r="U104" s="2">
        <v>83208.990000000165</v>
      </c>
      <c r="V104" s="2">
        <v>83230.080000000162</v>
      </c>
      <c r="W104" s="2">
        <v>83250.350000000166</v>
      </c>
      <c r="X104" s="2">
        <v>83268.180000000168</v>
      </c>
      <c r="Y104" s="2">
        <v>83287.62000000017</v>
      </c>
      <c r="Z104" s="2">
        <v>83301.910000000164</v>
      </c>
      <c r="AA104" s="2">
        <v>83323.600000000166</v>
      </c>
      <c r="AB104" s="2">
        <v>83345.080000000162</v>
      </c>
      <c r="AC104" s="2">
        <v>83366.370000000155</v>
      </c>
      <c r="AD104" s="2">
        <v>83376.920000000158</v>
      </c>
      <c r="AE104" s="2">
        <v>83380.360000000161</v>
      </c>
      <c r="AF104" s="3">
        <v>83400.380000000165</v>
      </c>
      <c r="AG104" s="51">
        <f t="shared" si="3"/>
        <v>83400.380000000165</v>
      </c>
      <c r="AH104" s="44">
        <v>82832.3</v>
      </c>
    </row>
    <row r="105" spans="1:34" x14ac:dyDescent="0.35">
      <c r="A105" s="33" t="s">
        <v>111</v>
      </c>
      <c r="B105" s="10">
        <v>74886.450000000055</v>
      </c>
      <c r="C105" s="2">
        <v>74886.450000000055</v>
      </c>
      <c r="D105" s="2">
        <v>74886.450000000055</v>
      </c>
      <c r="E105" s="2">
        <v>74886.450000000055</v>
      </c>
      <c r="F105" s="2">
        <v>74886.450000000055</v>
      </c>
      <c r="G105" s="2">
        <v>74886.450000000055</v>
      </c>
      <c r="H105" s="2">
        <v>74886.450000000055</v>
      </c>
      <c r="I105" s="2">
        <v>74886.450000000055</v>
      </c>
      <c r="J105" s="2">
        <v>74886.450000000055</v>
      </c>
      <c r="K105" s="2">
        <v>74886.450000000055</v>
      </c>
      <c r="L105" s="2">
        <v>74886.450000000055</v>
      </c>
      <c r="M105" s="2">
        <v>74886.450000000055</v>
      </c>
      <c r="N105" s="2">
        <v>74886.450000000055</v>
      </c>
      <c r="O105" s="2">
        <v>74886.450000000055</v>
      </c>
      <c r="P105" s="2">
        <v>74886.450000000055</v>
      </c>
      <c r="Q105" s="2">
        <v>74886.450000000055</v>
      </c>
      <c r="R105" s="2">
        <v>74886.450000000055</v>
      </c>
      <c r="S105" s="2">
        <v>74886.450000000055</v>
      </c>
      <c r="T105" s="2">
        <v>74886.450000000055</v>
      </c>
      <c r="U105" s="2">
        <v>74886.450000000055</v>
      </c>
      <c r="V105" s="2">
        <v>74886.450000000055</v>
      </c>
      <c r="W105" s="2">
        <v>74886.450000000055</v>
      </c>
      <c r="X105" s="2">
        <v>74886.450000000055</v>
      </c>
      <c r="Y105" s="2">
        <v>74886.450000000055</v>
      </c>
      <c r="Z105" s="2">
        <v>74886.450000000055</v>
      </c>
      <c r="AA105" s="2">
        <v>74893.650000000052</v>
      </c>
      <c r="AB105" s="2">
        <v>74914.130000000048</v>
      </c>
      <c r="AC105" s="2">
        <v>74925.180000000051</v>
      </c>
      <c r="AD105" s="2">
        <v>74945.810000000056</v>
      </c>
      <c r="AE105" s="2">
        <v>74959.620000000054</v>
      </c>
      <c r="AF105" s="3">
        <v>74981.260000000053</v>
      </c>
      <c r="AG105" s="51">
        <f t="shared" si="3"/>
        <v>74981.260000000053</v>
      </c>
      <c r="AH105" s="44">
        <v>74886.45</v>
      </c>
    </row>
    <row r="106" spans="1:34" ht="15" thickBot="1" x14ac:dyDescent="0.4">
      <c r="A106" s="34" t="s">
        <v>112</v>
      </c>
      <c r="B106" s="11">
        <v>82363.449999999968</v>
      </c>
      <c r="C106" s="4">
        <v>82373.259999999966</v>
      </c>
      <c r="D106" s="4">
        <v>82394.669999999969</v>
      </c>
      <c r="E106" s="4">
        <v>82416.309999999969</v>
      </c>
      <c r="F106" s="4">
        <v>82437.359999999971</v>
      </c>
      <c r="G106" s="4">
        <v>82455.089999999967</v>
      </c>
      <c r="H106" s="4">
        <v>82475.739999999962</v>
      </c>
      <c r="I106" s="4">
        <v>82497.669999999955</v>
      </c>
      <c r="J106" s="4">
        <v>82516.599999999948</v>
      </c>
      <c r="K106" s="4">
        <v>82536.03999999995</v>
      </c>
      <c r="L106" s="4">
        <v>82552.879999999946</v>
      </c>
      <c r="M106" s="4">
        <v>82574.109999999942</v>
      </c>
      <c r="N106" s="4">
        <v>82595.799999999945</v>
      </c>
      <c r="O106" s="4">
        <v>82618.089999999938</v>
      </c>
      <c r="P106" s="4">
        <v>82639.429999999935</v>
      </c>
      <c r="Q106" s="4">
        <v>82660.869999999937</v>
      </c>
      <c r="R106" s="4">
        <v>82681.91999999994</v>
      </c>
      <c r="S106" s="4">
        <v>82703.879999999946</v>
      </c>
      <c r="T106" s="4">
        <v>82720.179999999949</v>
      </c>
      <c r="U106" s="4">
        <v>82742.079999999944</v>
      </c>
      <c r="V106" s="4">
        <v>82751.479999999938</v>
      </c>
      <c r="W106" s="4">
        <v>82772.679999999935</v>
      </c>
      <c r="X106" s="4">
        <v>82790.069999999934</v>
      </c>
      <c r="Y106" s="4">
        <v>82811.039999999935</v>
      </c>
      <c r="Z106" s="4">
        <v>82834.809999999939</v>
      </c>
      <c r="AA106" s="4">
        <v>82857.549999999945</v>
      </c>
      <c r="AB106" s="4">
        <v>82880.619999999952</v>
      </c>
      <c r="AC106" s="4">
        <v>82900.579999999958</v>
      </c>
      <c r="AD106" s="4">
        <v>82921.449999999953</v>
      </c>
      <c r="AE106" s="4">
        <v>82942.809999999954</v>
      </c>
      <c r="AF106" s="5">
        <v>82964.26999999996</v>
      </c>
      <c r="AG106" s="52">
        <f t="shared" si="3"/>
        <v>82964.26999999996</v>
      </c>
      <c r="AH106" s="44">
        <v>82341.259999999995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45413</v>
      </c>
      <c r="C108" s="46">
        <v>45414</v>
      </c>
      <c r="D108" s="46">
        <v>45415</v>
      </c>
      <c r="E108" s="46">
        <v>45416</v>
      </c>
      <c r="F108" s="46">
        <v>45417</v>
      </c>
      <c r="G108" s="46">
        <v>45418</v>
      </c>
      <c r="H108" s="46">
        <v>45419</v>
      </c>
      <c r="I108" s="46">
        <v>45420</v>
      </c>
      <c r="J108" s="46">
        <v>45421</v>
      </c>
      <c r="K108" s="46">
        <v>45422</v>
      </c>
      <c r="L108" s="46">
        <v>45423</v>
      </c>
      <c r="M108" s="46">
        <v>45424</v>
      </c>
      <c r="N108" s="46">
        <v>45425</v>
      </c>
      <c r="O108" s="46">
        <v>45426</v>
      </c>
      <c r="P108" s="46">
        <v>45427</v>
      </c>
      <c r="Q108" s="46">
        <v>45428</v>
      </c>
      <c r="R108" s="46">
        <v>45429</v>
      </c>
      <c r="S108" s="46">
        <v>45430</v>
      </c>
      <c r="T108" s="46">
        <v>45431</v>
      </c>
      <c r="U108" s="46">
        <v>45432</v>
      </c>
      <c r="V108" s="46">
        <v>45433</v>
      </c>
      <c r="W108" s="46">
        <v>45434</v>
      </c>
      <c r="X108" s="46">
        <v>45435</v>
      </c>
      <c r="Y108" s="46">
        <v>45436</v>
      </c>
      <c r="Z108" s="46">
        <v>45437</v>
      </c>
      <c r="AA108" s="46">
        <v>45438</v>
      </c>
      <c r="AB108" s="46">
        <v>45439</v>
      </c>
      <c r="AC108" s="46">
        <v>45440</v>
      </c>
      <c r="AD108" s="46">
        <v>45441</v>
      </c>
      <c r="AE108" s="46">
        <v>45442</v>
      </c>
      <c r="AF108" s="49">
        <v>45443</v>
      </c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18">
        <v>38951.499999999985</v>
      </c>
      <c r="C109" s="14">
        <v>38971.769999999982</v>
      </c>
      <c r="D109" s="14">
        <v>38987.309999999983</v>
      </c>
      <c r="E109" s="14">
        <v>39004.049999999981</v>
      </c>
      <c r="F109" s="14">
        <v>39014.669999999984</v>
      </c>
      <c r="G109" s="14">
        <v>39032.989999999983</v>
      </c>
      <c r="H109" s="14">
        <v>39054.299999999981</v>
      </c>
      <c r="I109" s="14">
        <v>39070.349999999984</v>
      </c>
      <c r="J109" s="14">
        <v>39091.979999999981</v>
      </c>
      <c r="K109" s="14">
        <v>39113.539999999979</v>
      </c>
      <c r="L109" s="14">
        <v>39135.089999999982</v>
      </c>
      <c r="M109" s="14">
        <v>39136.519999999982</v>
      </c>
      <c r="N109" s="14">
        <v>39136.519999999982</v>
      </c>
      <c r="O109" s="14">
        <v>39136.519999999982</v>
      </c>
      <c r="P109" s="14">
        <v>39136.519999999982</v>
      </c>
      <c r="Q109" s="14">
        <v>39136.719999999979</v>
      </c>
      <c r="R109" s="14">
        <v>39155.89999999998</v>
      </c>
      <c r="S109" s="14">
        <v>39177.059999999983</v>
      </c>
      <c r="T109" s="14">
        <v>39198.64999999998</v>
      </c>
      <c r="U109" s="14">
        <v>39219.979999999981</v>
      </c>
      <c r="V109" s="14">
        <v>39241.409999999982</v>
      </c>
      <c r="W109" s="14">
        <v>39241.409999999982</v>
      </c>
      <c r="X109" s="14">
        <v>39262.959999999985</v>
      </c>
      <c r="Y109" s="14">
        <v>39281.369999999988</v>
      </c>
      <c r="Z109" s="14">
        <v>39281.849999999991</v>
      </c>
      <c r="AA109" s="14">
        <v>39283.119999999988</v>
      </c>
      <c r="AB109" s="14">
        <v>39300.779999999992</v>
      </c>
      <c r="AC109" s="14">
        <v>39312.159999999989</v>
      </c>
      <c r="AD109" s="14">
        <v>39331.349999999991</v>
      </c>
      <c r="AE109" s="14">
        <v>39351.839999999989</v>
      </c>
      <c r="AF109" s="22">
        <v>39373.069999999992</v>
      </c>
      <c r="AG109" s="51">
        <f t="shared" ref="AG109:AG124" si="4">MAX(B109:AF109)</f>
        <v>39373.069999999992</v>
      </c>
      <c r="AH109" s="44">
        <v>38930.54</v>
      </c>
    </row>
    <row r="110" spans="1:34" x14ac:dyDescent="0.35">
      <c r="A110" s="26" t="s">
        <v>114</v>
      </c>
      <c r="B110" s="19">
        <v>39025.90000000006</v>
      </c>
      <c r="C110" s="2">
        <v>39039.730000000061</v>
      </c>
      <c r="D110" s="2">
        <v>39050.530000000064</v>
      </c>
      <c r="E110" s="2">
        <v>39071.810000000063</v>
      </c>
      <c r="F110" s="2">
        <v>39085.970000000067</v>
      </c>
      <c r="G110" s="2">
        <v>39107.260000000068</v>
      </c>
      <c r="H110" s="2">
        <v>39127.530000000064</v>
      </c>
      <c r="I110" s="2">
        <v>39146.030000000064</v>
      </c>
      <c r="J110" s="2">
        <v>39163.070000000065</v>
      </c>
      <c r="K110" s="2">
        <v>39181.880000000063</v>
      </c>
      <c r="L110" s="2">
        <v>39196.070000000065</v>
      </c>
      <c r="M110" s="2">
        <v>39196.070000000065</v>
      </c>
      <c r="N110" s="2">
        <v>39200.850000000064</v>
      </c>
      <c r="O110" s="2">
        <v>39222.610000000066</v>
      </c>
      <c r="P110" s="2">
        <v>39236.940000000068</v>
      </c>
      <c r="Q110" s="2">
        <v>39250.280000000064</v>
      </c>
      <c r="R110" s="2">
        <v>39271.900000000067</v>
      </c>
      <c r="S110" s="2">
        <v>39293.470000000067</v>
      </c>
      <c r="T110" s="2">
        <v>39314.980000000069</v>
      </c>
      <c r="U110" s="2">
        <v>39325.920000000071</v>
      </c>
      <c r="V110" s="2">
        <v>39347.510000000068</v>
      </c>
      <c r="W110" s="2">
        <v>39347.510000000068</v>
      </c>
      <c r="X110" s="2">
        <v>39363.170000000071</v>
      </c>
      <c r="Y110" s="2">
        <v>39378.580000000075</v>
      </c>
      <c r="Z110" s="2">
        <v>39398.730000000076</v>
      </c>
      <c r="AA110" s="2">
        <v>39416.530000000079</v>
      </c>
      <c r="AB110" s="2">
        <v>39436.350000000079</v>
      </c>
      <c r="AC110" s="2">
        <v>39457.610000000081</v>
      </c>
      <c r="AD110" s="2">
        <v>39467.910000000084</v>
      </c>
      <c r="AE110" s="2">
        <v>39481.030000000086</v>
      </c>
      <c r="AF110" s="7">
        <v>39487.900000000089</v>
      </c>
      <c r="AG110" s="51">
        <f t="shared" si="4"/>
        <v>39487.900000000089</v>
      </c>
      <c r="AH110" s="44">
        <v>39018.68</v>
      </c>
    </row>
    <row r="111" spans="1:34" x14ac:dyDescent="0.35">
      <c r="A111" s="26" t="s">
        <v>115</v>
      </c>
      <c r="B111" s="19">
        <v>34727.410000000018</v>
      </c>
      <c r="C111" s="2">
        <v>34727.410000000018</v>
      </c>
      <c r="D111" s="2">
        <v>34727.410000000018</v>
      </c>
      <c r="E111" s="2">
        <v>34735.24000000002</v>
      </c>
      <c r="F111" s="2">
        <v>34747.250000000022</v>
      </c>
      <c r="G111" s="2">
        <v>34768.99000000002</v>
      </c>
      <c r="H111" s="2">
        <v>34790.640000000021</v>
      </c>
      <c r="I111" s="2">
        <v>34811.640000000021</v>
      </c>
      <c r="J111" s="2">
        <v>34832.340000000018</v>
      </c>
      <c r="K111" s="2">
        <v>34847.830000000016</v>
      </c>
      <c r="L111" s="2">
        <v>34847.830000000016</v>
      </c>
      <c r="M111" s="2">
        <v>34849.400000000016</v>
      </c>
      <c r="N111" s="2">
        <v>34856.640000000014</v>
      </c>
      <c r="O111" s="2">
        <v>34861.190000000017</v>
      </c>
      <c r="P111" s="2">
        <v>34863.180000000015</v>
      </c>
      <c r="Q111" s="2">
        <v>34863.180000000015</v>
      </c>
      <c r="R111" s="2">
        <v>34863.180000000015</v>
      </c>
      <c r="S111" s="2">
        <v>34863.180000000015</v>
      </c>
      <c r="T111" s="2">
        <v>34863.180000000015</v>
      </c>
      <c r="U111" s="2">
        <v>34870.670000000013</v>
      </c>
      <c r="V111" s="2">
        <v>34892.30000000001</v>
      </c>
      <c r="W111" s="2">
        <v>34892.30000000001</v>
      </c>
      <c r="X111" s="2">
        <v>34912.62000000001</v>
      </c>
      <c r="Y111" s="2">
        <v>34934.340000000011</v>
      </c>
      <c r="Z111" s="2">
        <v>34955.740000000013</v>
      </c>
      <c r="AA111" s="2">
        <v>34977.260000000009</v>
      </c>
      <c r="AB111" s="2">
        <v>34996.590000000011</v>
      </c>
      <c r="AC111" s="2">
        <v>35008.330000000009</v>
      </c>
      <c r="AD111" s="2">
        <v>35010.600000000006</v>
      </c>
      <c r="AE111" s="2">
        <v>35032.170000000006</v>
      </c>
      <c r="AF111" s="7">
        <v>35052.620000000003</v>
      </c>
      <c r="AG111" s="51">
        <f t="shared" si="4"/>
        <v>35052.620000000003</v>
      </c>
      <c r="AH111" s="44">
        <v>34727.410000000003</v>
      </c>
    </row>
    <row r="112" spans="1:34" x14ac:dyDescent="0.35">
      <c r="A112" s="26" t="s">
        <v>116</v>
      </c>
      <c r="B112" s="19">
        <v>34303.61999999993</v>
      </c>
      <c r="C112" s="2">
        <v>34324.79999999993</v>
      </c>
      <c r="D112" s="2">
        <v>34345.959999999934</v>
      </c>
      <c r="E112" s="2">
        <v>34361.089999999931</v>
      </c>
      <c r="F112" s="2">
        <v>34377.11999999993</v>
      </c>
      <c r="G112" s="2">
        <v>34387.699999999932</v>
      </c>
      <c r="H112" s="2">
        <v>34409.059999999932</v>
      </c>
      <c r="I112" s="2">
        <v>34430.43999999993</v>
      </c>
      <c r="J112" s="2">
        <v>34452.139999999927</v>
      </c>
      <c r="K112" s="2">
        <v>34473.579999999929</v>
      </c>
      <c r="L112" s="2">
        <v>34496.209999999926</v>
      </c>
      <c r="M112" s="2">
        <v>34517.759999999929</v>
      </c>
      <c r="N112" s="2">
        <v>34538.709999999926</v>
      </c>
      <c r="O112" s="2">
        <v>34560.459999999926</v>
      </c>
      <c r="P112" s="2">
        <v>34577.239999999925</v>
      </c>
      <c r="Q112" s="2">
        <v>34598.629999999925</v>
      </c>
      <c r="R112" s="2">
        <v>34620.239999999925</v>
      </c>
      <c r="S112" s="2">
        <v>34642.019999999924</v>
      </c>
      <c r="T112" s="2">
        <v>34663.629999999925</v>
      </c>
      <c r="U112" s="2">
        <v>34680.789999999928</v>
      </c>
      <c r="V112" s="2">
        <v>34702.539999999928</v>
      </c>
      <c r="W112" s="2">
        <v>34702.539999999928</v>
      </c>
      <c r="X112" s="2">
        <v>34721.68999999993</v>
      </c>
      <c r="Y112" s="2">
        <v>34743.219999999928</v>
      </c>
      <c r="Z112" s="2">
        <v>34764.629999999932</v>
      </c>
      <c r="AA112" s="2">
        <v>34781.949999999932</v>
      </c>
      <c r="AB112" s="2">
        <v>34802.349999999933</v>
      </c>
      <c r="AC112" s="2">
        <v>34823.86999999993</v>
      </c>
      <c r="AD112" s="2">
        <v>34843.579999999929</v>
      </c>
      <c r="AE112" s="2">
        <v>34864.149999999929</v>
      </c>
      <c r="AF112" s="7">
        <v>34882.539999999928</v>
      </c>
      <c r="AG112" s="51">
        <f t="shared" si="4"/>
        <v>34882.539999999928</v>
      </c>
      <c r="AH112" s="44">
        <v>34281.99</v>
      </c>
    </row>
    <row r="113" spans="1:34" x14ac:dyDescent="0.35">
      <c r="A113" s="26" t="s">
        <v>117</v>
      </c>
      <c r="B113" s="19">
        <v>33424.619999999974</v>
      </c>
      <c r="C113" s="2">
        <v>33437.909999999974</v>
      </c>
      <c r="D113" s="2">
        <v>33449.149999999972</v>
      </c>
      <c r="E113" s="2">
        <v>33468.949999999975</v>
      </c>
      <c r="F113" s="2">
        <v>33486.419999999976</v>
      </c>
      <c r="G113" s="2">
        <v>33496.609999999979</v>
      </c>
      <c r="H113" s="2">
        <v>33517.589999999982</v>
      </c>
      <c r="I113" s="2">
        <v>33537.089999999982</v>
      </c>
      <c r="J113" s="2">
        <v>33557.239999999983</v>
      </c>
      <c r="K113" s="2">
        <v>33579.169999999984</v>
      </c>
      <c r="L113" s="2">
        <v>33590.189999999981</v>
      </c>
      <c r="M113" s="2">
        <v>33602.709999999977</v>
      </c>
      <c r="N113" s="2">
        <v>33617.719999999979</v>
      </c>
      <c r="O113" s="2">
        <v>33638.669999999976</v>
      </c>
      <c r="P113" s="2">
        <v>33660.659999999974</v>
      </c>
      <c r="Q113" s="2">
        <v>33681.219999999972</v>
      </c>
      <c r="R113" s="2">
        <v>33702.979999999974</v>
      </c>
      <c r="S113" s="2">
        <v>33716.369999999974</v>
      </c>
      <c r="T113" s="2">
        <v>33728.299999999974</v>
      </c>
      <c r="U113" s="2">
        <v>33745.279999999977</v>
      </c>
      <c r="V113" s="2">
        <v>33755.689999999981</v>
      </c>
      <c r="W113" s="2">
        <v>33755.689999999981</v>
      </c>
      <c r="X113" s="2">
        <v>33772.599999999984</v>
      </c>
      <c r="Y113" s="2">
        <v>33791.599999999984</v>
      </c>
      <c r="Z113" s="2">
        <v>33808.219999999987</v>
      </c>
      <c r="AA113" s="2">
        <v>33827.309999999983</v>
      </c>
      <c r="AB113" s="2">
        <v>33844.539999999986</v>
      </c>
      <c r="AC113" s="2">
        <v>33866.169999999984</v>
      </c>
      <c r="AD113" s="2">
        <v>33886.589999999982</v>
      </c>
      <c r="AE113" s="2">
        <v>33905.099999999984</v>
      </c>
      <c r="AF113" s="7">
        <v>33918.579999999987</v>
      </c>
      <c r="AG113" s="51">
        <f t="shared" si="4"/>
        <v>33918.579999999987</v>
      </c>
      <c r="AH113" s="44">
        <v>33407.39</v>
      </c>
    </row>
    <row r="114" spans="1:34" x14ac:dyDescent="0.35">
      <c r="A114" s="26" t="s">
        <v>118</v>
      </c>
      <c r="B114" s="19">
        <v>24980.730000000018</v>
      </c>
      <c r="C114" s="2">
        <v>25001.800000000017</v>
      </c>
      <c r="D114" s="2">
        <v>25020.650000000016</v>
      </c>
      <c r="E114" s="2">
        <v>25041.590000000015</v>
      </c>
      <c r="F114" s="2">
        <v>25062.870000000014</v>
      </c>
      <c r="G114" s="2">
        <v>25082.440000000013</v>
      </c>
      <c r="H114" s="2">
        <v>25083.570000000014</v>
      </c>
      <c r="I114" s="2">
        <v>25101.320000000014</v>
      </c>
      <c r="J114" s="2">
        <v>25123.050000000014</v>
      </c>
      <c r="K114" s="2">
        <v>25144.570000000014</v>
      </c>
      <c r="L114" s="2">
        <v>25166.090000000015</v>
      </c>
      <c r="M114" s="2">
        <v>25187.800000000014</v>
      </c>
      <c r="N114" s="2">
        <v>25209.340000000015</v>
      </c>
      <c r="O114" s="2">
        <v>25228.800000000014</v>
      </c>
      <c r="P114" s="2">
        <v>25234.880000000016</v>
      </c>
      <c r="Q114" s="2">
        <v>25256.150000000016</v>
      </c>
      <c r="R114" s="2">
        <v>25276.600000000017</v>
      </c>
      <c r="S114" s="2">
        <v>25293.180000000018</v>
      </c>
      <c r="T114" s="2">
        <v>25311.810000000019</v>
      </c>
      <c r="U114" s="2">
        <v>25316.60000000002</v>
      </c>
      <c r="V114" s="2">
        <v>25331.680000000022</v>
      </c>
      <c r="W114" s="2">
        <v>25353.130000000023</v>
      </c>
      <c r="X114" s="2">
        <v>25375.000000000022</v>
      </c>
      <c r="Y114" s="2">
        <v>25396.51000000002</v>
      </c>
      <c r="Z114" s="2">
        <v>25418.210000000021</v>
      </c>
      <c r="AA114" s="2">
        <v>25439.810000000019</v>
      </c>
      <c r="AB114" s="2">
        <v>25459.590000000018</v>
      </c>
      <c r="AC114" s="2">
        <v>25481.410000000018</v>
      </c>
      <c r="AD114" s="2">
        <v>25501.960000000017</v>
      </c>
      <c r="AE114" s="2">
        <v>25519.040000000019</v>
      </c>
      <c r="AF114" s="7">
        <v>25540.430000000018</v>
      </c>
      <c r="AG114" s="51">
        <f t="shared" si="4"/>
        <v>25540.430000000018</v>
      </c>
      <c r="AH114" s="44">
        <v>24960.11</v>
      </c>
    </row>
    <row r="115" spans="1:34" x14ac:dyDescent="0.35">
      <c r="A115" s="26" t="s">
        <v>119</v>
      </c>
      <c r="B115" s="19">
        <v>23887.729999999992</v>
      </c>
      <c r="C115" s="2">
        <v>23907.269999999993</v>
      </c>
      <c r="D115" s="2">
        <v>23928.279999999992</v>
      </c>
      <c r="E115" s="2">
        <v>23940.639999999992</v>
      </c>
      <c r="F115" s="2">
        <v>23961.719999999994</v>
      </c>
      <c r="G115" s="2">
        <v>23983.539999999994</v>
      </c>
      <c r="H115" s="2">
        <v>24001.619999999995</v>
      </c>
      <c r="I115" s="2">
        <v>24023.459999999995</v>
      </c>
      <c r="J115" s="2">
        <v>24044.459999999995</v>
      </c>
      <c r="K115" s="2">
        <v>24065.819999999996</v>
      </c>
      <c r="L115" s="2">
        <v>24072.749999999996</v>
      </c>
      <c r="M115" s="2">
        <v>24093.699999999997</v>
      </c>
      <c r="N115" s="2">
        <v>24114.129999999997</v>
      </c>
      <c r="O115" s="2">
        <v>24134.19</v>
      </c>
      <c r="P115" s="2">
        <v>24134.739999999998</v>
      </c>
      <c r="Q115" s="2">
        <v>24134.739999999998</v>
      </c>
      <c r="R115" s="2">
        <v>24134.739999999998</v>
      </c>
      <c r="S115" s="2">
        <v>24137.699999999997</v>
      </c>
      <c r="T115" s="2">
        <v>24159.069999999996</v>
      </c>
      <c r="U115" s="2">
        <v>24179.279999999995</v>
      </c>
      <c r="V115" s="2">
        <v>24200.019999999997</v>
      </c>
      <c r="W115" s="2">
        <v>24221.699999999997</v>
      </c>
      <c r="X115" s="2">
        <v>24222.649999999998</v>
      </c>
      <c r="Y115" s="2">
        <v>24223.89</v>
      </c>
      <c r="Z115" s="2">
        <v>24244.6</v>
      </c>
      <c r="AA115" s="2">
        <v>24265.439999999999</v>
      </c>
      <c r="AB115" s="2">
        <v>24285.55</v>
      </c>
      <c r="AC115" s="2">
        <v>24303.969999999998</v>
      </c>
      <c r="AD115" s="2">
        <v>24324.129999999997</v>
      </c>
      <c r="AE115" s="2">
        <v>24332.579999999998</v>
      </c>
      <c r="AF115" s="7">
        <v>24332.579999999998</v>
      </c>
      <c r="AG115" s="51">
        <f t="shared" si="4"/>
        <v>24332.579999999998</v>
      </c>
      <c r="AH115" s="44">
        <v>23866.11</v>
      </c>
    </row>
    <row r="116" spans="1:34" x14ac:dyDescent="0.35">
      <c r="A116" s="26" t="s">
        <v>120</v>
      </c>
      <c r="B116" s="19">
        <v>24205.110000000033</v>
      </c>
      <c r="C116" s="2">
        <v>24215.740000000034</v>
      </c>
      <c r="D116" s="2">
        <v>24236.180000000033</v>
      </c>
      <c r="E116" s="2">
        <v>24257.150000000034</v>
      </c>
      <c r="F116" s="2">
        <v>24278.630000000034</v>
      </c>
      <c r="G116" s="2">
        <v>24294.840000000033</v>
      </c>
      <c r="H116" s="2">
        <v>24314.760000000031</v>
      </c>
      <c r="I116" s="2">
        <v>24336.230000000032</v>
      </c>
      <c r="J116" s="2">
        <v>24357.930000000033</v>
      </c>
      <c r="K116" s="2">
        <v>24379.370000000032</v>
      </c>
      <c r="L116" s="2">
        <v>24401.270000000033</v>
      </c>
      <c r="M116" s="2">
        <v>24423.000000000033</v>
      </c>
      <c r="N116" s="2">
        <v>24441.690000000031</v>
      </c>
      <c r="O116" s="2">
        <v>24459.500000000033</v>
      </c>
      <c r="P116" s="2">
        <v>24480.270000000033</v>
      </c>
      <c r="Q116" s="2">
        <v>24501.550000000032</v>
      </c>
      <c r="R116" s="2">
        <v>24523.110000000033</v>
      </c>
      <c r="S116" s="2">
        <v>24544.160000000033</v>
      </c>
      <c r="T116" s="2">
        <v>24565.560000000034</v>
      </c>
      <c r="U116" s="2">
        <v>24586.150000000034</v>
      </c>
      <c r="V116" s="2">
        <v>24607.650000000034</v>
      </c>
      <c r="W116" s="2">
        <v>24629.150000000034</v>
      </c>
      <c r="X116" s="2">
        <v>24650.650000000034</v>
      </c>
      <c r="Y116" s="2">
        <v>24664.220000000034</v>
      </c>
      <c r="Z116" s="2">
        <v>24664.220000000034</v>
      </c>
      <c r="AA116" s="2">
        <v>24664.220000000034</v>
      </c>
      <c r="AB116" s="2">
        <v>24664.220000000034</v>
      </c>
      <c r="AC116" s="2">
        <v>24677.320000000032</v>
      </c>
      <c r="AD116" s="2">
        <v>24696.960000000032</v>
      </c>
      <c r="AE116" s="2">
        <v>24718.06000000003</v>
      </c>
      <c r="AF116" s="7">
        <v>24736.260000000031</v>
      </c>
      <c r="AG116" s="51">
        <f t="shared" si="4"/>
        <v>24736.260000000031</v>
      </c>
      <c r="AH116" s="44">
        <v>24193.39</v>
      </c>
    </row>
    <row r="117" spans="1:34" x14ac:dyDescent="0.35">
      <c r="A117" s="26" t="s">
        <v>121</v>
      </c>
      <c r="B117" s="19">
        <v>23696.06</v>
      </c>
      <c r="C117" s="2">
        <v>23717.640000000003</v>
      </c>
      <c r="D117" s="2">
        <v>23735.260000000002</v>
      </c>
      <c r="E117" s="2">
        <v>23756.77</v>
      </c>
      <c r="F117" s="2">
        <v>23774.09</v>
      </c>
      <c r="G117" s="2">
        <v>23795.19</v>
      </c>
      <c r="H117" s="2">
        <v>23816.66</v>
      </c>
      <c r="I117" s="2">
        <v>23834.02</v>
      </c>
      <c r="J117" s="2">
        <v>23854.670000000002</v>
      </c>
      <c r="K117" s="2">
        <v>23876.33</v>
      </c>
      <c r="L117" s="2">
        <v>23897.910000000003</v>
      </c>
      <c r="M117" s="2">
        <v>23917.870000000003</v>
      </c>
      <c r="N117" s="2">
        <v>23932.74</v>
      </c>
      <c r="O117" s="2">
        <v>23943.27</v>
      </c>
      <c r="P117" s="2">
        <v>23964.400000000001</v>
      </c>
      <c r="Q117" s="2">
        <v>23980.440000000002</v>
      </c>
      <c r="R117" s="2">
        <v>24002.410000000003</v>
      </c>
      <c r="S117" s="2">
        <v>24023.780000000002</v>
      </c>
      <c r="T117" s="2">
        <v>24043.15</v>
      </c>
      <c r="U117" s="2">
        <v>24064.06</v>
      </c>
      <c r="V117" s="2">
        <v>24078.800000000003</v>
      </c>
      <c r="W117" s="2">
        <v>24099.960000000003</v>
      </c>
      <c r="X117" s="2">
        <v>24099.960000000003</v>
      </c>
      <c r="Y117" s="2">
        <v>24099.960000000003</v>
      </c>
      <c r="Z117" s="2">
        <v>24110.070000000003</v>
      </c>
      <c r="AA117" s="2">
        <v>24131.590000000004</v>
      </c>
      <c r="AB117" s="2">
        <v>24148.470000000005</v>
      </c>
      <c r="AC117" s="2">
        <v>24155.470000000005</v>
      </c>
      <c r="AD117" s="2">
        <v>24175.340000000004</v>
      </c>
      <c r="AE117" s="2">
        <v>24196.430000000004</v>
      </c>
      <c r="AF117" s="7">
        <v>24201.800000000003</v>
      </c>
      <c r="AG117" s="51">
        <f t="shared" si="4"/>
        <v>24201.800000000003</v>
      </c>
      <c r="AH117" s="44">
        <v>23678.29</v>
      </c>
    </row>
    <row r="118" spans="1:34" x14ac:dyDescent="0.35">
      <c r="A118" s="26" t="s">
        <v>122</v>
      </c>
      <c r="B118" s="19">
        <v>5466.8099999999977</v>
      </c>
      <c r="C118" s="2">
        <v>5487.159999999998</v>
      </c>
      <c r="D118" s="2">
        <v>5507.7799999999979</v>
      </c>
      <c r="E118" s="2">
        <v>5529.1199999999981</v>
      </c>
      <c r="F118" s="2">
        <v>5550.5999999999976</v>
      </c>
      <c r="G118" s="2">
        <v>5571.9399999999978</v>
      </c>
      <c r="H118" s="2">
        <v>5593.6399999999976</v>
      </c>
      <c r="I118" s="2">
        <v>5612.8799999999974</v>
      </c>
      <c r="J118" s="2">
        <v>5621.3499999999976</v>
      </c>
      <c r="K118" s="2">
        <v>5624.0099999999975</v>
      </c>
      <c r="L118" s="2">
        <v>5644.0399999999972</v>
      </c>
      <c r="M118" s="2">
        <v>5665.319999999997</v>
      </c>
      <c r="N118" s="2">
        <v>5687.1199999999972</v>
      </c>
      <c r="O118" s="2">
        <v>5708.1699999999973</v>
      </c>
      <c r="P118" s="2">
        <v>5726.1199999999972</v>
      </c>
      <c r="Q118" s="2">
        <v>5747.7399999999971</v>
      </c>
      <c r="R118" s="2">
        <v>5767.9399999999969</v>
      </c>
      <c r="S118" s="2">
        <v>5789.069999999997</v>
      </c>
      <c r="T118" s="2">
        <v>5810.8799999999974</v>
      </c>
      <c r="U118" s="2">
        <v>5830.8699999999972</v>
      </c>
      <c r="V118" s="2">
        <v>5850.1299999999974</v>
      </c>
      <c r="W118" s="2">
        <v>5865.6299999999974</v>
      </c>
      <c r="X118" s="2">
        <v>5881.4999999999973</v>
      </c>
      <c r="Y118" s="2">
        <v>5894.9399999999969</v>
      </c>
      <c r="Z118" s="2">
        <v>5916.5799999999972</v>
      </c>
      <c r="AA118" s="2">
        <v>5932.0099999999975</v>
      </c>
      <c r="AB118" s="2">
        <v>5940.9599999999973</v>
      </c>
      <c r="AC118" s="2">
        <v>5961.1899999999969</v>
      </c>
      <c r="AD118" s="2">
        <v>5980.2399999999971</v>
      </c>
      <c r="AE118" s="2">
        <v>6001.3899999999967</v>
      </c>
      <c r="AF118" s="7">
        <v>6022.2999999999965</v>
      </c>
      <c r="AG118" s="51">
        <f t="shared" si="4"/>
        <v>6022.2999999999965</v>
      </c>
      <c r="AH118" s="44">
        <v>5445.26</v>
      </c>
    </row>
    <row r="119" spans="1:34" x14ac:dyDescent="0.35">
      <c r="A119" s="26" t="s">
        <v>123</v>
      </c>
      <c r="B119" s="19">
        <v>5774.6600000000026</v>
      </c>
      <c r="C119" s="2">
        <v>5795.9100000000026</v>
      </c>
      <c r="D119" s="2">
        <v>5817.3600000000024</v>
      </c>
      <c r="E119" s="2">
        <v>5839.0300000000025</v>
      </c>
      <c r="F119" s="2">
        <v>5860.5400000000027</v>
      </c>
      <c r="G119" s="2">
        <v>5882.0400000000027</v>
      </c>
      <c r="H119" s="2">
        <v>5903.4100000000026</v>
      </c>
      <c r="I119" s="2">
        <v>5924.2000000000025</v>
      </c>
      <c r="J119" s="2">
        <v>5946.0000000000027</v>
      </c>
      <c r="K119" s="2">
        <v>5950.9000000000024</v>
      </c>
      <c r="L119" s="2">
        <v>5972.550000000002</v>
      </c>
      <c r="M119" s="2">
        <v>5993.6600000000017</v>
      </c>
      <c r="N119" s="2">
        <v>5997.0600000000013</v>
      </c>
      <c r="O119" s="2">
        <v>6017.5500000000011</v>
      </c>
      <c r="P119" s="2">
        <v>6039.0500000000011</v>
      </c>
      <c r="Q119" s="2">
        <v>6060.5500000000011</v>
      </c>
      <c r="R119" s="2">
        <v>6082.2700000000013</v>
      </c>
      <c r="S119" s="2">
        <v>6103.4800000000014</v>
      </c>
      <c r="T119" s="2">
        <v>6125.5100000000011</v>
      </c>
      <c r="U119" s="2">
        <v>6145.7600000000011</v>
      </c>
      <c r="V119" s="2">
        <v>6166.4800000000014</v>
      </c>
      <c r="W119" s="2">
        <v>6187.5100000000011</v>
      </c>
      <c r="X119" s="2">
        <v>6209.2500000000009</v>
      </c>
      <c r="Y119" s="2">
        <v>6229.2000000000007</v>
      </c>
      <c r="Z119" s="2">
        <v>6250.920000000001</v>
      </c>
      <c r="AA119" s="2">
        <v>6270.9700000000012</v>
      </c>
      <c r="AB119" s="2">
        <v>6290.2100000000009</v>
      </c>
      <c r="AC119" s="2">
        <v>6311.6400000000012</v>
      </c>
      <c r="AD119" s="2">
        <v>6329.6600000000017</v>
      </c>
      <c r="AE119" s="2">
        <v>6333.8900000000012</v>
      </c>
      <c r="AF119" s="7">
        <v>6341.0400000000009</v>
      </c>
      <c r="AG119" s="51">
        <f t="shared" si="4"/>
        <v>6341.0400000000009</v>
      </c>
      <c r="AH119" s="44">
        <v>5752.48</v>
      </c>
    </row>
    <row r="120" spans="1:34" x14ac:dyDescent="0.35">
      <c r="A120" s="26" t="s">
        <v>124</v>
      </c>
      <c r="B120" s="19">
        <v>5259.5899999999983</v>
      </c>
      <c r="C120" s="2">
        <v>5274.2799999999979</v>
      </c>
      <c r="D120" s="2">
        <v>5295.3499999999976</v>
      </c>
      <c r="E120" s="2">
        <v>5314.9299999999976</v>
      </c>
      <c r="F120" s="2">
        <v>5332.5499999999975</v>
      </c>
      <c r="G120" s="2">
        <v>5353.6599999999971</v>
      </c>
      <c r="H120" s="2">
        <v>5375.2199999999975</v>
      </c>
      <c r="I120" s="2">
        <v>5396.2999999999975</v>
      </c>
      <c r="J120" s="2">
        <v>5418.0599999999977</v>
      </c>
      <c r="K120" s="2">
        <v>5438.8099999999977</v>
      </c>
      <c r="L120" s="2">
        <v>5460.4699999999975</v>
      </c>
      <c r="M120" s="2">
        <v>5482.4399999999978</v>
      </c>
      <c r="N120" s="2">
        <v>5504.409999999998</v>
      </c>
      <c r="O120" s="2">
        <v>5510.9199999999983</v>
      </c>
      <c r="P120" s="2">
        <v>5531.659999999998</v>
      </c>
      <c r="Q120" s="2">
        <v>5553.1899999999978</v>
      </c>
      <c r="R120" s="2">
        <v>5574.6099999999979</v>
      </c>
      <c r="S120" s="2">
        <v>5594.6499999999978</v>
      </c>
      <c r="T120" s="2">
        <v>5612.2899999999981</v>
      </c>
      <c r="U120" s="2">
        <v>5626.739999999998</v>
      </c>
      <c r="V120" s="2">
        <v>5626.739999999998</v>
      </c>
      <c r="W120" s="2">
        <v>5626.739999999998</v>
      </c>
      <c r="X120" s="2">
        <v>5638.409999999998</v>
      </c>
      <c r="Y120" s="2">
        <v>5648.6399999999976</v>
      </c>
      <c r="Z120" s="2">
        <v>5662.2599999999975</v>
      </c>
      <c r="AA120" s="2">
        <v>5674.9499999999971</v>
      </c>
      <c r="AB120" s="2">
        <v>5696.0499999999975</v>
      </c>
      <c r="AC120" s="2">
        <v>5717.7499999999973</v>
      </c>
      <c r="AD120" s="2">
        <v>5729.5799999999972</v>
      </c>
      <c r="AE120" s="2">
        <v>5750.3099999999968</v>
      </c>
      <c r="AF120" s="7">
        <v>5771.6799999999967</v>
      </c>
      <c r="AG120" s="51">
        <f t="shared" si="4"/>
        <v>5771.6799999999967</v>
      </c>
      <c r="AH120" s="44">
        <v>5238.6099999999997</v>
      </c>
    </row>
    <row r="121" spans="1:34" x14ac:dyDescent="0.35">
      <c r="A121" s="26" t="s">
        <v>125</v>
      </c>
      <c r="B121" s="19">
        <v>3533.4900000000016</v>
      </c>
      <c r="C121" s="2">
        <v>3555.1500000000015</v>
      </c>
      <c r="D121" s="2">
        <v>3571.4400000000014</v>
      </c>
      <c r="E121" s="2">
        <v>3592.3000000000015</v>
      </c>
      <c r="F121" s="2">
        <v>3613.7600000000016</v>
      </c>
      <c r="G121" s="2">
        <v>3635.0500000000015</v>
      </c>
      <c r="H121" s="2">
        <v>3656.8500000000017</v>
      </c>
      <c r="I121" s="2">
        <v>3676.8700000000017</v>
      </c>
      <c r="J121" s="2">
        <v>3698.4800000000018</v>
      </c>
      <c r="K121" s="2">
        <v>3720.0600000000018</v>
      </c>
      <c r="L121" s="2">
        <v>3741.3700000000017</v>
      </c>
      <c r="M121" s="2">
        <v>3760.3700000000017</v>
      </c>
      <c r="N121" s="2">
        <v>3780.6900000000019</v>
      </c>
      <c r="O121" s="2">
        <v>3799.030000000002</v>
      </c>
      <c r="P121" s="2">
        <v>3817.8800000000019</v>
      </c>
      <c r="Q121" s="2">
        <v>3839.8700000000017</v>
      </c>
      <c r="R121" s="2">
        <v>3861.9200000000019</v>
      </c>
      <c r="S121" s="2">
        <v>3882.5800000000017</v>
      </c>
      <c r="T121" s="2">
        <v>3903.8300000000017</v>
      </c>
      <c r="U121" s="2">
        <v>3923.8700000000017</v>
      </c>
      <c r="V121" s="2">
        <v>3939.8600000000015</v>
      </c>
      <c r="W121" s="2">
        <v>3961.0900000000015</v>
      </c>
      <c r="X121" s="2">
        <v>3982.2000000000016</v>
      </c>
      <c r="Y121" s="2">
        <v>4002.1400000000017</v>
      </c>
      <c r="Z121" s="2">
        <v>4023.5900000000015</v>
      </c>
      <c r="AA121" s="2">
        <v>4044.5000000000014</v>
      </c>
      <c r="AB121" s="2">
        <v>4066.0800000000013</v>
      </c>
      <c r="AC121" s="2">
        <v>4087.4900000000011</v>
      </c>
      <c r="AD121" s="2">
        <v>4106.5400000000009</v>
      </c>
      <c r="AE121" s="2">
        <v>4112.0800000000008</v>
      </c>
      <c r="AF121" s="7">
        <v>4133.5100000000011</v>
      </c>
      <c r="AG121" s="51">
        <f t="shared" si="4"/>
        <v>4133.5100000000011</v>
      </c>
      <c r="AH121" s="44">
        <v>3511.79</v>
      </c>
    </row>
    <row r="122" spans="1:34" x14ac:dyDescent="0.35">
      <c r="A122" s="26" t="s">
        <v>126</v>
      </c>
      <c r="B122" s="19">
        <v>4726.0899999999974</v>
      </c>
      <c r="C122" s="2">
        <v>4747.9299999999976</v>
      </c>
      <c r="D122" s="2">
        <v>4769.0199999999977</v>
      </c>
      <c r="E122" s="2">
        <v>4790.4699999999975</v>
      </c>
      <c r="F122" s="2">
        <v>4807.2599999999975</v>
      </c>
      <c r="G122" s="2">
        <v>4807.6199999999972</v>
      </c>
      <c r="H122" s="2">
        <v>4807.6199999999972</v>
      </c>
      <c r="I122" s="2">
        <v>4824.2999999999975</v>
      </c>
      <c r="J122" s="2">
        <v>4845.9599999999973</v>
      </c>
      <c r="K122" s="2">
        <v>4867.9299999999976</v>
      </c>
      <c r="L122" s="2">
        <v>4889.9299999999976</v>
      </c>
      <c r="M122" s="2">
        <v>4911.9299999999976</v>
      </c>
      <c r="N122" s="2">
        <v>4934.0399999999972</v>
      </c>
      <c r="O122" s="2">
        <v>4954.7399999999971</v>
      </c>
      <c r="P122" s="2">
        <v>4976.0799999999972</v>
      </c>
      <c r="Q122" s="2">
        <v>4997.6099999999969</v>
      </c>
      <c r="R122" s="2">
        <v>5019.2399999999971</v>
      </c>
      <c r="S122" s="2">
        <v>5040.3499999999967</v>
      </c>
      <c r="T122" s="2">
        <v>5040.3499999999967</v>
      </c>
      <c r="U122" s="2">
        <v>5047.7699999999968</v>
      </c>
      <c r="V122" s="2">
        <v>5069.7099999999964</v>
      </c>
      <c r="W122" s="2">
        <v>5091.149999999996</v>
      </c>
      <c r="X122" s="2">
        <v>5111.4899999999961</v>
      </c>
      <c r="Y122" s="2">
        <v>5133.1999999999962</v>
      </c>
      <c r="Z122" s="2">
        <v>5147.7099999999964</v>
      </c>
      <c r="AA122" s="2">
        <v>5168.6999999999962</v>
      </c>
      <c r="AB122" s="2">
        <v>5186.0899999999965</v>
      </c>
      <c r="AC122" s="2">
        <v>5207.6699999999964</v>
      </c>
      <c r="AD122" s="2">
        <v>5227.859999999996</v>
      </c>
      <c r="AE122" s="2">
        <v>5249.1299999999965</v>
      </c>
      <c r="AF122" s="7">
        <v>5271.4699999999966</v>
      </c>
      <c r="AG122" s="51">
        <f t="shared" si="4"/>
        <v>5271.4699999999966</v>
      </c>
      <c r="AH122" s="44">
        <v>4704.34</v>
      </c>
    </row>
    <row r="123" spans="1:34" x14ac:dyDescent="0.35">
      <c r="A123" s="26" t="s">
        <v>127</v>
      </c>
      <c r="B123" s="19">
        <v>4877.1399999999976</v>
      </c>
      <c r="C123" s="2">
        <v>4898.8599999999979</v>
      </c>
      <c r="D123" s="2">
        <v>4920.0899999999974</v>
      </c>
      <c r="E123" s="2">
        <v>4941.2099999999973</v>
      </c>
      <c r="F123" s="2">
        <v>4962.3099999999977</v>
      </c>
      <c r="G123" s="2">
        <v>4983.5499999999975</v>
      </c>
      <c r="H123" s="2">
        <v>5003.5799999999972</v>
      </c>
      <c r="I123" s="2">
        <v>5024.9999999999973</v>
      </c>
      <c r="J123" s="2">
        <v>5044.0199999999977</v>
      </c>
      <c r="K123" s="2">
        <v>5056.1799999999976</v>
      </c>
      <c r="L123" s="2">
        <v>5077.8199999999979</v>
      </c>
      <c r="M123" s="2">
        <v>5099.4299999999976</v>
      </c>
      <c r="N123" s="2">
        <v>5119.8799999999974</v>
      </c>
      <c r="O123" s="2">
        <v>5141.0799999999972</v>
      </c>
      <c r="P123" s="2">
        <v>5162.5899999999974</v>
      </c>
      <c r="Q123" s="2">
        <v>5184.0199999999977</v>
      </c>
      <c r="R123" s="2">
        <v>5205.4599999999973</v>
      </c>
      <c r="S123" s="2">
        <v>5226.0899999999974</v>
      </c>
      <c r="T123" s="2">
        <v>5244.9799999999977</v>
      </c>
      <c r="U123" s="2">
        <v>5265.1399999999976</v>
      </c>
      <c r="V123" s="2">
        <v>5273.1799999999976</v>
      </c>
      <c r="W123" s="2">
        <v>5294.739999999998</v>
      </c>
      <c r="X123" s="2">
        <v>5316.2599999999984</v>
      </c>
      <c r="Y123" s="2">
        <v>5337.7499999999982</v>
      </c>
      <c r="Z123" s="2">
        <v>5358.7699999999986</v>
      </c>
      <c r="AA123" s="2">
        <v>5380.119999999999</v>
      </c>
      <c r="AB123" s="2">
        <v>5401.3099999999986</v>
      </c>
      <c r="AC123" s="2">
        <v>5419.7899999999981</v>
      </c>
      <c r="AD123" s="2">
        <v>5436.2099999999982</v>
      </c>
      <c r="AE123" s="2">
        <v>5455.7499999999982</v>
      </c>
      <c r="AF123" s="7">
        <v>5471.739999999998</v>
      </c>
      <c r="AG123" s="51">
        <f t="shared" si="4"/>
        <v>5471.739999999998</v>
      </c>
      <c r="AH123" s="44">
        <v>4867.1499999999996</v>
      </c>
    </row>
    <row r="124" spans="1:34" ht="15" thickBot="1" x14ac:dyDescent="0.4">
      <c r="A124" s="36" t="s">
        <v>128</v>
      </c>
      <c r="B124" s="20">
        <v>4756.1799999999967</v>
      </c>
      <c r="C124" s="4">
        <v>4777.9899999999971</v>
      </c>
      <c r="D124" s="4">
        <v>4799.5099999999975</v>
      </c>
      <c r="E124" s="4">
        <v>4818.5199999999977</v>
      </c>
      <c r="F124" s="4">
        <v>4839.4399999999978</v>
      </c>
      <c r="G124" s="4">
        <v>4860.9799999999977</v>
      </c>
      <c r="H124" s="4">
        <v>4882.0899999999974</v>
      </c>
      <c r="I124" s="4">
        <v>4902.8299999999972</v>
      </c>
      <c r="J124" s="4">
        <v>4908.9199999999973</v>
      </c>
      <c r="K124" s="4">
        <v>4930.3999999999969</v>
      </c>
      <c r="L124" s="4">
        <v>4951.9699999999966</v>
      </c>
      <c r="M124" s="4">
        <v>4969.0399999999963</v>
      </c>
      <c r="N124" s="4">
        <v>4969.0399999999963</v>
      </c>
      <c r="O124" s="4">
        <v>4969.0399999999963</v>
      </c>
      <c r="P124" s="4">
        <v>4969.0399999999963</v>
      </c>
      <c r="Q124" s="4">
        <v>4969.0399999999963</v>
      </c>
      <c r="R124" s="4">
        <v>4970.4099999999962</v>
      </c>
      <c r="S124" s="4">
        <v>4971.7699999999959</v>
      </c>
      <c r="T124" s="4">
        <v>4989.9599999999955</v>
      </c>
      <c r="U124" s="4">
        <v>5000.9099999999953</v>
      </c>
      <c r="V124" s="4">
        <v>5022.9599999999955</v>
      </c>
      <c r="W124" s="4">
        <v>5044.3799999999956</v>
      </c>
      <c r="X124" s="4">
        <v>5065.2899999999954</v>
      </c>
      <c r="Y124" s="4">
        <v>5079.0499999999956</v>
      </c>
      <c r="Z124" s="4">
        <v>5099.689999999996</v>
      </c>
      <c r="AA124" s="4">
        <v>5121.6299999999956</v>
      </c>
      <c r="AB124" s="4">
        <v>5141.8899999999958</v>
      </c>
      <c r="AC124" s="4">
        <v>5163.4599999999955</v>
      </c>
      <c r="AD124" s="4">
        <v>5184.6099999999951</v>
      </c>
      <c r="AE124" s="4">
        <v>5204.7599999999948</v>
      </c>
      <c r="AF124" s="8">
        <v>5226.0599999999949</v>
      </c>
      <c r="AG124" s="52">
        <f t="shared" si="4"/>
        <v>5226.0599999999949</v>
      </c>
      <c r="AH124" s="44">
        <v>4734.43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45413</v>
      </c>
      <c r="C126" s="46">
        <v>45414</v>
      </c>
      <c r="D126" s="46">
        <v>45415</v>
      </c>
      <c r="E126" s="46">
        <v>45416</v>
      </c>
      <c r="F126" s="46">
        <v>45417</v>
      </c>
      <c r="G126" s="46">
        <v>45418</v>
      </c>
      <c r="H126" s="46">
        <v>45419</v>
      </c>
      <c r="I126" s="46">
        <v>45420</v>
      </c>
      <c r="J126" s="46">
        <v>45421</v>
      </c>
      <c r="K126" s="46">
        <v>45422</v>
      </c>
      <c r="L126" s="46">
        <v>45423</v>
      </c>
      <c r="M126" s="46">
        <v>45424</v>
      </c>
      <c r="N126" s="46">
        <v>45425</v>
      </c>
      <c r="O126" s="46">
        <v>45426</v>
      </c>
      <c r="P126" s="46">
        <v>45427</v>
      </c>
      <c r="Q126" s="46">
        <v>45428</v>
      </c>
      <c r="R126" s="46">
        <v>45429</v>
      </c>
      <c r="S126" s="46">
        <v>45430</v>
      </c>
      <c r="T126" s="46">
        <v>45431</v>
      </c>
      <c r="U126" s="46">
        <v>45432</v>
      </c>
      <c r="V126" s="46">
        <v>45433</v>
      </c>
      <c r="W126" s="46">
        <v>45434</v>
      </c>
      <c r="X126" s="46">
        <v>45435</v>
      </c>
      <c r="Y126" s="46">
        <v>45436</v>
      </c>
      <c r="Z126" s="46">
        <v>45437</v>
      </c>
      <c r="AA126" s="46">
        <v>45438</v>
      </c>
      <c r="AB126" s="46">
        <v>45439</v>
      </c>
      <c r="AC126" s="46">
        <v>45440</v>
      </c>
      <c r="AD126" s="46">
        <v>45441</v>
      </c>
      <c r="AE126" s="46">
        <v>45442</v>
      </c>
      <c r="AF126" s="46">
        <v>45443</v>
      </c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19">
        <v>87482</v>
      </c>
      <c r="C127" s="2">
        <v>87482</v>
      </c>
      <c r="D127" s="2">
        <v>87482</v>
      </c>
      <c r="E127" s="2">
        <v>87482</v>
      </c>
      <c r="F127" s="2">
        <v>87482</v>
      </c>
      <c r="G127" s="2">
        <v>87482</v>
      </c>
      <c r="H127" s="2">
        <v>87482</v>
      </c>
      <c r="I127" s="2">
        <v>87482</v>
      </c>
      <c r="J127" s="2">
        <v>87482</v>
      </c>
      <c r="K127" s="2">
        <v>87482</v>
      </c>
      <c r="L127" s="2">
        <v>87482</v>
      </c>
      <c r="M127" s="2">
        <v>87482</v>
      </c>
      <c r="N127" s="2">
        <v>87482</v>
      </c>
      <c r="O127" s="2">
        <v>87482</v>
      </c>
      <c r="P127" s="2">
        <v>87482</v>
      </c>
      <c r="Q127" s="2">
        <v>87482</v>
      </c>
      <c r="R127" s="2">
        <v>87482</v>
      </c>
      <c r="S127" s="2">
        <v>87482</v>
      </c>
      <c r="T127" s="2">
        <v>87482</v>
      </c>
      <c r="U127" s="2">
        <v>87482</v>
      </c>
      <c r="V127" s="2">
        <v>87482</v>
      </c>
      <c r="W127" s="2">
        <v>87482</v>
      </c>
      <c r="X127" s="2">
        <v>87482</v>
      </c>
      <c r="Y127" s="2">
        <v>87482</v>
      </c>
      <c r="Z127" s="2">
        <v>87482</v>
      </c>
      <c r="AA127" s="2">
        <v>87482</v>
      </c>
      <c r="AB127" s="2">
        <v>87600.3</v>
      </c>
      <c r="AC127" s="2">
        <v>87617.1</v>
      </c>
      <c r="AD127" s="2">
        <v>87624.400000000009</v>
      </c>
      <c r="AE127" s="2">
        <v>87638.200000000012</v>
      </c>
      <c r="AF127" s="7">
        <v>87652.000000000015</v>
      </c>
      <c r="AG127" s="54">
        <f t="shared" ref="AG127:AG163" si="5">MAX(B127:AF127)</f>
        <v>87652.000000000015</v>
      </c>
      <c r="AH127" s="44">
        <v>87482</v>
      </c>
    </row>
    <row r="128" spans="1:34" x14ac:dyDescent="0.35">
      <c r="A128" s="40" t="s">
        <v>297</v>
      </c>
      <c r="B128" s="18">
        <v>111602.1</v>
      </c>
      <c r="C128" s="14">
        <v>111602.1</v>
      </c>
      <c r="D128" s="14">
        <v>111602.1</v>
      </c>
      <c r="E128" s="14">
        <v>111602.1</v>
      </c>
      <c r="F128" s="14">
        <v>111602.1</v>
      </c>
      <c r="G128" s="14">
        <v>111602.1</v>
      </c>
      <c r="H128" s="14">
        <v>111618.40000000001</v>
      </c>
      <c r="I128" s="14">
        <v>111625.90000000001</v>
      </c>
      <c r="J128" s="14">
        <v>111642.90000000001</v>
      </c>
      <c r="K128" s="14">
        <v>111642.90000000001</v>
      </c>
      <c r="L128" s="14">
        <v>111642.90000000001</v>
      </c>
      <c r="M128" s="14">
        <v>111643.90000000001</v>
      </c>
      <c r="N128" s="14">
        <v>111645.90000000001</v>
      </c>
      <c r="O128" s="14">
        <v>111645.90000000001</v>
      </c>
      <c r="P128" s="14">
        <v>111660.3</v>
      </c>
      <c r="Q128" s="14">
        <v>111662.6</v>
      </c>
      <c r="R128" s="14">
        <v>111662.6</v>
      </c>
      <c r="S128" s="14">
        <v>111662.6</v>
      </c>
      <c r="T128" s="14">
        <v>111662.6</v>
      </c>
      <c r="U128" s="14">
        <v>111662.6</v>
      </c>
      <c r="V128" s="14">
        <v>111662.6</v>
      </c>
      <c r="W128" s="14">
        <v>111662.6</v>
      </c>
      <c r="X128" s="14">
        <v>111662.6</v>
      </c>
      <c r="Y128" s="14">
        <v>111662.6</v>
      </c>
      <c r="Z128" s="14">
        <v>111662.6</v>
      </c>
      <c r="AA128" s="14">
        <v>111662.6</v>
      </c>
      <c r="AB128" s="14">
        <v>111679.1</v>
      </c>
      <c r="AC128" s="14">
        <v>111679.1</v>
      </c>
      <c r="AD128" s="14">
        <v>111679.1</v>
      </c>
      <c r="AE128" s="14">
        <v>111685</v>
      </c>
      <c r="AF128" s="22">
        <v>111697</v>
      </c>
      <c r="AG128" s="53">
        <f t="shared" si="5"/>
        <v>111697</v>
      </c>
      <c r="AH128" s="44">
        <v>111598</v>
      </c>
    </row>
    <row r="129" spans="1:34" x14ac:dyDescent="0.35">
      <c r="A129" s="27" t="s">
        <v>271</v>
      </c>
      <c r="B129" s="19">
        <v>104167.2</v>
      </c>
      <c r="C129" s="2">
        <v>104167.2</v>
      </c>
      <c r="D129" s="2">
        <v>104167.2</v>
      </c>
      <c r="E129" s="2">
        <v>104167.2</v>
      </c>
      <c r="F129" s="2">
        <v>104167.2</v>
      </c>
      <c r="G129" s="2">
        <v>104167.2</v>
      </c>
      <c r="H129" s="2">
        <v>104167.2</v>
      </c>
      <c r="I129" s="2">
        <v>104167.2</v>
      </c>
      <c r="J129" s="2">
        <v>104167.2</v>
      </c>
      <c r="K129" s="2">
        <v>104167.2</v>
      </c>
      <c r="L129" s="2">
        <v>104167.2</v>
      </c>
      <c r="M129" s="2">
        <v>104167.2</v>
      </c>
      <c r="N129" s="2">
        <v>104167.2</v>
      </c>
      <c r="O129" s="2">
        <v>104167.2</v>
      </c>
      <c r="P129" s="2">
        <v>104167.2</v>
      </c>
      <c r="Q129" s="2">
        <v>104167.2</v>
      </c>
      <c r="R129" s="2">
        <v>104167.2</v>
      </c>
      <c r="S129" s="2">
        <v>104167.2</v>
      </c>
      <c r="T129" s="2">
        <v>104167.2</v>
      </c>
      <c r="U129" s="2">
        <v>104167.2</v>
      </c>
      <c r="V129" s="2">
        <v>104167.2</v>
      </c>
      <c r="W129" s="2">
        <v>104167.2</v>
      </c>
      <c r="X129" s="2">
        <v>104167.2</v>
      </c>
      <c r="Y129" s="2">
        <v>104167.2</v>
      </c>
      <c r="Z129" s="2">
        <v>104167.2</v>
      </c>
      <c r="AA129" s="2">
        <v>104167.2</v>
      </c>
      <c r="AB129" s="2">
        <v>104167.2</v>
      </c>
      <c r="AC129" s="2">
        <v>104167.2</v>
      </c>
      <c r="AD129" s="2">
        <v>104167.2</v>
      </c>
      <c r="AE129" s="2">
        <v>104167.2</v>
      </c>
      <c r="AF129" s="7">
        <v>104167.2</v>
      </c>
      <c r="AG129" s="9">
        <f t="shared" si="5"/>
        <v>104167.2</v>
      </c>
      <c r="AH129" s="44">
        <v>104167.2</v>
      </c>
    </row>
    <row r="130" spans="1:34" x14ac:dyDescent="0.35">
      <c r="A130" s="27" t="s">
        <v>274</v>
      </c>
      <c r="B130" s="19">
        <v>102824.7</v>
      </c>
      <c r="C130" s="19">
        <v>102824.7</v>
      </c>
      <c r="D130" s="19">
        <v>102824.7</v>
      </c>
      <c r="E130" s="19">
        <v>102824.7</v>
      </c>
      <c r="F130" s="19">
        <v>102824.7</v>
      </c>
      <c r="G130" s="19">
        <v>102824.7</v>
      </c>
      <c r="H130" s="19">
        <v>102824.7</v>
      </c>
      <c r="I130" s="19">
        <v>102824.7</v>
      </c>
      <c r="J130" s="19">
        <v>102824.7</v>
      </c>
      <c r="K130" s="19">
        <v>102824.7</v>
      </c>
      <c r="L130" s="19">
        <v>102824.7</v>
      </c>
      <c r="M130" s="19">
        <v>102824.7</v>
      </c>
      <c r="N130" s="19">
        <v>102824.7</v>
      </c>
      <c r="O130" s="19">
        <v>102824.7</v>
      </c>
      <c r="P130" s="19">
        <v>102824.7</v>
      </c>
      <c r="Q130" s="19">
        <v>102824.7</v>
      </c>
      <c r="R130" s="19">
        <v>102824.7</v>
      </c>
      <c r="S130" s="19">
        <v>102824.7</v>
      </c>
      <c r="T130" s="19">
        <v>102824.7</v>
      </c>
      <c r="U130" s="19">
        <v>102824.7</v>
      </c>
      <c r="V130" s="19">
        <v>102824.7</v>
      </c>
      <c r="W130" s="19">
        <v>102824.7</v>
      </c>
      <c r="X130" s="19">
        <v>102824.7</v>
      </c>
      <c r="Y130" s="19">
        <v>102824.7</v>
      </c>
      <c r="Z130" s="19">
        <v>102824.7</v>
      </c>
      <c r="AA130" s="19">
        <v>102824.7</v>
      </c>
      <c r="AB130" s="19">
        <v>102824.7</v>
      </c>
      <c r="AC130" s="19">
        <v>102824.7</v>
      </c>
      <c r="AD130" s="19">
        <v>102824.7</v>
      </c>
      <c r="AE130" s="19">
        <v>102824.7</v>
      </c>
      <c r="AF130" s="19">
        <v>102824.7</v>
      </c>
      <c r="AG130" s="9">
        <f t="shared" si="5"/>
        <v>102824.7</v>
      </c>
      <c r="AH130" s="44">
        <v>102835</v>
      </c>
    </row>
    <row r="131" spans="1:34" x14ac:dyDescent="0.35">
      <c r="A131" s="27" t="s">
        <v>272</v>
      </c>
      <c r="B131" s="19">
        <v>102048.18999999999</v>
      </c>
      <c r="C131" s="2">
        <v>102048.18999999999</v>
      </c>
      <c r="D131" s="2">
        <v>102048.18999999999</v>
      </c>
      <c r="E131" s="2">
        <v>102048.18999999999</v>
      </c>
      <c r="F131" s="2">
        <v>102048.18999999999</v>
      </c>
      <c r="G131" s="2">
        <v>102048.18999999999</v>
      </c>
      <c r="H131" s="2">
        <v>102048.18999999999</v>
      </c>
      <c r="I131" s="2">
        <v>102048.18999999999</v>
      </c>
      <c r="J131" s="2">
        <v>102048.18999999999</v>
      </c>
      <c r="K131" s="2">
        <v>102048.18999999999</v>
      </c>
      <c r="L131" s="2">
        <v>102048.18999999999</v>
      </c>
      <c r="M131" s="2">
        <v>102048.18999999999</v>
      </c>
      <c r="N131" s="2">
        <v>102048.18999999999</v>
      </c>
      <c r="O131" s="2">
        <v>102048.18999999999</v>
      </c>
      <c r="P131" s="2">
        <v>102048.18999999999</v>
      </c>
      <c r="Q131" s="2">
        <v>102048.18999999999</v>
      </c>
      <c r="R131" s="2">
        <v>102048.18999999999</v>
      </c>
      <c r="S131" s="2">
        <v>102048.18999999999</v>
      </c>
      <c r="T131" s="2">
        <v>102048.18999999999</v>
      </c>
      <c r="U131" s="2">
        <v>102048.18999999999</v>
      </c>
      <c r="V131" s="2">
        <v>102048.18999999999</v>
      </c>
      <c r="W131" s="2">
        <v>102048.18999999999</v>
      </c>
      <c r="X131" s="2">
        <v>102048.18999999999</v>
      </c>
      <c r="Y131" s="2">
        <v>102048.18999999999</v>
      </c>
      <c r="Z131" s="2">
        <v>102048.18999999999</v>
      </c>
      <c r="AA131" s="2">
        <v>102048.18999999999</v>
      </c>
      <c r="AB131" s="2">
        <v>102048.18999999999</v>
      </c>
      <c r="AC131" s="2">
        <v>102048.18999999999</v>
      </c>
      <c r="AD131" s="2">
        <v>102048.18999999999</v>
      </c>
      <c r="AE131" s="2">
        <v>102048.18999999999</v>
      </c>
      <c r="AF131" s="2">
        <v>102048.18999999999</v>
      </c>
      <c r="AG131" s="9">
        <f t="shared" si="5"/>
        <v>102048.18999999999</v>
      </c>
      <c r="AH131" s="44">
        <v>102048.19</v>
      </c>
    </row>
    <row r="132" spans="1:34" x14ac:dyDescent="0.35">
      <c r="A132" s="27" t="s">
        <v>285</v>
      </c>
      <c r="B132" s="19">
        <v>101476.09999999999</v>
      </c>
      <c r="C132" s="2">
        <v>101476.09999999999</v>
      </c>
      <c r="D132" s="2">
        <v>101476.09999999999</v>
      </c>
      <c r="E132" s="2">
        <v>101476.09999999999</v>
      </c>
      <c r="F132" s="2">
        <v>101476.09999999999</v>
      </c>
      <c r="G132" s="2">
        <v>101476.09999999999</v>
      </c>
      <c r="H132" s="2">
        <v>101476.09999999999</v>
      </c>
      <c r="I132" s="2">
        <v>101476.09999999999</v>
      </c>
      <c r="J132" s="2">
        <v>101476.09999999999</v>
      </c>
      <c r="K132" s="2">
        <v>101476.09999999999</v>
      </c>
      <c r="L132" s="2">
        <v>101476.09999999999</v>
      </c>
      <c r="M132" s="2">
        <v>101476.09999999999</v>
      </c>
      <c r="N132" s="2">
        <v>101476.09999999999</v>
      </c>
      <c r="O132" s="2">
        <v>101476.09999999999</v>
      </c>
      <c r="P132" s="2">
        <v>101476.09999999999</v>
      </c>
      <c r="Q132" s="2">
        <v>101476.09999999999</v>
      </c>
      <c r="R132" s="2">
        <v>101476.09999999999</v>
      </c>
      <c r="S132" s="2">
        <v>101476.09999999999</v>
      </c>
      <c r="T132" s="2">
        <v>101476.09999999999</v>
      </c>
      <c r="U132" s="2">
        <v>101476.09999999999</v>
      </c>
      <c r="V132" s="2">
        <v>101476.09999999999</v>
      </c>
      <c r="W132" s="2">
        <v>101476.09999999999</v>
      </c>
      <c r="X132" s="2">
        <v>101476.09999999999</v>
      </c>
      <c r="Y132" s="2">
        <v>101476.09999999999</v>
      </c>
      <c r="Z132" s="2">
        <v>101476.09999999999</v>
      </c>
      <c r="AA132" s="2">
        <v>101476.09999999999</v>
      </c>
      <c r="AB132" s="2">
        <v>101476.09999999999</v>
      </c>
      <c r="AC132" s="2">
        <v>101476.09999999999</v>
      </c>
      <c r="AD132" s="2">
        <v>101476.09999999999</v>
      </c>
      <c r="AE132" s="2">
        <v>101476.09999999999</v>
      </c>
      <c r="AF132" s="7">
        <v>101476.09999999999</v>
      </c>
      <c r="AG132" s="9">
        <f t="shared" si="5"/>
        <v>101476.09999999999</v>
      </c>
      <c r="AH132" s="44">
        <v>101476.1</v>
      </c>
    </row>
    <row r="133" spans="1:34" x14ac:dyDescent="0.35">
      <c r="A133" s="27" t="s">
        <v>306</v>
      </c>
      <c r="B133" s="19">
        <v>100866.39000000003</v>
      </c>
      <c r="C133" s="2">
        <v>100866.39000000003</v>
      </c>
      <c r="D133" s="2">
        <v>100866.39000000003</v>
      </c>
      <c r="E133" s="2">
        <v>100866.39000000003</v>
      </c>
      <c r="F133" s="2">
        <v>100866.39000000003</v>
      </c>
      <c r="G133" s="2">
        <v>100866.39000000003</v>
      </c>
      <c r="H133" s="2">
        <v>100866.39000000003</v>
      </c>
      <c r="I133" s="2">
        <v>100866.39000000003</v>
      </c>
      <c r="J133" s="2">
        <v>100866.39000000003</v>
      </c>
      <c r="K133" s="2">
        <v>100866.39000000003</v>
      </c>
      <c r="L133" s="2">
        <v>100866.39000000003</v>
      </c>
      <c r="M133" s="2">
        <v>100866.39000000003</v>
      </c>
      <c r="N133" s="2">
        <v>100866.39000000003</v>
      </c>
      <c r="O133" s="2">
        <v>100866.39000000003</v>
      </c>
      <c r="P133" s="2">
        <v>100866.39000000003</v>
      </c>
      <c r="Q133" s="2">
        <v>100866.39000000003</v>
      </c>
      <c r="R133" s="2">
        <v>100866.39000000003</v>
      </c>
      <c r="S133" s="2">
        <v>100866.39000000003</v>
      </c>
      <c r="T133" s="2">
        <v>100866.39000000003</v>
      </c>
      <c r="U133" s="2">
        <v>100866.39000000003</v>
      </c>
      <c r="V133" s="2">
        <v>100866.39000000003</v>
      </c>
      <c r="W133" s="2">
        <v>100866.39000000003</v>
      </c>
      <c r="X133" s="2">
        <v>100866.39000000003</v>
      </c>
      <c r="Y133" s="2">
        <v>100866.39000000003</v>
      </c>
      <c r="Z133" s="2">
        <v>100866.39000000003</v>
      </c>
      <c r="AA133" s="2">
        <v>100866.39000000003</v>
      </c>
      <c r="AB133" s="2">
        <v>100866.39000000003</v>
      </c>
      <c r="AC133" s="2">
        <v>100866.39000000003</v>
      </c>
      <c r="AD133" s="2">
        <v>100866.39000000003</v>
      </c>
      <c r="AE133" s="2">
        <v>100866.39000000003</v>
      </c>
      <c r="AF133" s="7">
        <v>100866.39000000003</v>
      </c>
      <c r="AG133" s="9">
        <f t="shared" si="5"/>
        <v>100866.39000000003</v>
      </c>
      <c r="AH133" s="44">
        <v>100866.39</v>
      </c>
    </row>
    <row r="134" spans="1:34" x14ac:dyDescent="0.35">
      <c r="A134" s="28" t="s">
        <v>308</v>
      </c>
      <c r="B134" s="23">
        <v>101852.22</v>
      </c>
      <c r="C134" s="24">
        <v>101852.22</v>
      </c>
      <c r="D134" s="24">
        <v>101852.22</v>
      </c>
      <c r="E134" s="24">
        <v>101852.22</v>
      </c>
      <c r="F134" s="24">
        <v>101852.22</v>
      </c>
      <c r="G134" s="24">
        <v>101852.22</v>
      </c>
      <c r="H134" s="24">
        <v>101852.22</v>
      </c>
      <c r="I134" s="24">
        <v>101852.22</v>
      </c>
      <c r="J134" s="24">
        <v>101852.22</v>
      </c>
      <c r="K134" s="24">
        <v>101852.22</v>
      </c>
      <c r="L134" s="24">
        <v>101852.22</v>
      </c>
      <c r="M134" s="24">
        <v>101852.22</v>
      </c>
      <c r="N134" s="24">
        <v>101852.22</v>
      </c>
      <c r="O134" s="24">
        <v>101852.22</v>
      </c>
      <c r="P134" s="24">
        <v>101852.22</v>
      </c>
      <c r="Q134" s="24">
        <v>101852.22</v>
      </c>
      <c r="R134" s="24">
        <v>101852.22</v>
      </c>
      <c r="S134" s="24">
        <v>101852.22</v>
      </c>
      <c r="T134" s="24">
        <v>101852.22</v>
      </c>
      <c r="U134" s="24">
        <v>101852.22</v>
      </c>
      <c r="V134" s="24">
        <v>101852.22</v>
      </c>
      <c r="W134" s="24">
        <v>101852.22</v>
      </c>
      <c r="X134" s="24">
        <v>101852.22</v>
      </c>
      <c r="Y134" s="24">
        <v>101852.22</v>
      </c>
      <c r="Z134" s="24">
        <v>101852.22</v>
      </c>
      <c r="AA134" s="24">
        <v>101852.22</v>
      </c>
      <c r="AB134" s="24">
        <v>101852.22</v>
      </c>
      <c r="AC134" s="24">
        <v>101852.22</v>
      </c>
      <c r="AD134" s="24">
        <v>101852.22</v>
      </c>
      <c r="AE134" s="24">
        <v>101852.22</v>
      </c>
      <c r="AF134" s="25">
        <v>101852.22</v>
      </c>
      <c r="AG134" s="9">
        <f t="shared" si="5"/>
        <v>101852.22</v>
      </c>
      <c r="AH134" s="44">
        <v>101852.22</v>
      </c>
    </row>
    <row r="135" spans="1:34" ht="15" thickBot="1" x14ac:dyDescent="0.4">
      <c r="A135" s="27" t="s">
        <v>307</v>
      </c>
      <c r="B135" s="19">
        <v>102275.73000000001</v>
      </c>
      <c r="C135" s="2">
        <v>102275.73000000001</v>
      </c>
      <c r="D135" s="2">
        <v>102275.73000000001</v>
      </c>
      <c r="E135" s="2">
        <v>102275.73000000001</v>
      </c>
      <c r="F135" s="2">
        <v>102275.73000000001</v>
      </c>
      <c r="G135" s="2">
        <v>102275.73000000001</v>
      </c>
      <c r="H135" s="2">
        <v>102275.73000000001</v>
      </c>
      <c r="I135" s="2">
        <v>102275.73000000001</v>
      </c>
      <c r="J135" s="2">
        <v>102275.73000000001</v>
      </c>
      <c r="K135" s="2">
        <v>102275.73000000001</v>
      </c>
      <c r="L135" s="2">
        <v>102275.73000000001</v>
      </c>
      <c r="M135" s="2">
        <v>102275.73000000001</v>
      </c>
      <c r="N135" s="2">
        <v>102275.73000000001</v>
      </c>
      <c r="O135" s="2">
        <v>102275.73000000001</v>
      </c>
      <c r="P135" s="2">
        <v>102275.73000000001</v>
      </c>
      <c r="Q135" s="2">
        <v>102275.73000000001</v>
      </c>
      <c r="R135" s="2">
        <v>102275.73000000001</v>
      </c>
      <c r="S135" s="2">
        <v>102275.73000000001</v>
      </c>
      <c r="T135" s="2">
        <v>102275.73000000001</v>
      </c>
      <c r="U135" s="2">
        <v>102275.73000000001</v>
      </c>
      <c r="V135" s="2">
        <v>102275.73000000001</v>
      </c>
      <c r="W135" s="2">
        <v>102275.73000000001</v>
      </c>
      <c r="X135" s="2">
        <v>102275.73000000001</v>
      </c>
      <c r="Y135" s="2">
        <v>102275.73000000001</v>
      </c>
      <c r="Z135" s="2">
        <v>102275.73000000001</v>
      </c>
      <c r="AA135" s="2">
        <v>102275.73000000001</v>
      </c>
      <c r="AB135" s="2">
        <v>102275.73000000001</v>
      </c>
      <c r="AC135" s="2">
        <v>102275.73000000001</v>
      </c>
      <c r="AD135" s="2">
        <v>102275.73000000001</v>
      </c>
      <c r="AE135" s="2">
        <v>102275.73000000001</v>
      </c>
      <c r="AF135" s="2">
        <v>102275.73000000001</v>
      </c>
      <c r="AG135" s="16">
        <f t="shared" si="5"/>
        <v>102275.73000000001</v>
      </c>
      <c r="AH135" s="44">
        <v>102275.73</v>
      </c>
    </row>
    <row r="136" spans="1:34" x14ac:dyDescent="0.35">
      <c r="A136" s="29" t="s">
        <v>273</v>
      </c>
      <c r="B136" s="267">
        <v>112344.72</v>
      </c>
      <c r="C136" s="268">
        <v>112344.72</v>
      </c>
      <c r="D136" s="268">
        <v>112344.72</v>
      </c>
      <c r="E136" s="268">
        <v>112344.72</v>
      </c>
      <c r="F136" s="268">
        <v>112344.72</v>
      </c>
      <c r="G136" s="268">
        <v>112344.72</v>
      </c>
      <c r="H136" s="268">
        <v>112344.72</v>
      </c>
      <c r="I136" s="268">
        <v>112344.72</v>
      </c>
      <c r="J136" s="268">
        <v>112344.72</v>
      </c>
      <c r="K136" s="268">
        <v>112344.72</v>
      </c>
      <c r="L136" s="268">
        <v>112344.72</v>
      </c>
      <c r="M136" s="268">
        <v>112344.72</v>
      </c>
      <c r="N136" s="268">
        <v>112344.72</v>
      </c>
      <c r="O136" s="268">
        <v>112344.72</v>
      </c>
      <c r="P136" s="268">
        <v>112344.72</v>
      </c>
      <c r="Q136" s="268">
        <v>112344.72</v>
      </c>
      <c r="R136" s="268">
        <v>112344.72</v>
      </c>
      <c r="S136" s="268">
        <v>112344.72</v>
      </c>
      <c r="T136" s="268">
        <v>112344.72</v>
      </c>
      <c r="U136" s="268">
        <v>112344.72</v>
      </c>
      <c r="V136" s="268">
        <v>112344.72</v>
      </c>
      <c r="W136" s="268">
        <v>112344.72</v>
      </c>
      <c r="X136" s="268">
        <v>112344.72</v>
      </c>
      <c r="Y136" s="268">
        <v>112344.72</v>
      </c>
      <c r="Z136" s="268">
        <v>112344.72</v>
      </c>
      <c r="AA136" s="268">
        <v>112344.72</v>
      </c>
      <c r="AB136" s="268">
        <v>112344.72</v>
      </c>
      <c r="AC136" s="268">
        <v>112344.72</v>
      </c>
      <c r="AD136" s="268">
        <v>112344.72</v>
      </c>
      <c r="AE136" s="268">
        <v>112344.72</v>
      </c>
      <c r="AF136" s="269">
        <v>112344.72</v>
      </c>
      <c r="AG136" s="254">
        <f t="shared" si="5"/>
        <v>112344.72</v>
      </c>
      <c r="AH136" s="44">
        <v>112344.72</v>
      </c>
    </row>
    <row r="137" spans="1:34" x14ac:dyDescent="0.35">
      <c r="A137" s="30" t="s">
        <v>275</v>
      </c>
      <c r="B137" s="270">
        <v>106250.8</v>
      </c>
      <c r="C137" s="271">
        <v>106250.8</v>
      </c>
      <c r="D137" s="271">
        <v>106250.8</v>
      </c>
      <c r="E137" s="271">
        <v>106250.8</v>
      </c>
      <c r="F137" s="271">
        <v>106250.8</v>
      </c>
      <c r="G137" s="271">
        <v>106250.8</v>
      </c>
      <c r="H137" s="271">
        <v>106250.8</v>
      </c>
      <c r="I137" s="271">
        <v>106250.8</v>
      </c>
      <c r="J137" s="271">
        <v>106250.8</v>
      </c>
      <c r="K137" s="271">
        <v>106250.8</v>
      </c>
      <c r="L137" s="271">
        <v>106250.8</v>
      </c>
      <c r="M137" s="271">
        <v>106250.8</v>
      </c>
      <c r="N137" s="271">
        <v>106250.8</v>
      </c>
      <c r="O137" s="271">
        <v>106250.8</v>
      </c>
      <c r="P137" s="271">
        <v>106250.8</v>
      </c>
      <c r="Q137" s="271">
        <v>106250.8</v>
      </c>
      <c r="R137" s="271">
        <v>106250.8</v>
      </c>
      <c r="S137" s="271">
        <v>106250.8</v>
      </c>
      <c r="T137" s="271">
        <v>106250.8</v>
      </c>
      <c r="U137" s="271">
        <v>106250.8</v>
      </c>
      <c r="V137" s="271">
        <v>106250.8</v>
      </c>
      <c r="W137" s="271">
        <v>106250.8</v>
      </c>
      <c r="X137" s="271">
        <v>106250.8</v>
      </c>
      <c r="Y137" s="271">
        <v>106250.8</v>
      </c>
      <c r="Z137" s="271">
        <v>106250.8</v>
      </c>
      <c r="AA137" s="271">
        <v>106250.8</v>
      </c>
      <c r="AB137" s="271">
        <v>106250.8</v>
      </c>
      <c r="AC137" s="271">
        <v>106250.8</v>
      </c>
      <c r="AD137" s="271">
        <v>106250.8</v>
      </c>
      <c r="AE137" s="271">
        <v>106250.8</v>
      </c>
      <c r="AF137" s="272">
        <v>106250.8</v>
      </c>
      <c r="AG137" s="257">
        <f t="shared" si="5"/>
        <v>106250.8</v>
      </c>
      <c r="AH137" s="44">
        <v>106250.8</v>
      </c>
    </row>
    <row r="138" spans="1:34" x14ac:dyDescent="0.35">
      <c r="A138" s="30" t="s">
        <v>276</v>
      </c>
      <c r="B138" s="270">
        <v>440284</v>
      </c>
      <c r="C138" s="271">
        <v>440284</v>
      </c>
      <c r="D138" s="271">
        <v>440284</v>
      </c>
      <c r="E138" s="271">
        <v>440284</v>
      </c>
      <c r="F138" s="271">
        <v>440284</v>
      </c>
      <c r="G138" s="271">
        <v>440284</v>
      </c>
      <c r="H138" s="271">
        <v>440284</v>
      </c>
      <c r="I138" s="271">
        <v>440284</v>
      </c>
      <c r="J138" s="271">
        <v>440284</v>
      </c>
      <c r="K138" s="271">
        <v>440284</v>
      </c>
      <c r="L138" s="271">
        <v>440284</v>
      </c>
      <c r="M138" s="271">
        <v>440284</v>
      </c>
      <c r="N138" s="271">
        <v>440284</v>
      </c>
      <c r="O138" s="271">
        <v>440284</v>
      </c>
      <c r="P138" s="271">
        <v>440284</v>
      </c>
      <c r="Q138" s="271">
        <v>440284</v>
      </c>
      <c r="R138" s="271">
        <v>440284</v>
      </c>
      <c r="S138" s="271">
        <v>440284</v>
      </c>
      <c r="T138" s="271">
        <v>440284</v>
      </c>
      <c r="U138" s="271">
        <v>440284</v>
      </c>
      <c r="V138" s="271">
        <v>440284</v>
      </c>
      <c r="W138" s="271">
        <v>440284</v>
      </c>
      <c r="X138" s="271">
        <v>440284</v>
      </c>
      <c r="Y138" s="271">
        <v>440284</v>
      </c>
      <c r="Z138" s="271">
        <v>440284</v>
      </c>
      <c r="AA138" s="271">
        <v>440284</v>
      </c>
      <c r="AB138" s="271">
        <v>440284</v>
      </c>
      <c r="AC138" s="271">
        <v>440284</v>
      </c>
      <c r="AD138" s="271">
        <v>440284</v>
      </c>
      <c r="AE138" s="271">
        <v>440284</v>
      </c>
      <c r="AF138" s="272">
        <v>440284</v>
      </c>
      <c r="AG138" s="257">
        <f t="shared" si="5"/>
        <v>440284</v>
      </c>
      <c r="AH138" s="44">
        <v>440284</v>
      </c>
    </row>
    <row r="139" spans="1:34" x14ac:dyDescent="0.35">
      <c r="A139" s="30" t="s">
        <v>277</v>
      </c>
      <c r="B139" s="270">
        <v>439431.32</v>
      </c>
      <c r="C139" s="271">
        <v>439431.32</v>
      </c>
      <c r="D139" s="271">
        <v>439431.32</v>
      </c>
      <c r="E139" s="271">
        <v>439431.32</v>
      </c>
      <c r="F139" s="271">
        <v>439431.32</v>
      </c>
      <c r="G139" s="271">
        <v>439431.32</v>
      </c>
      <c r="H139" s="271">
        <v>439431.32</v>
      </c>
      <c r="I139" s="271">
        <v>439431.32</v>
      </c>
      <c r="J139" s="271">
        <v>439431.32</v>
      </c>
      <c r="K139" s="271">
        <v>439431.32</v>
      </c>
      <c r="L139" s="271">
        <v>439431.32</v>
      </c>
      <c r="M139" s="271">
        <v>439431.32</v>
      </c>
      <c r="N139" s="271">
        <v>439431.32</v>
      </c>
      <c r="O139" s="271">
        <v>439431.32</v>
      </c>
      <c r="P139" s="271">
        <v>439431.32</v>
      </c>
      <c r="Q139" s="271">
        <v>439431.32</v>
      </c>
      <c r="R139" s="271">
        <v>439431.32</v>
      </c>
      <c r="S139" s="271">
        <v>439431.32</v>
      </c>
      <c r="T139" s="271">
        <v>439431.32</v>
      </c>
      <c r="U139" s="271">
        <v>439431.32</v>
      </c>
      <c r="V139" s="271">
        <v>439431.32</v>
      </c>
      <c r="W139" s="271">
        <v>439431.32</v>
      </c>
      <c r="X139" s="271">
        <v>439431.32</v>
      </c>
      <c r="Y139" s="271">
        <v>439431.32</v>
      </c>
      <c r="Z139" s="271">
        <v>439431.32</v>
      </c>
      <c r="AA139" s="271">
        <v>439431.32</v>
      </c>
      <c r="AB139" s="271">
        <v>439431.32</v>
      </c>
      <c r="AC139" s="271">
        <v>439431.32</v>
      </c>
      <c r="AD139" s="271">
        <v>439431.32</v>
      </c>
      <c r="AE139" s="271">
        <v>439431.32</v>
      </c>
      <c r="AF139" s="272">
        <v>439431.32</v>
      </c>
      <c r="AG139" s="257">
        <f t="shared" si="5"/>
        <v>439431.32</v>
      </c>
      <c r="AH139" s="44">
        <v>439431.32</v>
      </c>
    </row>
    <row r="140" spans="1:34" x14ac:dyDescent="0.35">
      <c r="A140" s="30" t="s">
        <v>278</v>
      </c>
      <c r="B140" s="270">
        <v>413696</v>
      </c>
      <c r="C140" s="271">
        <v>413696</v>
      </c>
      <c r="D140" s="271">
        <v>413696</v>
      </c>
      <c r="E140" s="271">
        <v>413696</v>
      </c>
      <c r="F140" s="271">
        <v>413696</v>
      </c>
      <c r="G140" s="271">
        <v>413696</v>
      </c>
      <c r="H140" s="271">
        <v>413696</v>
      </c>
      <c r="I140" s="271">
        <v>413696</v>
      </c>
      <c r="J140" s="271">
        <v>413696</v>
      </c>
      <c r="K140" s="271">
        <v>413696</v>
      </c>
      <c r="L140" s="271">
        <v>413696</v>
      </c>
      <c r="M140" s="271">
        <v>413696</v>
      </c>
      <c r="N140" s="271">
        <v>413696</v>
      </c>
      <c r="O140" s="271">
        <v>413696</v>
      </c>
      <c r="P140" s="271">
        <v>413696</v>
      </c>
      <c r="Q140" s="271">
        <v>413696</v>
      </c>
      <c r="R140" s="271">
        <v>413696</v>
      </c>
      <c r="S140" s="271">
        <v>413696</v>
      </c>
      <c r="T140" s="271">
        <v>413696</v>
      </c>
      <c r="U140" s="271">
        <v>413696</v>
      </c>
      <c r="V140" s="271">
        <v>413696</v>
      </c>
      <c r="W140" s="271">
        <v>413696</v>
      </c>
      <c r="X140" s="271">
        <v>413696</v>
      </c>
      <c r="Y140" s="271">
        <v>413696</v>
      </c>
      <c r="Z140" s="271">
        <v>413696</v>
      </c>
      <c r="AA140" s="271">
        <v>413696</v>
      </c>
      <c r="AB140" s="271">
        <v>413696</v>
      </c>
      <c r="AC140" s="271">
        <v>413696</v>
      </c>
      <c r="AD140" s="271">
        <v>413696</v>
      </c>
      <c r="AE140" s="271">
        <v>413696</v>
      </c>
      <c r="AF140" s="272">
        <v>413696</v>
      </c>
      <c r="AG140" s="257">
        <f t="shared" si="5"/>
        <v>413696</v>
      </c>
      <c r="AH140" s="44">
        <v>413696</v>
      </c>
    </row>
    <row r="141" spans="1:34" x14ac:dyDescent="0.35">
      <c r="A141" s="30" t="s">
        <v>279</v>
      </c>
      <c r="B141" s="270">
        <v>427433.6</v>
      </c>
      <c r="C141" s="271">
        <v>427433.6</v>
      </c>
      <c r="D141" s="271">
        <v>427433.6</v>
      </c>
      <c r="E141" s="271">
        <v>427433.6</v>
      </c>
      <c r="F141" s="271">
        <v>427433.6</v>
      </c>
      <c r="G141" s="271">
        <v>427433.6</v>
      </c>
      <c r="H141" s="271">
        <v>427433.6</v>
      </c>
      <c r="I141" s="271">
        <v>427433.6</v>
      </c>
      <c r="J141" s="271">
        <v>427433.6</v>
      </c>
      <c r="K141" s="271">
        <v>427433.6</v>
      </c>
      <c r="L141" s="271">
        <v>427433.6</v>
      </c>
      <c r="M141" s="271">
        <v>427433.6</v>
      </c>
      <c r="N141" s="271">
        <v>427433.6</v>
      </c>
      <c r="O141" s="271">
        <v>427433.6</v>
      </c>
      <c r="P141" s="271">
        <v>427433.6</v>
      </c>
      <c r="Q141" s="271">
        <v>427433.6</v>
      </c>
      <c r="R141" s="271">
        <v>427433.6</v>
      </c>
      <c r="S141" s="271">
        <v>427433.6</v>
      </c>
      <c r="T141" s="271">
        <v>427433.6</v>
      </c>
      <c r="U141" s="271">
        <v>427433.6</v>
      </c>
      <c r="V141" s="271">
        <v>427433.6</v>
      </c>
      <c r="W141" s="271">
        <v>427433.6</v>
      </c>
      <c r="X141" s="271">
        <v>427433.6</v>
      </c>
      <c r="Y141" s="271">
        <v>427433.6</v>
      </c>
      <c r="Z141" s="271">
        <v>427433.6</v>
      </c>
      <c r="AA141" s="271">
        <v>427433.6</v>
      </c>
      <c r="AB141" s="271">
        <v>427433.6</v>
      </c>
      <c r="AC141" s="271">
        <v>427433.6</v>
      </c>
      <c r="AD141" s="271">
        <v>427433.6</v>
      </c>
      <c r="AE141" s="271">
        <v>427433.6</v>
      </c>
      <c r="AF141" s="272">
        <v>427433.6</v>
      </c>
      <c r="AG141" s="257">
        <f t="shared" si="5"/>
        <v>427433.6</v>
      </c>
      <c r="AH141" s="44">
        <v>427433.6</v>
      </c>
    </row>
    <row r="142" spans="1:34" x14ac:dyDescent="0.35">
      <c r="A142" s="30" t="s">
        <v>280</v>
      </c>
      <c r="B142" s="270">
        <v>417240</v>
      </c>
      <c r="C142" s="271">
        <v>417240</v>
      </c>
      <c r="D142" s="271">
        <v>417240</v>
      </c>
      <c r="E142" s="271">
        <v>417240</v>
      </c>
      <c r="F142" s="271">
        <v>417240</v>
      </c>
      <c r="G142" s="271">
        <v>417240</v>
      </c>
      <c r="H142" s="271">
        <v>417240</v>
      </c>
      <c r="I142" s="271">
        <v>417240</v>
      </c>
      <c r="J142" s="271">
        <v>417240</v>
      </c>
      <c r="K142" s="271">
        <v>417240</v>
      </c>
      <c r="L142" s="271">
        <v>417240</v>
      </c>
      <c r="M142" s="271">
        <v>417240</v>
      </c>
      <c r="N142" s="271">
        <v>417240</v>
      </c>
      <c r="O142" s="271">
        <v>417240</v>
      </c>
      <c r="P142" s="271">
        <v>417240</v>
      </c>
      <c r="Q142" s="271">
        <v>417240</v>
      </c>
      <c r="R142" s="271">
        <v>417240</v>
      </c>
      <c r="S142" s="271">
        <v>417240</v>
      </c>
      <c r="T142" s="271">
        <v>417240</v>
      </c>
      <c r="U142" s="271">
        <v>417240</v>
      </c>
      <c r="V142" s="271">
        <v>417240</v>
      </c>
      <c r="W142" s="271">
        <v>417240</v>
      </c>
      <c r="X142" s="271">
        <v>417240</v>
      </c>
      <c r="Y142" s="271">
        <v>417240</v>
      </c>
      <c r="Z142" s="271">
        <v>417240</v>
      </c>
      <c r="AA142" s="271">
        <v>417240</v>
      </c>
      <c r="AB142" s="271">
        <v>417240</v>
      </c>
      <c r="AC142" s="271">
        <v>417240</v>
      </c>
      <c r="AD142" s="271">
        <v>417240</v>
      </c>
      <c r="AE142" s="271">
        <v>417240</v>
      </c>
      <c r="AF142" s="272">
        <v>417240</v>
      </c>
      <c r="AG142" s="257">
        <f t="shared" si="5"/>
        <v>417240</v>
      </c>
      <c r="AH142" s="44">
        <v>417240</v>
      </c>
    </row>
    <row r="143" spans="1:34" x14ac:dyDescent="0.35">
      <c r="A143" s="30" t="s">
        <v>281</v>
      </c>
      <c r="B143" s="270">
        <v>415256</v>
      </c>
      <c r="C143" s="271">
        <v>415256</v>
      </c>
      <c r="D143" s="271">
        <v>415256</v>
      </c>
      <c r="E143" s="271">
        <v>415256</v>
      </c>
      <c r="F143" s="271">
        <v>415256</v>
      </c>
      <c r="G143" s="271">
        <v>415256</v>
      </c>
      <c r="H143" s="271">
        <v>415256</v>
      </c>
      <c r="I143" s="271">
        <v>415256</v>
      </c>
      <c r="J143" s="271">
        <v>415256</v>
      </c>
      <c r="K143" s="271">
        <v>415256</v>
      </c>
      <c r="L143" s="271">
        <v>415256</v>
      </c>
      <c r="M143" s="271">
        <v>415256</v>
      </c>
      <c r="N143" s="271">
        <v>415256</v>
      </c>
      <c r="O143" s="271">
        <v>415256</v>
      </c>
      <c r="P143" s="271">
        <v>415256</v>
      </c>
      <c r="Q143" s="271">
        <v>415256</v>
      </c>
      <c r="R143" s="271">
        <v>415256</v>
      </c>
      <c r="S143" s="271">
        <v>415256</v>
      </c>
      <c r="T143" s="271">
        <v>415256</v>
      </c>
      <c r="U143" s="271">
        <v>415256</v>
      </c>
      <c r="V143" s="271">
        <v>415256</v>
      </c>
      <c r="W143" s="271">
        <v>415256</v>
      </c>
      <c r="X143" s="271">
        <v>415256</v>
      </c>
      <c r="Y143" s="271">
        <v>415256</v>
      </c>
      <c r="Z143" s="271">
        <v>415256</v>
      </c>
      <c r="AA143" s="271">
        <v>415256</v>
      </c>
      <c r="AB143" s="271">
        <v>415256</v>
      </c>
      <c r="AC143" s="271">
        <v>415256</v>
      </c>
      <c r="AD143" s="271">
        <v>415256</v>
      </c>
      <c r="AE143" s="271">
        <v>415256</v>
      </c>
      <c r="AF143" s="272">
        <v>415256</v>
      </c>
      <c r="AG143" s="257">
        <f t="shared" si="5"/>
        <v>415256</v>
      </c>
      <c r="AH143" s="44">
        <v>415256</v>
      </c>
    </row>
    <row r="144" spans="1:34" x14ac:dyDescent="0.35">
      <c r="A144" s="30" t="s">
        <v>282</v>
      </c>
      <c r="B144" s="270">
        <v>398196.04</v>
      </c>
      <c r="C144" s="271">
        <v>398196.04</v>
      </c>
      <c r="D144" s="271">
        <v>398196.04</v>
      </c>
      <c r="E144" s="271">
        <v>398196.04</v>
      </c>
      <c r="F144" s="271">
        <v>398196.04</v>
      </c>
      <c r="G144" s="271">
        <v>398196.04</v>
      </c>
      <c r="H144" s="271">
        <v>398196.04</v>
      </c>
      <c r="I144" s="271">
        <v>398196.04</v>
      </c>
      <c r="J144" s="271">
        <v>398196.04</v>
      </c>
      <c r="K144" s="271">
        <v>398196.04</v>
      </c>
      <c r="L144" s="271">
        <v>398196.04</v>
      </c>
      <c r="M144" s="271">
        <v>398196.04</v>
      </c>
      <c r="N144" s="271">
        <v>398196.04</v>
      </c>
      <c r="O144" s="271">
        <v>398196.04</v>
      </c>
      <c r="P144" s="271">
        <v>398196.04</v>
      </c>
      <c r="Q144" s="271">
        <v>398196.04</v>
      </c>
      <c r="R144" s="271">
        <v>398196.04</v>
      </c>
      <c r="S144" s="271">
        <v>398196.04</v>
      </c>
      <c r="T144" s="271">
        <v>398196.04</v>
      </c>
      <c r="U144" s="271">
        <v>398196.04</v>
      </c>
      <c r="V144" s="271">
        <v>398196.04</v>
      </c>
      <c r="W144" s="271">
        <v>398196.04</v>
      </c>
      <c r="X144" s="271">
        <v>398196.04</v>
      </c>
      <c r="Y144" s="271">
        <v>398196.04</v>
      </c>
      <c r="Z144" s="271">
        <v>398196.04</v>
      </c>
      <c r="AA144" s="271">
        <v>398196.04</v>
      </c>
      <c r="AB144" s="271">
        <v>398196.04</v>
      </c>
      <c r="AC144" s="271">
        <v>398196.04</v>
      </c>
      <c r="AD144" s="271">
        <v>398196.04</v>
      </c>
      <c r="AE144" s="271">
        <v>398196.04</v>
      </c>
      <c r="AF144" s="272">
        <v>398196.04</v>
      </c>
      <c r="AG144" s="257">
        <f t="shared" si="5"/>
        <v>398196.04</v>
      </c>
      <c r="AH144" s="44">
        <v>398196.04</v>
      </c>
    </row>
    <row r="145" spans="1:34" x14ac:dyDescent="0.35">
      <c r="A145" s="30" t="s">
        <v>283</v>
      </c>
      <c r="B145" s="270">
        <v>433469</v>
      </c>
      <c r="C145" s="271">
        <v>433469</v>
      </c>
      <c r="D145" s="271">
        <v>433469</v>
      </c>
      <c r="E145" s="271">
        <v>433469</v>
      </c>
      <c r="F145" s="271">
        <v>433469</v>
      </c>
      <c r="G145" s="271">
        <v>433469</v>
      </c>
      <c r="H145" s="271">
        <v>433469</v>
      </c>
      <c r="I145" s="271">
        <v>433469</v>
      </c>
      <c r="J145" s="271">
        <v>433469</v>
      </c>
      <c r="K145" s="271">
        <v>433469</v>
      </c>
      <c r="L145" s="271">
        <v>433469</v>
      </c>
      <c r="M145" s="271">
        <v>433469</v>
      </c>
      <c r="N145" s="271">
        <v>433469</v>
      </c>
      <c r="O145" s="271">
        <v>433469</v>
      </c>
      <c r="P145" s="271">
        <v>433469</v>
      </c>
      <c r="Q145" s="271">
        <v>433469</v>
      </c>
      <c r="R145" s="271">
        <v>433469</v>
      </c>
      <c r="S145" s="271">
        <v>433469</v>
      </c>
      <c r="T145" s="271">
        <v>433469</v>
      </c>
      <c r="U145" s="271">
        <v>433469</v>
      </c>
      <c r="V145" s="271">
        <v>433469</v>
      </c>
      <c r="W145" s="271">
        <v>433469</v>
      </c>
      <c r="X145" s="271">
        <v>433469</v>
      </c>
      <c r="Y145" s="271">
        <v>433469</v>
      </c>
      <c r="Z145" s="271">
        <v>433469</v>
      </c>
      <c r="AA145" s="271">
        <v>433469</v>
      </c>
      <c r="AB145" s="271">
        <v>433469</v>
      </c>
      <c r="AC145" s="271">
        <v>433469</v>
      </c>
      <c r="AD145" s="271">
        <v>433469</v>
      </c>
      <c r="AE145" s="271">
        <v>433469</v>
      </c>
      <c r="AF145" s="272">
        <v>433469</v>
      </c>
      <c r="AG145" s="257">
        <f t="shared" si="5"/>
        <v>433469</v>
      </c>
      <c r="AH145" s="44">
        <v>433469</v>
      </c>
    </row>
    <row r="146" spans="1:34" x14ac:dyDescent="0.35">
      <c r="A146" s="30" t="s">
        <v>284</v>
      </c>
      <c r="B146" s="270">
        <v>416804</v>
      </c>
      <c r="C146" s="271">
        <v>416804</v>
      </c>
      <c r="D146" s="271">
        <v>416804</v>
      </c>
      <c r="E146" s="271">
        <v>416804</v>
      </c>
      <c r="F146" s="271">
        <v>416804</v>
      </c>
      <c r="G146" s="271">
        <v>416804</v>
      </c>
      <c r="H146" s="271">
        <v>416804</v>
      </c>
      <c r="I146" s="271">
        <v>416804</v>
      </c>
      <c r="J146" s="271">
        <v>416804</v>
      </c>
      <c r="K146" s="271">
        <v>416804</v>
      </c>
      <c r="L146" s="271">
        <v>416804</v>
      </c>
      <c r="M146" s="271">
        <v>416804</v>
      </c>
      <c r="N146" s="271">
        <v>416804</v>
      </c>
      <c r="O146" s="271">
        <v>416804</v>
      </c>
      <c r="P146" s="271">
        <v>416804</v>
      </c>
      <c r="Q146" s="271">
        <v>416804</v>
      </c>
      <c r="R146" s="271">
        <v>416804</v>
      </c>
      <c r="S146" s="271">
        <v>416804</v>
      </c>
      <c r="T146" s="271">
        <v>416804</v>
      </c>
      <c r="U146" s="271">
        <v>416804</v>
      </c>
      <c r="V146" s="271">
        <v>416804</v>
      </c>
      <c r="W146" s="271">
        <v>416804</v>
      </c>
      <c r="X146" s="271">
        <v>416804</v>
      </c>
      <c r="Y146" s="271">
        <v>416804</v>
      </c>
      <c r="Z146" s="271">
        <v>416804</v>
      </c>
      <c r="AA146" s="271">
        <v>416804</v>
      </c>
      <c r="AB146" s="271">
        <v>416804</v>
      </c>
      <c r="AC146" s="271">
        <v>416804</v>
      </c>
      <c r="AD146" s="271">
        <v>416804</v>
      </c>
      <c r="AE146" s="271">
        <v>416804</v>
      </c>
      <c r="AF146" s="272">
        <v>416804</v>
      </c>
      <c r="AG146" s="257">
        <f t="shared" si="5"/>
        <v>416804</v>
      </c>
      <c r="AH146" s="44">
        <v>416804</v>
      </c>
    </row>
    <row r="147" spans="1:34" x14ac:dyDescent="0.35">
      <c r="A147" s="30" t="s">
        <v>286</v>
      </c>
      <c r="B147" s="270">
        <v>407088</v>
      </c>
      <c r="C147" s="271">
        <v>407088</v>
      </c>
      <c r="D147" s="271">
        <v>407088</v>
      </c>
      <c r="E147" s="271">
        <v>407088</v>
      </c>
      <c r="F147" s="271">
        <v>407088</v>
      </c>
      <c r="G147" s="271">
        <v>407088</v>
      </c>
      <c r="H147" s="271">
        <v>407088</v>
      </c>
      <c r="I147" s="271">
        <v>407088</v>
      </c>
      <c r="J147" s="271">
        <v>407088</v>
      </c>
      <c r="K147" s="271">
        <v>407088</v>
      </c>
      <c r="L147" s="271">
        <v>407088</v>
      </c>
      <c r="M147" s="271">
        <v>407088</v>
      </c>
      <c r="N147" s="271">
        <v>407088</v>
      </c>
      <c r="O147" s="271">
        <v>407088</v>
      </c>
      <c r="P147" s="271">
        <v>407088</v>
      </c>
      <c r="Q147" s="271">
        <v>407088</v>
      </c>
      <c r="R147" s="271">
        <v>407088</v>
      </c>
      <c r="S147" s="271">
        <v>407088</v>
      </c>
      <c r="T147" s="271">
        <v>407088</v>
      </c>
      <c r="U147" s="271">
        <v>407088</v>
      </c>
      <c r="V147" s="271">
        <v>407088</v>
      </c>
      <c r="W147" s="271">
        <v>407088</v>
      </c>
      <c r="X147" s="271">
        <v>407088</v>
      </c>
      <c r="Y147" s="271">
        <v>407088</v>
      </c>
      <c r="Z147" s="271">
        <v>407088</v>
      </c>
      <c r="AA147" s="271">
        <v>407088</v>
      </c>
      <c r="AB147" s="271">
        <v>407088</v>
      </c>
      <c r="AC147" s="271">
        <v>407088</v>
      </c>
      <c r="AD147" s="271">
        <v>407088</v>
      </c>
      <c r="AE147" s="271">
        <v>407088</v>
      </c>
      <c r="AF147" s="272">
        <v>407088</v>
      </c>
      <c r="AG147" s="257">
        <f t="shared" si="5"/>
        <v>407088</v>
      </c>
      <c r="AH147" s="44">
        <v>407088</v>
      </c>
    </row>
    <row r="148" spans="1:34" x14ac:dyDescent="0.35">
      <c r="A148" s="30" t="s">
        <v>287</v>
      </c>
      <c r="B148" s="270">
        <v>415152</v>
      </c>
      <c r="C148" s="271">
        <v>415152</v>
      </c>
      <c r="D148" s="271">
        <v>415152</v>
      </c>
      <c r="E148" s="271">
        <v>415152</v>
      </c>
      <c r="F148" s="271">
        <v>415152</v>
      </c>
      <c r="G148" s="271">
        <v>415152</v>
      </c>
      <c r="H148" s="271">
        <v>415152</v>
      </c>
      <c r="I148" s="271">
        <v>415152</v>
      </c>
      <c r="J148" s="271">
        <v>415152</v>
      </c>
      <c r="K148" s="271">
        <v>415152</v>
      </c>
      <c r="L148" s="271">
        <v>415152</v>
      </c>
      <c r="M148" s="271">
        <v>415152</v>
      </c>
      <c r="N148" s="271">
        <v>415152</v>
      </c>
      <c r="O148" s="271">
        <v>415152</v>
      </c>
      <c r="P148" s="271">
        <v>415152</v>
      </c>
      <c r="Q148" s="271">
        <v>415152</v>
      </c>
      <c r="R148" s="271">
        <v>415152</v>
      </c>
      <c r="S148" s="271">
        <v>415152</v>
      </c>
      <c r="T148" s="271">
        <v>415152</v>
      </c>
      <c r="U148" s="271">
        <v>415152</v>
      </c>
      <c r="V148" s="271">
        <v>415152</v>
      </c>
      <c r="W148" s="271">
        <v>415152</v>
      </c>
      <c r="X148" s="271">
        <v>415152</v>
      </c>
      <c r="Y148" s="271">
        <v>415152</v>
      </c>
      <c r="Z148" s="271">
        <v>415152</v>
      </c>
      <c r="AA148" s="271">
        <v>415152</v>
      </c>
      <c r="AB148" s="271">
        <v>415152</v>
      </c>
      <c r="AC148" s="271">
        <v>415152</v>
      </c>
      <c r="AD148" s="271">
        <v>415152</v>
      </c>
      <c r="AE148" s="271">
        <v>415152</v>
      </c>
      <c r="AF148" s="272">
        <v>415152</v>
      </c>
      <c r="AG148" s="257">
        <f t="shared" si="5"/>
        <v>415152</v>
      </c>
      <c r="AH148" s="44">
        <v>415152</v>
      </c>
    </row>
    <row r="149" spans="1:34" x14ac:dyDescent="0.35">
      <c r="A149" s="30" t="s">
        <v>288</v>
      </c>
      <c r="B149" s="270">
        <v>410628</v>
      </c>
      <c r="C149" s="271">
        <v>410628</v>
      </c>
      <c r="D149" s="271">
        <v>410628</v>
      </c>
      <c r="E149" s="271">
        <v>410628</v>
      </c>
      <c r="F149" s="271">
        <v>410628</v>
      </c>
      <c r="G149" s="271">
        <v>410628</v>
      </c>
      <c r="H149" s="271">
        <v>410628</v>
      </c>
      <c r="I149" s="271">
        <v>410628</v>
      </c>
      <c r="J149" s="271">
        <v>410628</v>
      </c>
      <c r="K149" s="271">
        <v>410628</v>
      </c>
      <c r="L149" s="271">
        <v>410628</v>
      </c>
      <c r="M149" s="271">
        <v>410628</v>
      </c>
      <c r="N149" s="271">
        <v>410628</v>
      </c>
      <c r="O149" s="271">
        <v>410628</v>
      </c>
      <c r="P149" s="271">
        <v>410628</v>
      </c>
      <c r="Q149" s="271">
        <v>410628</v>
      </c>
      <c r="R149" s="271">
        <v>410628</v>
      </c>
      <c r="S149" s="271">
        <v>410628</v>
      </c>
      <c r="T149" s="271">
        <v>410628</v>
      </c>
      <c r="U149" s="271">
        <v>410628</v>
      </c>
      <c r="V149" s="271">
        <v>410628</v>
      </c>
      <c r="W149" s="271">
        <v>410628</v>
      </c>
      <c r="X149" s="271">
        <v>410628</v>
      </c>
      <c r="Y149" s="271">
        <v>410628</v>
      </c>
      <c r="Z149" s="271">
        <v>410628</v>
      </c>
      <c r="AA149" s="271">
        <v>410628</v>
      </c>
      <c r="AB149" s="271">
        <v>410628</v>
      </c>
      <c r="AC149" s="271">
        <v>410628</v>
      </c>
      <c r="AD149" s="271">
        <v>410628</v>
      </c>
      <c r="AE149" s="271">
        <v>410628</v>
      </c>
      <c r="AF149" s="272">
        <v>410628</v>
      </c>
      <c r="AG149" s="257">
        <f t="shared" si="5"/>
        <v>410628</v>
      </c>
      <c r="AH149" s="44">
        <v>410628</v>
      </c>
    </row>
    <row r="150" spans="1:34" x14ac:dyDescent="0.35">
      <c r="A150" s="30" t="s">
        <v>289</v>
      </c>
      <c r="B150" s="270">
        <v>430174.36</v>
      </c>
      <c r="C150" s="271">
        <v>430174.36</v>
      </c>
      <c r="D150" s="271">
        <v>430174.36</v>
      </c>
      <c r="E150" s="271">
        <v>430174.36</v>
      </c>
      <c r="F150" s="271">
        <v>430174.36</v>
      </c>
      <c r="G150" s="271">
        <v>430174.36</v>
      </c>
      <c r="H150" s="271">
        <v>430174.36</v>
      </c>
      <c r="I150" s="271">
        <v>430174.36</v>
      </c>
      <c r="J150" s="271">
        <v>430174.36</v>
      </c>
      <c r="K150" s="271">
        <v>430174.36</v>
      </c>
      <c r="L150" s="271">
        <v>430174.36</v>
      </c>
      <c r="M150" s="271">
        <v>430174.36</v>
      </c>
      <c r="N150" s="271">
        <v>430174.36</v>
      </c>
      <c r="O150" s="271">
        <v>430174.36</v>
      </c>
      <c r="P150" s="271">
        <v>430174.36</v>
      </c>
      <c r="Q150" s="271">
        <v>430174.36</v>
      </c>
      <c r="R150" s="271">
        <v>430174.36</v>
      </c>
      <c r="S150" s="271">
        <v>430174.36</v>
      </c>
      <c r="T150" s="271">
        <v>430174.36</v>
      </c>
      <c r="U150" s="271">
        <v>430174.36</v>
      </c>
      <c r="V150" s="271">
        <v>430174.36</v>
      </c>
      <c r="W150" s="271">
        <v>430174.36</v>
      </c>
      <c r="X150" s="271">
        <v>430174.36</v>
      </c>
      <c r="Y150" s="271">
        <v>430174.36</v>
      </c>
      <c r="Z150" s="271">
        <v>430174.36</v>
      </c>
      <c r="AA150" s="271">
        <v>430174.36</v>
      </c>
      <c r="AB150" s="271">
        <v>430174.36</v>
      </c>
      <c r="AC150" s="271">
        <v>430174.36</v>
      </c>
      <c r="AD150" s="271">
        <v>430174.36</v>
      </c>
      <c r="AE150" s="271">
        <v>430174.36</v>
      </c>
      <c r="AF150" s="272">
        <v>430174.36</v>
      </c>
      <c r="AG150" s="257">
        <f t="shared" si="5"/>
        <v>430174.36</v>
      </c>
      <c r="AH150" s="44">
        <v>430174.36</v>
      </c>
    </row>
    <row r="151" spans="1:34" x14ac:dyDescent="0.35">
      <c r="A151" s="30" t="s">
        <v>290</v>
      </c>
      <c r="B151" s="270">
        <v>410516</v>
      </c>
      <c r="C151" s="271">
        <v>410516</v>
      </c>
      <c r="D151" s="271">
        <v>410516</v>
      </c>
      <c r="E151" s="271">
        <v>410516</v>
      </c>
      <c r="F151" s="271">
        <v>410516</v>
      </c>
      <c r="G151" s="271">
        <v>410516</v>
      </c>
      <c r="H151" s="271">
        <v>410516</v>
      </c>
      <c r="I151" s="271">
        <v>410516</v>
      </c>
      <c r="J151" s="271">
        <v>410516</v>
      </c>
      <c r="K151" s="271">
        <v>410516</v>
      </c>
      <c r="L151" s="271">
        <v>410516</v>
      </c>
      <c r="M151" s="271">
        <v>410516</v>
      </c>
      <c r="N151" s="271">
        <v>410516</v>
      </c>
      <c r="O151" s="271">
        <v>410516</v>
      </c>
      <c r="P151" s="271">
        <v>410516</v>
      </c>
      <c r="Q151" s="271">
        <v>410516</v>
      </c>
      <c r="R151" s="271">
        <v>410516</v>
      </c>
      <c r="S151" s="271">
        <v>410516</v>
      </c>
      <c r="T151" s="271">
        <v>410516</v>
      </c>
      <c r="U151" s="271">
        <v>410516</v>
      </c>
      <c r="V151" s="271">
        <v>410516</v>
      </c>
      <c r="W151" s="271">
        <v>410516</v>
      </c>
      <c r="X151" s="271">
        <v>410516</v>
      </c>
      <c r="Y151" s="271">
        <v>410516</v>
      </c>
      <c r="Z151" s="271">
        <v>410516</v>
      </c>
      <c r="AA151" s="271">
        <v>410516</v>
      </c>
      <c r="AB151" s="271">
        <v>410516</v>
      </c>
      <c r="AC151" s="271">
        <v>410516</v>
      </c>
      <c r="AD151" s="271">
        <v>410516</v>
      </c>
      <c r="AE151" s="271">
        <v>410516</v>
      </c>
      <c r="AF151" s="272">
        <v>410516</v>
      </c>
      <c r="AG151" s="257">
        <f t="shared" si="5"/>
        <v>410516</v>
      </c>
      <c r="AH151" s="44">
        <v>410516</v>
      </c>
    </row>
    <row r="152" spans="1:34" x14ac:dyDescent="0.35">
      <c r="A152" s="30" t="s">
        <v>291</v>
      </c>
      <c r="B152" s="270">
        <v>404897.6</v>
      </c>
      <c r="C152" s="271">
        <v>404897.6</v>
      </c>
      <c r="D152" s="271">
        <v>404897.6</v>
      </c>
      <c r="E152" s="271">
        <v>404897.6</v>
      </c>
      <c r="F152" s="271">
        <v>404897.6</v>
      </c>
      <c r="G152" s="271">
        <v>404897.6</v>
      </c>
      <c r="H152" s="271">
        <v>404897.6</v>
      </c>
      <c r="I152" s="271">
        <v>404897.6</v>
      </c>
      <c r="J152" s="271">
        <v>404897.6</v>
      </c>
      <c r="K152" s="271">
        <v>404897.6</v>
      </c>
      <c r="L152" s="271">
        <v>404897.6</v>
      </c>
      <c r="M152" s="271">
        <v>404897.6</v>
      </c>
      <c r="N152" s="271">
        <v>404897.6</v>
      </c>
      <c r="O152" s="271">
        <v>404897.6</v>
      </c>
      <c r="P152" s="271">
        <v>404897.6</v>
      </c>
      <c r="Q152" s="271">
        <v>404897.6</v>
      </c>
      <c r="R152" s="271">
        <v>404897.6</v>
      </c>
      <c r="S152" s="271">
        <v>404897.6</v>
      </c>
      <c r="T152" s="271">
        <v>404897.6</v>
      </c>
      <c r="U152" s="271">
        <v>404897.6</v>
      </c>
      <c r="V152" s="271">
        <v>404897.6</v>
      </c>
      <c r="W152" s="271">
        <v>404897.6</v>
      </c>
      <c r="X152" s="271">
        <v>404897.6</v>
      </c>
      <c r="Y152" s="271">
        <v>404897.6</v>
      </c>
      <c r="Z152" s="271">
        <v>404897.6</v>
      </c>
      <c r="AA152" s="271">
        <v>404897.6</v>
      </c>
      <c r="AB152" s="271">
        <v>404897.6</v>
      </c>
      <c r="AC152" s="271">
        <v>404897.6</v>
      </c>
      <c r="AD152" s="271">
        <v>404897.6</v>
      </c>
      <c r="AE152" s="271">
        <v>404897.6</v>
      </c>
      <c r="AF152" s="272">
        <v>404897.6</v>
      </c>
      <c r="AG152" s="257">
        <f t="shared" si="5"/>
        <v>404897.6</v>
      </c>
      <c r="AH152" s="44">
        <v>404897.6</v>
      </c>
    </row>
    <row r="153" spans="1:34" x14ac:dyDescent="0.35">
      <c r="A153" s="30" t="s">
        <v>292</v>
      </c>
      <c r="B153" s="270">
        <v>427666.8</v>
      </c>
      <c r="C153" s="271">
        <v>427666.8</v>
      </c>
      <c r="D153" s="271">
        <v>427666.8</v>
      </c>
      <c r="E153" s="271">
        <v>427666.8</v>
      </c>
      <c r="F153" s="271">
        <v>427666.8</v>
      </c>
      <c r="G153" s="271">
        <v>427666.8</v>
      </c>
      <c r="H153" s="271">
        <v>427666.8</v>
      </c>
      <c r="I153" s="271">
        <v>427666.8</v>
      </c>
      <c r="J153" s="271">
        <v>427666.8</v>
      </c>
      <c r="K153" s="271">
        <v>427666.8</v>
      </c>
      <c r="L153" s="271">
        <v>427666.8</v>
      </c>
      <c r="M153" s="271">
        <v>427666.8</v>
      </c>
      <c r="N153" s="271">
        <v>427666.8</v>
      </c>
      <c r="O153" s="271">
        <v>427666.8</v>
      </c>
      <c r="P153" s="271">
        <v>427666.8</v>
      </c>
      <c r="Q153" s="271">
        <v>427666.8</v>
      </c>
      <c r="R153" s="271">
        <v>427666.8</v>
      </c>
      <c r="S153" s="271">
        <v>427666.8</v>
      </c>
      <c r="T153" s="271">
        <v>427666.8</v>
      </c>
      <c r="U153" s="271">
        <v>427666.8</v>
      </c>
      <c r="V153" s="271">
        <v>427666.8</v>
      </c>
      <c r="W153" s="271">
        <v>427666.8</v>
      </c>
      <c r="X153" s="271">
        <v>427666.8</v>
      </c>
      <c r="Y153" s="271">
        <v>427666.8</v>
      </c>
      <c r="Z153" s="271">
        <v>427666.8</v>
      </c>
      <c r="AA153" s="271">
        <v>427666.8</v>
      </c>
      <c r="AB153" s="271">
        <v>427666.8</v>
      </c>
      <c r="AC153" s="271">
        <v>427666.8</v>
      </c>
      <c r="AD153" s="271">
        <v>427666.8</v>
      </c>
      <c r="AE153" s="271">
        <v>427666.8</v>
      </c>
      <c r="AF153" s="272">
        <v>427666.8</v>
      </c>
      <c r="AG153" s="257">
        <f t="shared" si="5"/>
        <v>427666.8</v>
      </c>
      <c r="AH153" s="44">
        <v>427666.8</v>
      </c>
    </row>
    <row r="154" spans="1:34" x14ac:dyDescent="0.35">
      <c r="A154" s="30" t="s">
        <v>293</v>
      </c>
      <c r="B154" s="270">
        <v>425478.95999999996</v>
      </c>
      <c r="C154" s="271">
        <v>425478.95999999996</v>
      </c>
      <c r="D154" s="271">
        <v>425478.95999999996</v>
      </c>
      <c r="E154" s="271">
        <v>425478.95999999996</v>
      </c>
      <c r="F154" s="271">
        <v>425478.95999999996</v>
      </c>
      <c r="G154" s="271">
        <v>425478.95999999996</v>
      </c>
      <c r="H154" s="271">
        <v>425478.95999999996</v>
      </c>
      <c r="I154" s="271">
        <v>425478.95999999996</v>
      </c>
      <c r="J154" s="271">
        <v>425478.95999999996</v>
      </c>
      <c r="K154" s="271">
        <v>425478.95999999996</v>
      </c>
      <c r="L154" s="271">
        <v>425478.95999999996</v>
      </c>
      <c r="M154" s="271">
        <v>425478.95999999996</v>
      </c>
      <c r="N154" s="271">
        <v>425478.95999999996</v>
      </c>
      <c r="O154" s="271">
        <v>425478.95999999996</v>
      </c>
      <c r="P154" s="271">
        <v>425478.95999999996</v>
      </c>
      <c r="Q154" s="271">
        <v>425478.95999999996</v>
      </c>
      <c r="R154" s="271">
        <v>425478.95999999996</v>
      </c>
      <c r="S154" s="271">
        <v>425478.95999999996</v>
      </c>
      <c r="T154" s="271">
        <v>425478.95999999996</v>
      </c>
      <c r="U154" s="271">
        <v>425478.95999999996</v>
      </c>
      <c r="V154" s="271">
        <v>425478.95999999996</v>
      </c>
      <c r="W154" s="271">
        <v>425478.95999999996</v>
      </c>
      <c r="X154" s="271">
        <v>425478.95999999996</v>
      </c>
      <c r="Y154" s="271">
        <v>425478.95999999996</v>
      </c>
      <c r="Z154" s="271">
        <v>425478.95999999996</v>
      </c>
      <c r="AA154" s="271">
        <v>425478.95999999996</v>
      </c>
      <c r="AB154" s="271">
        <v>425478.95999999996</v>
      </c>
      <c r="AC154" s="271">
        <v>425478.95999999996</v>
      </c>
      <c r="AD154" s="271">
        <v>425478.95999999996</v>
      </c>
      <c r="AE154" s="271">
        <v>425478.95999999996</v>
      </c>
      <c r="AF154" s="272">
        <v>425478.95999999996</v>
      </c>
      <c r="AG154" s="257">
        <f t="shared" si="5"/>
        <v>425478.95999999996</v>
      </c>
      <c r="AH154" s="44">
        <v>425478.96</v>
      </c>
    </row>
    <row r="155" spans="1:34" x14ac:dyDescent="0.35">
      <c r="A155" s="30" t="s">
        <v>294</v>
      </c>
      <c r="B155" s="270">
        <v>394108</v>
      </c>
      <c r="C155" s="271">
        <v>394108</v>
      </c>
      <c r="D155" s="271">
        <v>394108</v>
      </c>
      <c r="E155" s="271">
        <v>394108</v>
      </c>
      <c r="F155" s="271">
        <v>394108</v>
      </c>
      <c r="G155" s="271">
        <v>394108</v>
      </c>
      <c r="H155" s="271">
        <v>394108</v>
      </c>
      <c r="I155" s="271">
        <v>394108</v>
      </c>
      <c r="J155" s="271">
        <v>394108</v>
      </c>
      <c r="K155" s="271">
        <v>394108</v>
      </c>
      <c r="L155" s="271">
        <v>394108</v>
      </c>
      <c r="M155" s="271">
        <v>394108</v>
      </c>
      <c r="N155" s="271">
        <v>394108</v>
      </c>
      <c r="O155" s="271">
        <v>394108</v>
      </c>
      <c r="P155" s="271">
        <v>394108</v>
      </c>
      <c r="Q155" s="271">
        <v>394108</v>
      </c>
      <c r="R155" s="271">
        <v>394108</v>
      </c>
      <c r="S155" s="271">
        <v>394108</v>
      </c>
      <c r="T155" s="271">
        <v>394108</v>
      </c>
      <c r="U155" s="271">
        <v>394108</v>
      </c>
      <c r="V155" s="271">
        <v>394108</v>
      </c>
      <c r="W155" s="271">
        <v>394108</v>
      </c>
      <c r="X155" s="271">
        <v>394108</v>
      </c>
      <c r="Y155" s="271">
        <v>394108</v>
      </c>
      <c r="Z155" s="271">
        <v>394108</v>
      </c>
      <c r="AA155" s="271">
        <v>394108</v>
      </c>
      <c r="AB155" s="271">
        <v>394108</v>
      </c>
      <c r="AC155" s="271">
        <v>394108</v>
      </c>
      <c r="AD155" s="271">
        <v>394108</v>
      </c>
      <c r="AE155" s="271">
        <v>394108</v>
      </c>
      <c r="AF155" s="272">
        <v>394108</v>
      </c>
      <c r="AG155" s="257">
        <f t="shared" si="5"/>
        <v>394108</v>
      </c>
      <c r="AH155" s="44">
        <v>394108</v>
      </c>
    </row>
    <row r="156" spans="1:34" x14ac:dyDescent="0.35">
      <c r="A156" s="30" t="s">
        <v>295</v>
      </c>
      <c r="B156" s="270">
        <v>406138.17</v>
      </c>
      <c r="C156" s="271">
        <v>406138.17</v>
      </c>
      <c r="D156" s="271">
        <v>406138.17</v>
      </c>
      <c r="E156" s="271">
        <v>406138.17</v>
      </c>
      <c r="F156" s="271">
        <v>406138.17</v>
      </c>
      <c r="G156" s="271">
        <v>406138.17</v>
      </c>
      <c r="H156" s="271">
        <v>406138.17</v>
      </c>
      <c r="I156" s="271">
        <v>406138.17</v>
      </c>
      <c r="J156" s="271">
        <v>406138.17</v>
      </c>
      <c r="K156" s="271">
        <v>406138.17</v>
      </c>
      <c r="L156" s="271">
        <v>406138.17</v>
      </c>
      <c r="M156" s="271">
        <v>406138.17</v>
      </c>
      <c r="N156" s="271">
        <v>406138.17</v>
      </c>
      <c r="O156" s="271">
        <v>406138.17</v>
      </c>
      <c r="P156" s="271">
        <v>406138.17</v>
      </c>
      <c r="Q156" s="271">
        <v>406138.17</v>
      </c>
      <c r="R156" s="271">
        <v>406138.17</v>
      </c>
      <c r="S156" s="271">
        <v>406138.17</v>
      </c>
      <c r="T156" s="271">
        <v>406138.17</v>
      </c>
      <c r="U156" s="271">
        <v>406138.17</v>
      </c>
      <c r="V156" s="271">
        <v>406138.17</v>
      </c>
      <c r="W156" s="271">
        <v>406138.17</v>
      </c>
      <c r="X156" s="271">
        <v>406138.17</v>
      </c>
      <c r="Y156" s="271">
        <v>406138.17</v>
      </c>
      <c r="Z156" s="271">
        <v>406138.17</v>
      </c>
      <c r="AA156" s="271">
        <v>406138.17</v>
      </c>
      <c r="AB156" s="271">
        <v>406138.17</v>
      </c>
      <c r="AC156" s="271">
        <v>406138.17</v>
      </c>
      <c r="AD156" s="271">
        <v>406138.17</v>
      </c>
      <c r="AE156" s="271">
        <v>406138.17</v>
      </c>
      <c r="AF156" s="272">
        <v>406138.17</v>
      </c>
      <c r="AG156" s="257">
        <f t="shared" si="5"/>
        <v>406138.17</v>
      </c>
      <c r="AH156" s="44">
        <v>406138.17</v>
      </c>
    </row>
    <row r="157" spans="1:34" x14ac:dyDescent="0.35">
      <c r="A157" s="30" t="s">
        <v>296</v>
      </c>
      <c r="B157" s="270">
        <v>403044</v>
      </c>
      <c r="C157" s="271">
        <v>403044</v>
      </c>
      <c r="D157" s="271">
        <v>403044</v>
      </c>
      <c r="E157" s="271">
        <v>403044</v>
      </c>
      <c r="F157" s="271">
        <v>403044</v>
      </c>
      <c r="G157" s="271">
        <v>403044</v>
      </c>
      <c r="H157" s="271">
        <v>403044</v>
      </c>
      <c r="I157" s="271">
        <v>403044</v>
      </c>
      <c r="J157" s="271">
        <v>403044</v>
      </c>
      <c r="K157" s="271">
        <v>403044</v>
      </c>
      <c r="L157" s="271">
        <v>403044</v>
      </c>
      <c r="M157" s="271">
        <v>403044</v>
      </c>
      <c r="N157" s="271">
        <v>403044</v>
      </c>
      <c r="O157" s="271">
        <v>403044</v>
      </c>
      <c r="P157" s="271">
        <v>403044</v>
      </c>
      <c r="Q157" s="271">
        <v>403044</v>
      </c>
      <c r="R157" s="271">
        <v>403044</v>
      </c>
      <c r="S157" s="271">
        <v>403044</v>
      </c>
      <c r="T157" s="271">
        <v>403044</v>
      </c>
      <c r="U157" s="271">
        <v>403044</v>
      </c>
      <c r="V157" s="271">
        <v>403044</v>
      </c>
      <c r="W157" s="271">
        <v>403044</v>
      </c>
      <c r="X157" s="271">
        <v>403044</v>
      </c>
      <c r="Y157" s="271">
        <v>403044</v>
      </c>
      <c r="Z157" s="271">
        <v>403044</v>
      </c>
      <c r="AA157" s="271">
        <v>403044</v>
      </c>
      <c r="AB157" s="271">
        <v>403044</v>
      </c>
      <c r="AC157" s="271">
        <v>403044</v>
      </c>
      <c r="AD157" s="271">
        <v>403044</v>
      </c>
      <c r="AE157" s="271">
        <v>403044</v>
      </c>
      <c r="AF157" s="272">
        <v>403044</v>
      </c>
      <c r="AG157" s="257">
        <f t="shared" si="5"/>
        <v>403044</v>
      </c>
      <c r="AH157" s="44">
        <v>403044</v>
      </c>
    </row>
    <row r="158" spans="1:34" x14ac:dyDescent="0.35">
      <c r="A158" s="30" t="s">
        <v>298</v>
      </c>
      <c r="B158" s="270">
        <v>292029.59999999998</v>
      </c>
      <c r="C158" s="271">
        <v>292029.59999999998</v>
      </c>
      <c r="D158" s="271">
        <v>292029.59999999998</v>
      </c>
      <c r="E158" s="271">
        <v>292029.59999999998</v>
      </c>
      <c r="F158" s="271">
        <v>292029.59999999998</v>
      </c>
      <c r="G158" s="271">
        <v>292029.59999999998</v>
      </c>
      <c r="H158" s="271">
        <v>292029.59999999998</v>
      </c>
      <c r="I158" s="271">
        <v>292029.59999999998</v>
      </c>
      <c r="J158" s="271">
        <v>292029.59999999998</v>
      </c>
      <c r="K158" s="271">
        <v>292029.59999999998</v>
      </c>
      <c r="L158" s="271">
        <v>292029.59999999998</v>
      </c>
      <c r="M158" s="271">
        <v>292029.59999999998</v>
      </c>
      <c r="N158" s="271">
        <v>292029.59999999998</v>
      </c>
      <c r="O158" s="271">
        <v>292029.59999999998</v>
      </c>
      <c r="P158" s="271">
        <v>292029.59999999998</v>
      </c>
      <c r="Q158" s="271">
        <v>292029.59999999998</v>
      </c>
      <c r="R158" s="271">
        <v>292029.59999999998</v>
      </c>
      <c r="S158" s="271">
        <v>292029.59999999998</v>
      </c>
      <c r="T158" s="271">
        <v>292029.59999999998</v>
      </c>
      <c r="U158" s="271">
        <v>292029.59999999998</v>
      </c>
      <c r="V158" s="271">
        <v>292029.59999999998</v>
      </c>
      <c r="W158" s="271">
        <v>292029.59999999998</v>
      </c>
      <c r="X158" s="271">
        <v>292029.59999999998</v>
      </c>
      <c r="Y158" s="271">
        <v>292029.59999999998</v>
      </c>
      <c r="Z158" s="271">
        <v>292029.59999999998</v>
      </c>
      <c r="AA158" s="271">
        <v>292029.59999999998</v>
      </c>
      <c r="AB158" s="271">
        <v>292029.59999999998</v>
      </c>
      <c r="AC158" s="271">
        <v>292029.59999999998</v>
      </c>
      <c r="AD158" s="271">
        <v>292029.59999999998</v>
      </c>
      <c r="AE158" s="271">
        <v>292029.59999999998</v>
      </c>
      <c r="AF158" s="272">
        <v>292029.59999999998</v>
      </c>
      <c r="AG158" s="257">
        <f t="shared" si="5"/>
        <v>292029.59999999998</v>
      </c>
      <c r="AH158" s="44">
        <v>292029.59999999998</v>
      </c>
    </row>
    <row r="159" spans="1:34" x14ac:dyDescent="0.35">
      <c r="A159" s="30" t="s">
        <v>299</v>
      </c>
      <c r="B159" s="270">
        <v>389484</v>
      </c>
      <c r="C159" s="271">
        <v>389484</v>
      </c>
      <c r="D159" s="271">
        <v>389484</v>
      </c>
      <c r="E159" s="271">
        <v>389484</v>
      </c>
      <c r="F159" s="271">
        <v>389484</v>
      </c>
      <c r="G159" s="271">
        <v>389484</v>
      </c>
      <c r="H159" s="271">
        <v>389484</v>
      </c>
      <c r="I159" s="271">
        <v>389484</v>
      </c>
      <c r="J159" s="271">
        <v>389484</v>
      </c>
      <c r="K159" s="271">
        <v>389484</v>
      </c>
      <c r="L159" s="271">
        <v>389484</v>
      </c>
      <c r="M159" s="271">
        <v>389484</v>
      </c>
      <c r="N159" s="271">
        <v>389484</v>
      </c>
      <c r="O159" s="271">
        <v>389484</v>
      </c>
      <c r="P159" s="271">
        <v>389484</v>
      </c>
      <c r="Q159" s="271">
        <v>389484</v>
      </c>
      <c r="R159" s="271">
        <v>389484</v>
      </c>
      <c r="S159" s="271">
        <v>389484</v>
      </c>
      <c r="T159" s="271">
        <v>389484</v>
      </c>
      <c r="U159" s="271">
        <v>389484</v>
      </c>
      <c r="V159" s="271">
        <v>389484</v>
      </c>
      <c r="W159" s="271">
        <v>389484</v>
      </c>
      <c r="X159" s="271">
        <v>389484</v>
      </c>
      <c r="Y159" s="271">
        <v>389484</v>
      </c>
      <c r="Z159" s="271">
        <v>389484</v>
      </c>
      <c r="AA159" s="271">
        <v>389484</v>
      </c>
      <c r="AB159" s="271">
        <v>389484</v>
      </c>
      <c r="AC159" s="271">
        <v>389484</v>
      </c>
      <c r="AD159" s="271">
        <v>389484</v>
      </c>
      <c r="AE159" s="271">
        <v>389484</v>
      </c>
      <c r="AF159" s="272">
        <v>389484</v>
      </c>
      <c r="AG159" s="257">
        <f t="shared" si="5"/>
        <v>389484</v>
      </c>
      <c r="AH159" s="44">
        <v>389484</v>
      </c>
    </row>
    <row r="160" spans="1:34" x14ac:dyDescent="0.35">
      <c r="A160" s="30" t="s">
        <v>300</v>
      </c>
      <c r="B160" s="270">
        <v>336559.6</v>
      </c>
      <c r="C160" s="271">
        <v>336559.6</v>
      </c>
      <c r="D160" s="271">
        <v>336559.6</v>
      </c>
      <c r="E160" s="271">
        <v>336559.6</v>
      </c>
      <c r="F160" s="271">
        <v>336559.6</v>
      </c>
      <c r="G160" s="271">
        <v>336559.6</v>
      </c>
      <c r="H160" s="271">
        <v>336559.6</v>
      </c>
      <c r="I160" s="271">
        <v>336559.6</v>
      </c>
      <c r="J160" s="271">
        <v>336559.6</v>
      </c>
      <c r="K160" s="271">
        <v>336559.6</v>
      </c>
      <c r="L160" s="271">
        <v>336559.6</v>
      </c>
      <c r="M160" s="271">
        <v>336559.6</v>
      </c>
      <c r="N160" s="271">
        <v>336559.6</v>
      </c>
      <c r="O160" s="271">
        <v>336559.6</v>
      </c>
      <c r="P160" s="271">
        <v>336559.6</v>
      </c>
      <c r="Q160" s="271">
        <v>336559.6</v>
      </c>
      <c r="R160" s="271">
        <v>336559.6</v>
      </c>
      <c r="S160" s="271">
        <v>336559.6</v>
      </c>
      <c r="T160" s="271">
        <v>336559.6</v>
      </c>
      <c r="U160" s="271">
        <v>336559.6</v>
      </c>
      <c r="V160" s="271">
        <v>336559.6</v>
      </c>
      <c r="W160" s="271">
        <v>336559.6</v>
      </c>
      <c r="X160" s="271">
        <v>336559.6</v>
      </c>
      <c r="Y160" s="271">
        <v>336559.6</v>
      </c>
      <c r="Z160" s="271">
        <v>336559.6</v>
      </c>
      <c r="AA160" s="271">
        <v>336559.6</v>
      </c>
      <c r="AB160" s="271">
        <v>336559.6</v>
      </c>
      <c r="AC160" s="271">
        <v>336559.6</v>
      </c>
      <c r="AD160" s="271">
        <v>336559.6</v>
      </c>
      <c r="AE160" s="271">
        <v>336559.6</v>
      </c>
      <c r="AF160" s="272">
        <v>336559.6</v>
      </c>
      <c r="AG160" s="257">
        <f t="shared" si="5"/>
        <v>336559.6</v>
      </c>
      <c r="AH160" s="44">
        <v>336559.6</v>
      </c>
    </row>
    <row r="161" spans="1:34" x14ac:dyDescent="0.35">
      <c r="A161" s="30" t="s">
        <v>301</v>
      </c>
      <c r="B161" s="270">
        <v>374428</v>
      </c>
      <c r="C161" s="271">
        <v>374428</v>
      </c>
      <c r="D161" s="271">
        <v>374428</v>
      </c>
      <c r="E161" s="271">
        <v>374428</v>
      </c>
      <c r="F161" s="271">
        <v>374428</v>
      </c>
      <c r="G161" s="271">
        <v>374428</v>
      </c>
      <c r="H161" s="271">
        <v>374428</v>
      </c>
      <c r="I161" s="271">
        <v>374428</v>
      </c>
      <c r="J161" s="271">
        <v>374428</v>
      </c>
      <c r="K161" s="271">
        <v>374428</v>
      </c>
      <c r="L161" s="271">
        <v>374428</v>
      </c>
      <c r="M161" s="271">
        <v>374428</v>
      </c>
      <c r="N161" s="271">
        <v>374428</v>
      </c>
      <c r="O161" s="271">
        <v>374428</v>
      </c>
      <c r="P161" s="271">
        <v>374428</v>
      </c>
      <c r="Q161" s="271">
        <v>374428</v>
      </c>
      <c r="R161" s="271">
        <v>374428</v>
      </c>
      <c r="S161" s="271">
        <v>374428</v>
      </c>
      <c r="T161" s="271">
        <v>374428</v>
      </c>
      <c r="U161" s="271">
        <v>374428</v>
      </c>
      <c r="V161" s="271">
        <v>374428</v>
      </c>
      <c r="W161" s="271">
        <v>374428</v>
      </c>
      <c r="X161" s="271">
        <v>374428</v>
      </c>
      <c r="Y161" s="271">
        <v>374428</v>
      </c>
      <c r="Z161" s="271">
        <v>374428</v>
      </c>
      <c r="AA161" s="271">
        <v>374428</v>
      </c>
      <c r="AB161" s="271">
        <v>374428</v>
      </c>
      <c r="AC161" s="271">
        <v>374428</v>
      </c>
      <c r="AD161" s="271">
        <v>374428</v>
      </c>
      <c r="AE161" s="271">
        <v>374428</v>
      </c>
      <c r="AF161" s="272">
        <v>374428</v>
      </c>
      <c r="AG161" s="257">
        <f t="shared" si="5"/>
        <v>374428</v>
      </c>
      <c r="AH161" s="44">
        <v>374428</v>
      </c>
    </row>
    <row r="162" spans="1:34" x14ac:dyDescent="0.35">
      <c r="A162" s="30" t="s">
        <v>302</v>
      </c>
      <c r="B162" s="270">
        <v>0</v>
      </c>
      <c r="C162" s="271">
        <v>0</v>
      </c>
      <c r="D162" s="271">
        <v>0</v>
      </c>
      <c r="E162" s="271">
        <v>0</v>
      </c>
      <c r="F162" s="271">
        <v>0</v>
      </c>
      <c r="G162" s="271">
        <v>0</v>
      </c>
      <c r="H162" s="271">
        <v>0</v>
      </c>
      <c r="I162" s="271">
        <v>0</v>
      </c>
      <c r="J162" s="271">
        <v>0</v>
      </c>
      <c r="K162" s="271">
        <v>0</v>
      </c>
      <c r="L162" s="271">
        <v>0</v>
      </c>
      <c r="M162" s="271">
        <v>0</v>
      </c>
      <c r="N162" s="271">
        <v>0</v>
      </c>
      <c r="O162" s="271">
        <v>0</v>
      </c>
      <c r="P162" s="271">
        <v>0</v>
      </c>
      <c r="Q162" s="271">
        <v>0</v>
      </c>
      <c r="R162" s="271">
        <v>0</v>
      </c>
      <c r="S162" s="271">
        <v>0</v>
      </c>
      <c r="T162" s="271">
        <v>0</v>
      </c>
      <c r="U162" s="271">
        <v>0</v>
      </c>
      <c r="V162" s="271">
        <v>0</v>
      </c>
      <c r="W162" s="271">
        <v>0</v>
      </c>
      <c r="X162" s="271">
        <v>0</v>
      </c>
      <c r="Y162" s="271">
        <v>0</v>
      </c>
      <c r="Z162" s="271">
        <v>0</v>
      </c>
      <c r="AA162" s="271">
        <v>0</v>
      </c>
      <c r="AB162" s="271">
        <v>0</v>
      </c>
      <c r="AC162" s="271">
        <v>0</v>
      </c>
      <c r="AD162" s="271">
        <v>0</v>
      </c>
      <c r="AE162" s="271">
        <v>0</v>
      </c>
      <c r="AF162" s="272">
        <v>0</v>
      </c>
      <c r="AG162" s="257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73">
        <v>0</v>
      </c>
      <c r="C163" s="274">
        <v>0</v>
      </c>
      <c r="D163" s="274">
        <v>0</v>
      </c>
      <c r="E163" s="274">
        <v>0</v>
      </c>
      <c r="F163" s="274">
        <v>0</v>
      </c>
      <c r="G163" s="274">
        <v>0</v>
      </c>
      <c r="H163" s="274">
        <v>0</v>
      </c>
      <c r="I163" s="274">
        <v>0</v>
      </c>
      <c r="J163" s="274">
        <v>0</v>
      </c>
      <c r="K163" s="274">
        <v>0</v>
      </c>
      <c r="L163" s="274">
        <v>0</v>
      </c>
      <c r="M163" s="274">
        <v>0</v>
      </c>
      <c r="N163" s="274">
        <v>0</v>
      </c>
      <c r="O163" s="274">
        <v>0</v>
      </c>
      <c r="P163" s="274">
        <v>0</v>
      </c>
      <c r="Q163" s="274">
        <v>0</v>
      </c>
      <c r="R163" s="274">
        <v>0</v>
      </c>
      <c r="S163" s="274">
        <v>0</v>
      </c>
      <c r="T163" s="274">
        <v>0</v>
      </c>
      <c r="U163" s="274">
        <v>0</v>
      </c>
      <c r="V163" s="274">
        <v>0</v>
      </c>
      <c r="W163" s="274">
        <v>0</v>
      </c>
      <c r="X163" s="274">
        <v>0</v>
      </c>
      <c r="Y163" s="274">
        <v>0</v>
      </c>
      <c r="Z163" s="274">
        <v>0</v>
      </c>
      <c r="AA163" s="274">
        <v>0</v>
      </c>
      <c r="AB163" s="274">
        <v>0</v>
      </c>
      <c r="AC163" s="274">
        <v>0</v>
      </c>
      <c r="AD163" s="274">
        <v>0</v>
      </c>
      <c r="AE163" s="274">
        <v>0</v>
      </c>
      <c r="AF163" s="275">
        <v>0</v>
      </c>
      <c r="AG163" s="263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68BE-7137-4BED-9219-9256E1ED58A4}">
  <sheetPr codeName="Hoja8"/>
  <dimension ref="A1:AH163"/>
  <sheetViews>
    <sheetView showGridLines="0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" sqref="C1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 t="s">
        <v>533</v>
      </c>
      <c r="B1" s="6" t="s">
        <v>0</v>
      </c>
      <c r="G1" s="39"/>
      <c r="L1" s="39"/>
    </row>
    <row r="2" spans="1:34" ht="15" thickBot="1" x14ac:dyDescent="0.4"/>
    <row r="3" spans="1:34" ht="15" thickBot="1" x14ac:dyDescent="0.4">
      <c r="A3" s="17" t="s">
        <v>270</v>
      </c>
      <c r="B3" s="45">
        <v>45383</v>
      </c>
      <c r="C3" s="46">
        <v>45384</v>
      </c>
      <c r="D3" s="46">
        <v>45385</v>
      </c>
      <c r="E3" s="46">
        <v>45386</v>
      </c>
      <c r="F3" s="46">
        <v>45387</v>
      </c>
      <c r="G3" s="46">
        <v>45388</v>
      </c>
      <c r="H3" s="46">
        <v>45389</v>
      </c>
      <c r="I3" s="46">
        <v>45390</v>
      </c>
      <c r="J3" s="46">
        <v>45391</v>
      </c>
      <c r="K3" s="46">
        <v>45392</v>
      </c>
      <c r="L3" s="46">
        <v>45393</v>
      </c>
      <c r="M3" s="46">
        <v>45394</v>
      </c>
      <c r="N3" s="46">
        <v>45395</v>
      </c>
      <c r="O3" s="46">
        <v>45396</v>
      </c>
      <c r="P3" s="46">
        <v>45397</v>
      </c>
      <c r="Q3" s="46">
        <v>45398</v>
      </c>
      <c r="R3" s="46">
        <v>45399</v>
      </c>
      <c r="S3" s="46">
        <v>45400</v>
      </c>
      <c r="T3" s="46">
        <v>45401</v>
      </c>
      <c r="U3" s="46">
        <v>45402</v>
      </c>
      <c r="V3" s="46">
        <v>45403</v>
      </c>
      <c r="W3" s="46">
        <v>45404</v>
      </c>
      <c r="X3" s="46">
        <v>45405</v>
      </c>
      <c r="Y3" s="46">
        <v>45406</v>
      </c>
      <c r="Z3" s="46">
        <v>45407</v>
      </c>
      <c r="AA3" s="46">
        <v>45408</v>
      </c>
      <c r="AB3" s="46">
        <v>45409</v>
      </c>
      <c r="AC3" s="46">
        <v>45410</v>
      </c>
      <c r="AD3" s="46">
        <v>45411</v>
      </c>
      <c r="AE3" s="46">
        <v>45412</v>
      </c>
      <c r="AF3" s="48"/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13">
        <v>80265.090000000084</v>
      </c>
      <c r="C4" s="14">
        <v>80277.390000000087</v>
      </c>
      <c r="D4" s="14">
        <v>80291.360000000088</v>
      </c>
      <c r="E4" s="14">
        <v>80313.010000000082</v>
      </c>
      <c r="F4" s="14">
        <v>80330.080000000089</v>
      </c>
      <c r="G4" s="14">
        <v>80349.920000000086</v>
      </c>
      <c r="H4" s="14">
        <v>80371.490000000093</v>
      </c>
      <c r="I4" s="14">
        <v>80392.910000000091</v>
      </c>
      <c r="J4" s="14">
        <v>80411.660000000091</v>
      </c>
      <c r="K4" s="14">
        <v>80433.490000000093</v>
      </c>
      <c r="L4" s="14">
        <v>80455.040000000095</v>
      </c>
      <c r="M4" s="14">
        <v>80468.500000000102</v>
      </c>
      <c r="N4" s="14">
        <v>80486.760000000097</v>
      </c>
      <c r="O4" s="14">
        <v>80506.160000000091</v>
      </c>
      <c r="P4" s="14">
        <v>80528.110000000088</v>
      </c>
      <c r="Q4" s="14">
        <v>80548.850000000093</v>
      </c>
      <c r="R4" s="14">
        <v>80570.410000000091</v>
      </c>
      <c r="S4" s="14">
        <v>80580.780000000086</v>
      </c>
      <c r="T4" s="14">
        <v>80602.210000000079</v>
      </c>
      <c r="U4" s="14">
        <v>80623.18000000008</v>
      </c>
      <c r="V4" s="14">
        <v>80644.740000000078</v>
      </c>
      <c r="W4" s="14">
        <v>80666.020000000077</v>
      </c>
      <c r="X4" s="14">
        <v>80688.420000000071</v>
      </c>
      <c r="Y4" s="14">
        <v>80710.140000000072</v>
      </c>
      <c r="Z4" s="14">
        <v>80731.860000000073</v>
      </c>
      <c r="AA4" s="14">
        <v>80753.06000000007</v>
      </c>
      <c r="AB4" s="14">
        <v>80774.760000000068</v>
      </c>
      <c r="AC4" s="14">
        <v>80795.660000000062</v>
      </c>
      <c r="AD4" s="14">
        <v>80809.510000000068</v>
      </c>
      <c r="AE4" s="14">
        <v>80821.710000000065</v>
      </c>
      <c r="AF4" s="15"/>
      <c r="AG4" s="51">
        <f t="shared" ref="AG4:AG35" si="0">MAX(B4:AF4)</f>
        <v>80821.710000000065</v>
      </c>
      <c r="AH4" s="44">
        <v>80243.45</v>
      </c>
    </row>
    <row r="5" spans="1:34" x14ac:dyDescent="0.35">
      <c r="A5" s="33" t="s">
        <v>11</v>
      </c>
      <c r="B5" s="10">
        <v>81123.080000000249</v>
      </c>
      <c r="C5" s="2">
        <v>81124.910000000251</v>
      </c>
      <c r="D5" s="2">
        <v>81134.040000000256</v>
      </c>
      <c r="E5" s="2">
        <v>81134.040000000256</v>
      </c>
      <c r="F5" s="2">
        <v>81134.040000000256</v>
      </c>
      <c r="G5" s="2">
        <v>81134.040000000256</v>
      </c>
      <c r="H5" s="2">
        <v>81134.040000000256</v>
      </c>
      <c r="I5" s="2">
        <v>81134.040000000256</v>
      </c>
      <c r="J5" s="2">
        <v>81134.040000000256</v>
      </c>
      <c r="K5" s="2">
        <v>81134.040000000256</v>
      </c>
      <c r="L5" s="2">
        <v>81134.040000000256</v>
      </c>
      <c r="M5" s="2">
        <v>81134.040000000256</v>
      </c>
      <c r="N5" s="2">
        <v>81134.040000000256</v>
      </c>
      <c r="O5" s="2">
        <v>81134.040000000256</v>
      </c>
      <c r="P5" s="2">
        <v>81150.700000000259</v>
      </c>
      <c r="Q5" s="2">
        <v>81163.890000000261</v>
      </c>
      <c r="R5" s="2">
        <v>81183.750000000262</v>
      </c>
      <c r="S5" s="2">
        <v>81205.130000000267</v>
      </c>
      <c r="T5" s="2">
        <v>81223.940000000264</v>
      </c>
      <c r="U5" s="2">
        <v>81228.090000000258</v>
      </c>
      <c r="V5" s="2">
        <v>81239.480000000258</v>
      </c>
      <c r="W5" s="2">
        <v>81248.190000000264</v>
      </c>
      <c r="X5" s="2">
        <v>81248.190000000264</v>
      </c>
      <c r="Y5" s="2">
        <v>81248.190000000264</v>
      </c>
      <c r="Z5" s="2">
        <v>81248.250000000262</v>
      </c>
      <c r="AA5" s="2">
        <v>81253.430000000255</v>
      </c>
      <c r="AB5" s="2">
        <v>81270.640000000261</v>
      </c>
      <c r="AC5" s="2">
        <v>81292.630000000267</v>
      </c>
      <c r="AD5" s="2">
        <v>81305.110000000263</v>
      </c>
      <c r="AE5" s="2">
        <v>81324.910000000265</v>
      </c>
      <c r="AF5" s="3"/>
      <c r="AG5" s="51">
        <f t="shared" si="0"/>
        <v>81324.910000000265</v>
      </c>
      <c r="AH5" s="44">
        <v>81123.08</v>
      </c>
    </row>
    <row r="6" spans="1:34" x14ac:dyDescent="0.35">
      <c r="A6" s="33" t="s">
        <v>12</v>
      </c>
      <c r="B6" s="10">
        <v>81211.949999999881</v>
      </c>
      <c r="C6" s="2">
        <v>81211.949999999881</v>
      </c>
      <c r="D6" s="2">
        <v>81222.609999999884</v>
      </c>
      <c r="E6" s="2">
        <v>81243.059999999881</v>
      </c>
      <c r="F6" s="2">
        <v>81264.149999999878</v>
      </c>
      <c r="G6" s="2">
        <v>81273.739999999874</v>
      </c>
      <c r="H6" s="2">
        <v>81290.059999999881</v>
      </c>
      <c r="I6" s="2">
        <v>81311.829999999885</v>
      </c>
      <c r="J6" s="2">
        <v>81327.429999999891</v>
      </c>
      <c r="K6" s="2">
        <v>81349.199999999895</v>
      </c>
      <c r="L6" s="2">
        <v>81370.749999999898</v>
      </c>
      <c r="M6" s="2">
        <v>81379.659999999902</v>
      </c>
      <c r="N6" s="2">
        <v>81401.249999999898</v>
      </c>
      <c r="O6" s="2">
        <v>81422.019999999902</v>
      </c>
      <c r="P6" s="2">
        <v>81438.789999999906</v>
      </c>
      <c r="Q6" s="2">
        <v>81453.289999999906</v>
      </c>
      <c r="R6" s="2">
        <v>81458.409999999902</v>
      </c>
      <c r="S6" s="2">
        <v>81462.509999999907</v>
      </c>
      <c r="T6" s="2">
        <v>81463.409999999902</v>
      </c>
      <c r="U6" s="2">
        <v>81463.409999999902</v>
      </c>
      <c r="V6" s="2">
        <v>81463.409999999902</v>
      </c>
      <c r="W6" s="2">
        <v>81463.409999999902</v>
      </c>
      <c r="X6" s="2">
        <v>81463.409999999902</v>
      </c>
      <c r="Y6" s="2">
        <v>81463.409999999902</v>
      </c>
      <c r="Z6" s="2">
        <v>81463.409999999902</v>
      </c>
      <c r="AA6" s="2">
        <v>81463.409999999902</v>
      </c>
      <c r="AB6" s="2">
        <v>81463.409999999902</v>
      </c>
      <c r="AC6" s="2">
        <v>81463.409999999902</v>
      </c>
      <c r="AD6" s="2">
        <v>81463.409999999902</v>
      </c>
      <c r="AE6" s="2">
        <v>81463.409999999902</v>
      </c>
      <c r="AF6" s="3"/>
      <c r="AG6" s="51">
        <f t="shared" si="0"/>
        <v>81463.409999999902</v>
      </c>
      <c r="AH6" s="44">
        <v>81194.47</v>
      </c>
    </row>
    <row r="7" spans="1:34" x14ac:dyDescent="0.35">
      <c r="A7" s="33" t="s">
        <v>13</v>
      </c>
      <c r="B7" s="10">
        <v>81314.979999999967</v>
      </c>
      <c r="C7" s="2">
        <v>81336.209999999963</v>
      </c>
      <c r="D7" s="2">
        <v>81351.209999999963</v>
      </c>
      <c r="E7" s="2">
        <v>81372.509999999966</v>
      </c>
      <c r="F7" s="2">
        <v>81393.669999999969</v>
      </c>
      <c r="G7" s="2">
        <v>81415.179999999964</v>
      </c>
      <c r="H7" s="2">
        <v>81436.469999999958</v>
      </c>
      <c r="I7" s="2">
        <v>81457.389999999956</v>
      </c>
      <c r="J7" s="2">
        <v>81478.78999999995</v>
      </c>
      <c r="K7" s="2">
        <v>81500.449999999953</v>
      </c>
      <c r="L7" s="2">
        <v>81522.119999999952</v>
      </c>
      <c r="M7" s="2">
        <v>81534.549999999945</v>
      </c>
      <c r="N7" s="2">
        <v>81534.549999999945</v>
      </c>
      <c r="O7" s="2">
        <v>81551.299999999945</v>
      </c>
      <c r="P7" s="2">
        <v>81570.989999999947</v>
      </c>
      <c r="Q7" s="2">
        <v>81592.309999999954</v>
      </c>
      <c r="R7" s="2">
        <v>81612.109999999957</v>
      </c>
      <c r="S7" s="2">
        <v>81633.589999999953</v>
      </c>
      <c r="T7" s="2">
        <v>81654.739999999947</v>
      </c>
      <c r="U7" s="2">
        <v>81676.089999999953</v>
      </c>
      <c r="V7" s="2">
        <v>81697.189999999959</v>
      </c>
      <c r="W7" s="2">
        <v>81716.509999999966</v>
      </c>
      <c r="X7" s="2">
        <v>81733.049999999959</v>
      </c>
      <c r="Y7" s="2">
        <v>81733.099999999962</v>
      </c>
      <c r="Z7" s="2">
        <v>81733.099999999962</v>
      </c>
      <c r="AA7" s="2">
        <v>81733.099999999962</v>
      </c>
      <c r="AB7" s="2">
        <v>81746.26999999996</v>
      </c>
      <c r="AC7" s="2">
        <v>81765.489999999962</v>
      </c>
      <c r="AD7" s="2">
        <v>81787.239999999962</v>
      </c>
      <c r="AE7" s="2">
        <v>81808.579999999958</v>
      </c>
      <c r="AF7" s="3"/>
      <c r="AG7" s="51">
        <f t="shared" si="0"/>
        <v>81808.579999999958</v>
      </c>
      <c r="AH7" s="44">
        <v>81293.16</v>
      </c>
    </row>
    <row r="8" spans="1:34" x14ac:dyDescent="0.35">
      <c r="A8" s="33" t="s">
        <v>14</v>
      </c>
      <c r="B8" s="10">
        <v>76731.990000000093</v>
      </c>
      <c r="C8" s="2">
        <v>76731.990000000093</v>
      </c>
      <c r="D8" s="2">
        <v>76741.510000000097</v>
      </c>
      <c r="E8" s="2">
        <v>76762.030000000101</v>
      </c>
      <c r="F8" s="2">
        <v>76776.960000000094</v>
      </c>
      <c r="G8" s="2">
        <v>76799.0600000001</v>
      </c>
      <c r="H8" s="2">
        <v>76815.220000000103</v>
      </c>
      <c r="I8" s="2">
        <v>76830.510000000097</v>
      </c>
      <c r="J8" s="2">
        <v>76852.480000000098</v>
      </c>
      <c r="K8" s="2">
        <v>76866.710000000094</v>
      </c>
      <c r="L8" s="2">
        <v>76886.370000000097</v>
      </c>
      <c r="M8" s="2">
        <v>76908.350000000093</v>
      </c>
      <c r="N8" s="2">
        <v>76929.990000000093</v>
      </c>
      <c r="O8" s="2">
        <v>76949.0600000001</v>
      </c>
      <c r="P8" s="2">
        <v>76970.830000000104</v>
      </c>
      <c r="Q8" s="2">
        <v>76987.750000000102</v>
      </c>
      <c r="R8" s="2">
        <v>77006.410000000105</v>
      </c>
      <c r="S8" s="2">
        <v>77018.840000000098</v>
      </c>
      <c r="T8" s="2">
        <v>77033.480000000098</v>
      </c>
      <c r="U8" s="2">
        <v>77033.480000000098</v>
      </c>
      <c r="V8" s="2">
        <v>77033.480000000098</v>
      </c>
      <c r="W8" s="2">
        <v>77033.480000000098</v>
      </c>
      <c r="X8" s="2">
        <v>77033.480000000098</v>
      </c>
      <c r="Y8" s="2">
        <v>77033.480000000098</v>
      </c>
      <c r="Z8" s="2">
        <v>77033.480000000098</v>
      </c>
      <c r="AA8" s="2">
        <v>77033.480000000098</v>
      </c>
      <c r="AB8" s="2">
        <v>77033.480000000098</v>
      </c>
      <c r="AC8" s="2">
        <v>77038.160000000091</v>
      </c>
      <c r="AD8" s="2">
        <v>77056.390000000087</v>
      </c>
      <c r="AE8" s="2">
        <v>77077.43000000008</v>
      </c>
      <c r="AF8" s="3"/>
      <c r="AG8" s="51">
        <f t="shared" si="0"/>
        <v>77077.43000000008</v>
      </c>
      <c r="AH8" s="44">
        <v>76731.990000000005</v>
      </c>
    </row>
    <row r="9" spans="1:34" x14ac:dyDescent="0.35">
      <c r="A9" s="33" t="s">
        <v>15</v>
      </c>
      <c r="B9" s="10">
        <v>78906.420000000042</v>
      </c>
      <c r="C9" s="2">
        <v>78927.760000000038</v>
      </c>
      <c r="D9" s="2">
        <v>78949.020000000033</v>
      </c>
      <c r="E9" s="2">
        <v>78964.600000000035</v>
      </c>
      <c r="F9" s="2">
        <v>78967.140000000029</v>
      </c>
      <c r="G9" s="2">
        <v>78968.950000000026</v>
      </c>
      <c r="H9" s="2">
        <v>78989.150000000023</v>
      </c>
      <c r="I9" s="2">
        <v>79009.22000000003</v>
      </c>
      <c r="J9" s="2">
        <v>79029.200000000026</v>
      </c>
      <c r="K9" s="2">
        <v>79048.260000000024</v>
      </c>
      <c r="L9" s="2">
        <v>79063.040000000023</v>
      </c>
      <c r="M9" s="2">
        <v>79083.60000000002</v>
      </c>
      <c r="N9" s="2">
        <v>79105.270000000019</v>
      </c>
      <c r="O9" s="2">
        <v>79125.560000000012</v>
      </c>
      <c r="P9" s="2">
        <v>79146.920000000013</v>
      </c>
      <c r="Q9" s="2">
        <v>79168.340000000011</v>
      </c>
      <c r="R9" s="2">
        <v>79189.420000000013</v>
      </c>
      <c r="S9" s="2">
        <v>79210.910000000018</v>
      </c>
      <c r="T9" s="2">
        <v>79230.180000000022</v>
      </c>
      <c r="U9" s="2">
        <v>79249.160000000018</v>
      </c>
      <c r="V9" s="2">
        <v>79250.940000000017</v>
      </c>
      <c r="W9" s="2">
        <v>79265.780000000013</v>
      </c>
      <c r="X9" s="2">
        <v>79287.660000000018</v>
      </c>
      <c r="Y9" s="2">
        <v>79303.560000000012</v>
      </c>
      <c r="Z9" s="2">
        <v>79314.880000000019</v>
      </c>
      <c r="AA9" s="2">
        <v>79326.210000000021</v>
      </c>
      <c r="AB9" s="2">
        <v>79340.050000000017</v>
      </c>
      <c r="AC9" s="2">
        <v>79361.450000000012</v>
      </c>
      <c r="AD9" s="2">
        <v>79382.62000000001</v>
      </c>
      <c r="AE9" s="2">
        <v>79404.390000000014</v>
      </c>
      <c r="AF9" s="3"/>
      <c r="AG9" s="51">
        <f t="shared" si="0"/>
        <v>79404.390000000014</v>
      </c>
      <c r="AH9" s="44">
        <v>78891.460000000006</v>
      </c>
    </row>
    <row r="10" spans="1:34" x14ac:dyDescent="0.35">
      <c r="A10" s="33" t="s">
        <v>16</v>
      </c>
      <c r="B10" s="10">
        <v>78254.740000000093</v>
      </c>
      <c r="C10" s="2">
        <v>78254.740000000093</v>
      </c>
      <c r="D10" s="2">
        <v>78257.94000000009</v>
      </c>
      <c r="E10" s="2">
        <v>78279.610000000088</v>
      </c>
      <c r="F10" s="2">
        <v>78301.090000000084</v>
      </c>
      <c r="G10" s="2">
        <v>78322.830000000089</v>
      </c>
      <c r="H10" s="2">
        <v>78344.700000000084</v>
      </c>
      <c r="I10" s="2">
        <v>78366.290000000081</v>
      </c>
      <c r="J10" s="2">
        <v>78385.050000000076</v>
      </c>
      <c r="K10" s="2">
        <v>78404.900000000081</v>
      </c>
      <c r="L10" s="2">
        <v>78425.330000000075</v>
      </c>
      <c r="M10" s="2">
        <v>78447.090000000069</v>
      </c>
      <c r="N10" s="2">
        <v>78468.410000000076</v>
      </c>
      <c r="O10" s="2">
        <v>78488.600000000079</v>
      </c>
      <c r="P10" s="2">
        <v>78510.530000000072</v>
      </c>
      <c r="Q10" s="2">
        <v>78512.500000000073</v>
      </c>
      <c r="R10" s="2">
        <v>78533.910000000076</v>
      </c>
      <c r="S10" s="2">
        <v>78552.400000000081</v>
      </c>
      <c r="T10" s="2">
        <v>78573.280000000086</v>
      </c>
      <c r="U10" s="2">
        <v>78595.030000000086</v>
      </c>
      <c r="V10" s="2">
        <v>78616.630000000092</v>
      </c>
      <c r="W10" s="2">
        <v>78638.510000000097</v>
      </c>
      <c r="X10" s="2">
        <v>78643.080000000104</v>
      </c>
      <c r="Y10" s="2">
        <v>78656.520000000106</v>
      </c>
      <c r="Z10" s="2">
        <v>78677.980000000112</v>
      </c>
      <c r="AA10" s="2">
        <v>78699.220000000118</v>
      </c>
      <c r="AB10" s="2">
        <v>78707.590000000113</v>
      </c>
      <c r="AC10" s="2">
        <v>78721.800000000119</v>
      </c>
      <c r="AD10" s="2">
        <v>78723.010000000126</v>
      </c>
      <c r="AE10" s="2">
        <v>78743.870000000126</v>
      </c>
      <c r="AF10" s="3"/>
      <c r="AG10" s="51">
        <f t="shared" si="0"/>
        <v>78743.870000000126</v>
      </c>
      <c r="AH10" s="44">
        <v>78254.740000000005</v>
      </c>
    </row>
    <row r="11" spans="1:34" x14ac:dyDescent="0.35">
      <c r="A11" s="33" t="s">
        <v>17</v>
      </c>
      <c r="B11" s="10">
        <v>76462.970000000438</v>
      </c>
      <c r="C11" s="2">
        <v>76462.970000000438</v>
      </c>
      <c r="D11" s="2">
        <v>76465.120000000432</v>
      </c>
      <c r="E11" s="2">
        <v>76486.950000000434</v>
      </c>
      <c r="F11" s="2">
        <v>76508.000000000437</v>
      </c>
      <c r="G11" s="2">
        <v>76527.66000000044</v>
      </c>
      <c r="H11" s="2">
        <v>76546.900000000445</v>
      </c>
      <c r="I11" s="2">
        <v>76568.240000000442</v>
      </c>
      <c r="J11" s="2">
        <v>76586.480000000447</v>
      </c>
      <c r="K11" s="2">
        <v>76607.580000000453</v>
      </c>
      <c r="L11" s="2">
        <v>76625.300000000454</v>
      </c>
      <c r="M11" s="2">
        <v>76641.830000000453</v>
      </c>
      <c r="N11" s="2">
        <v>76662.840000000448</v>
      </c>
      <c r="O11" s="2">
        <v>76684.040000000445</v>
      </c>
      <c r="P11" s="2">
        <v>76696.630000000441</v>
      </c>
      <c r="Q11" s="2">
        <v>76718.16000000044</v>
      </c>
      <c r="R11" s="2">
        <v>76739.510000000446</v>
      </c>
      <c r="S11" s="2">
        <v>76760.480000000447</v>
      </c>
      <c r="T11" s="2">
        <v>76781.720000000452</v>
      </c>
      <c r="U11" s="2">
        <v>76802.910000000455</v>
      </c>
      <c r="V11" s="2">
        <v>76820.590000000448</v>
      </c>
      <c r="W11" s="2">
        <v>76827.060000000449</v>
      </c>
      <c r="X11" s="2">
        <v>76849.190000000453</v>
      </c>
      <c r="Y11" s="2">
        <v>76870.310000000449</v>
      </c>
      <c r="Z11" s="2">
        <v>76891.920000000449</v>
      </c>
      <c r="AA11" s="2">
        <v>76898.610000000452</v>
      </c>
      <c r="AB11" s="2">
        <v>76898.610000000452</v>
      </c>
      <c r="AC11" s="2">
        <v>76908.450000000448</v>
      </c>
      <c r="AD11" s="2">
        <v>76923.400000000445</v>
      </c>
      <c r="AE11" s="2">
        <v>76941.870000000446</v>
      </c>
      <c r="AF11" s="3"/>
      <c r="AG11" s="51">
        <f t="shared" si="0"/>
        <v>76941.870000000446</v>
      </c>
      <c r="AH11" s="44">
        <v>76462.27</v>
      </c>
    </row>
    <row r="12" spans="1:34" x14ac:dyDescent="0.35">
      <c r="A12" s="33" t="s">
        <v>18</v>
      </c>
      <c r="B12" s="10">
        <v>76921.389999999796</v>
      </c>
      <c r="C12" s="2">
        <v>76930.949999999793</v>
      </c>
      <c r="D12" s="2">
        <v>76934.2699999998</v>
      </c>
      <c r="E12" s="2">
        <v>76955.6599999998</v>
      </c>
      <c r="F12" s="2">
        <v>76974.759999999806</v>
      </c>
      <c r="G12" s="2">
        <v>76988.6599999998</v>
      </c>
      <c r="H12" s="2">
        <v>76999.619999999806</v>
      </c>
      <c r="I12" s="2">
        <v>77002.419999999809</v>
      </c>
      <c r="J12" s="2">
        <v>77016.969999999812</v>
      </c>
      <c r="K12" s="2">
        <v>77022.289999999819</v>
      </c>
      <c r="L12" s="2">
        <v>77044.119999999821</v>
      </c>
      <c r="M12" s="2">
        <v>77049.449999999822</v>
      </c>
      <c r="N12" s="2">
        <v>77058.489999999816</v>
      </c>
      <c r="O12" s="2">
        <v>77074.669999999809</v>
      </c>
      <c r="P12" s="2">
        <v>77083.919999999809</v>
      </c>
      <c r="Q12" s="2">
        <v>77104.499999999811</v>
      </c>
      <c r="R12" s="2">
        <v>77125.809999999808</v>
      </c>
      <c r="S12" s="2">
        <v>77142.899999999805</v>
      </c>
      <c r="T12" s="2">
        <v>77164.479999999807</v>
      </c>
      <c r="U12" s="2">
        <v>77185.359999999811</v>
      </c>
      <c r="V12" s="2">
        <v>77206.579999999813</v>
      </c>
      <c r="W12" s="2">
        <v>77228.019999999815</v>
      </c>
      <c r="X12" s="2">
        <v>77249.209999999817</v>
      </c>
      <c r="Y12" s="2">
        <v>77269.879999999815</v>
      </c>
      <c r="Z12" s="2">
        <v>77292.039999999819</v>
      </c>
      <c r="AA12" s="2">
        <v>77315.00999999982</v>
      </c>
      <c r="AB12" s="2">
        <v>77338.219999999827</v>
      </c>
      <c r="AC12" s="2">
        <v>77360.439999999828</v>
      </c>
      <c r="AD12" s="2">
        <v>77361.229999999821</v>
      </c>
      <c r="AE12" s="2">
        <v>77361.229999999821</v>
      </c>
      <c r="AF12" s="3"/>
      <c r="AG12" s="51">
        <f t="shared" si="0"/>
        <v>77361.229999999821</v>
      </c>
      <c r="AH12" s="44">
        <v>76902.63</v>
      </c>
    </row>
    <row r="13" spans="1:34" x14ac:dyDescent="0.35">
      <c r="A13" s="33" t="s">
        <v>19</v>
      </c>
      <c r="B13" s="10">
        <v>73706.850000000006</v>
      </c>
      <c r="C13" s="2">
        <v>73725.62000000001</v>
      </c>
      <c r="D13" s="2">
        <v>73742.710000000006</v>
      </c>
      <c r="E13" s="2">
        <v>73757.08</v>
      </c>
      <c r="F13" s="2">
        <v>73776.600000000006</v>
      </c>
      <c r="G13" s="2">
        <v>73782.28</v>
      </c>
      <c r="H13" s="2">
        <v>73803.399999999994</v>
      </c>
      <c r="I13" s="2">
        <v>73814.25</v>
      </c>
      <c r="J13" s="2">
        <v>73821.440000000002</v>
      </c>
      <c r="K13" s="2">
        <v>73843.240000000005</v>
      </c>
      <c r="L13" s="2">
        <v>73861.77</v>
      </c>
      <c r="M13" s="2">
        <v>73883.11</v>
      </c>
      <c r="N13" s="2">
        <v>73905.490000000005</v>
      </c>
      <c r="O13" s="2">
        <v>73923.950000000012</v>
      </c>
      <c r="P13" s="2">
        <v>73924.38</v>
      </c>
      <c r="Q13" s="2">
        <v>73926.78</v>
      </c>
      <c r="R13" s="2">
        <v>73939</v>
      </c>
      <c r="S13" s="2">
        <v>73959.320000000007</v>
      </c>
      <c r="T13" s="2">
        <v>73972.920000000013</v>
      </c>
      <c r="U13" s="2">
        <v>73984.840000000011</v>
      </c>
      <c r="V13" s="2">
        <v>74005.070000000007</v>
      </c>
      <c r="W13" s="2">
        <v>74015.97</v>
      </c>
      <c r="X13" s="2">
        <v>74015.97</v>
      </c>
      <c r="Y13" s="2">
        <v>74015.97</v>
      </c>
      <c r="Z13" s="2">
        <v>74015.97</v>
      </c>
      <c r="AA13" s="2">
        <v>74037.2</v>
      </c>
      <c r="AB13" s="2">
        <v>74058.94</v>
      </c>
      <c r="AC13" s="2">
        <v>74080.680000000008</v>
      </c>
      <c r="AD13" s="2">
        <v>74102.650000000009</v>
      </c>
      <c r="AE13" s="2">
        <v>74123.570000000007</v>
      </c>
      <c r="AF13" s="3"/>
      <c r="AG13" s="51">
        <f t="shared" si="0"/>
        <v>74123.570000000007</v>
      </c>
      <c r="AH13" s="44">
        <v>73701.600000000006</v>
      </c>
    </row>
    <row r="14" spans="1:34" x14ac:dyDescent="0.35">
      <c r="A14" s="33" t="s">
        <v>20</v>
      </c>
      <c r="B14" s="10">
        <v>72029.340000000084</v>
      </c>
      <c r="C14" s="2">
        <v>72044.120000000083</v>
      </c>
      <c r="D14" s="2">
        <v>72062.560000000085</v>
      </c>
      <c r="E14" s="2">
        <v>72069.060000000085</v>
      </c>
      <c r="F14" s="2">
        <v>72089.160000000091</v>
      </c>
      <c r="G14" s="2">
        <v>72109.920000000086</v>
      </c>
      <c r="H14" s="2">
        <v>72131.340000000084</v>
      </c>
      <c r="I14" s="2">
        <v>72153.230000000083</v>
      </c>
      <c r="J14" s="2">
        <v>72174.57000000008</v>
      </c>
      <c r="K14" s="2">
        <v>72195.800000000076</v>
      </c>
      <c r="L14" s="2">
        <v>72216.940000000075</v>
      </c>
      <c r="M14" s="2">
        <v>72237.620000000068</v>
      </c>
      <c r="N14" s="2">
        <v>72259.340000000069</v>
      </c>
      <c r="O14" s="2">
        <v>72280.20000000007</v>
      </c>
      <c r="P14" s="2">
        <v>72300.300000000076</v>
      </c>
      <c r="Q14" s="2">
        <v>72321.790000000081</v>
      </c>
      <c r="R14" s="2">
        <v>72335.68000000008</v>
      </c>
      <c r="S14" s="2">
        <v>72356.350000000079</v>
      </c>
      <c r="T14" s="2">
        <v>72374.840000000084</v>
      </c>
      <c r="U14" s="2">
        <v>72391.250000000087</v>
      </c>
      <c r="V14" s="2">
        <v>72410.30000000009</v>
      </c>
      <c r="W14" s="2">
        <v>72429.05000000009</v>
      </c>
      <c r="X14" s="2">
        <v>72445.740000000093</v>
      </c>
      <c r="Y14" s="2">
        <v>72467.750000000087</v>
      </c>
      <c r="Z14" s="2">
        <v>72484.340000000084</v>
      </c>
      <c r="AA14" s="2">
        <v>72502.43000000008</v>
      </c>
      <c r="AB14" s="2">
        <v>72523.590000000084</v>
      </c>
      <c r="AC14" s="2">
        <v>72544.920000000086</v>
      </c>
      <c r="AD14" s="2">
        <v>72566.880000000092</v>
      </c>
      <c r="AE14" s="2">
        <v>72588.020000000091</v>
      </c>
      <c r="AF14" s="3"/>
      <c r="AG14" s="51">
        <f t="shared" si="0"/>
        <v>72588.020000000091</v>
      </c>
      <c r="AH14" s="44">
        <v>72008.22</v>
      </c>
    </row>
    <row r="15" spans="1:34" x14ac:dyDescent="0.35">
      <c r="A15" s="33" t="s">
        <v>21</v>
      </c>
      <c r="B15" s="10">
        <v>73129.440000000104</v>
      </c>
      <c r="C15" s="2">
        <v>73150.500000000102</v>
      </c>
      <c r="D15" s="2">
        <v>73171.380000000107</v>
      </c>
      <c r="E15" s="2">
        <v>73192.890000000101</v>
      </c>
      <c r="F15" s="2">
        <v>73212.190000000104</v>
      </c>
      <c r="G15" s="2">
        <v>73233.54000000011</v>
      </c>
      <c r="H15" s="2">
        <v>73254.340000000113</v>
      </c>
      <c r="I15" s="2">
        <v>73269.130000000107</v>
      </c>
      <c r="J15" s="2">
        <v>73287.710000000108</v>
      </c>
      <c r="K15" s="2">
        <v>73308.200000000114</v>
      </c>
      <c r="L15" s="2">
        <v>73329.480000000112</v>
      </c>
      <c r="M15" s="2">
        <v>73350.960000000108</v>
      </c>
      <c r="N15" s="2">
        <v>73372.840000000113</v>
      </c>
      <c r="O15" s="2">
        <v>73376.710000000108</v>
      </c>
      <c r="P15" s="2">
        <v>73382.770000000106</v>
      </c>
      <c r="Q15" s="2">
        <v>73382.770000000106</v>
      </c>
      <c r="R15" s="2">
        <v>73382.770000000106</v>
      </c>
      <c r="S15" s="2">
        <v>73382.770000000106</v>
      </c>
      <c r="T15" s="2">
        <v>73382.770000000106</v>
      </c>
      <c r="U15" s="2">
        <v>73382.770000000106</v>
      </c>
      <c r="V15" s="2">
        <v>73382.770000000106</v>
      </c>
      <c r="W15" s="2">
        <v>73382.770000000106</v>
      </c>
      <c r="X15" s="2">
        <v>73382.770000000106</v>
      </c>
      <c r="Y15" s="2">
        <v>73382.770000000106</v>
      </c>
      <c r="Z15" s="2">
        <v>73382.770000000106</v>
      </c>
      <c r="AA15" s="2">
        <v>73382.770000000106</v>
      </c>
      <c r="AB15" s="2">
        <v>73382.770000000106</v>
      </c>
      <c r="AC15" s="2">
        <v>73382.770000000106</v>
      </c>
      <c r="AD15" s="2">
        <v>73382.770000000106</v>
      </c>
      <c r="AE15" s="2">
        <v>73382.770000000106</v>
      </c>
      <c r="AF15" s="3"/>
      <c r="AG15" s="51">
        <f t="shared" si="0"/>
        <v>73382.770000000106</v>
      </c>
      <c r="AH15" s="44">
        <v>73112.679999999993</v>
      </c>
    </row>
    <row r="16" spans="1:34" x14ac:dyDescent="0.35">
      <c r="A16" s="33" t="s">
        <v>22</v>
      </c>
      <c r="B16" s="10">
        <v>70811.849999999904</v>
      </c>
      <c r="C16" s="2">
        <v>70832.669999999911</v>
      </c>
      <c r="D16" s="2">
        <v>70853.80999999991</v>
      </c>
      <c r="E16" s="2">
        <v>70874.999999999913</v>
      </c>
      <c r="F16" s="2">
        <v>70890.519999999917</v>
      </c>
      <c r="G16" s="2">
        <v>70905.839999999924</v>
      </c>
      <c r="H16" s="2">
        <v>70917.229999999923</v>
      </c>
      <c r="I16" s="2">
        <v>70938.289999999921</v>
      </c>
      <c r="J16" s="2">
        <v>70959.809999999925</v>
      </c>
      <c r="K16" s="2">
        <v>70976.599999999919</v>
      </c>
      <c r="L16" s="2">
        <v>70998.499999999913</v>
      </c>
      <c r="M16" s="2">
        <v>71019.709999999919</v>
      </c>
      <c r="N16" s="2">
        <v>71031.06999999992</v>
      </c>
      <c r="O16" s="2">
        <v>71048.059999999925</v>
      </c>
      <c r="P16" s="2">
        <v>71068.339999999924</v>
      </c>
      <c r="Q16" s="2">
        <v>71087.099999999919</v>
      </c>
      <c r="R16" s="2">
        <v>71105.299999999916</v>
      </c>
      <c r="S16" s="2">
        <v>71125.889999999912</v>
      </c>
      <c r="T16" s="2">
        <v>71136.429999999906</v>
      </c>
      <c r="U16" s="2">
        <v>71157.94999999991</v>
      </c>
      <c r="V16" s="2">
        <v>71174.69999999991</v>
      </c>
      <c r="W16" s="2">
        <v>71194.629999999903</v>
      </c>
      <c r="X16" s="2">
        <v>71199.029999999897</v>
      </c>
      <c r="Y16" s="2">
        <v>71201.4399999999</v>
      </c>
      <c r="Z16" s="2">
        <v>71222.479999999894</v>
      </c>
      <c r="AA16" s="2">
        <v>71244.609999999899</v>
      </c>
      <c r="AB16" s="2">
        <v>71263.449999999895</v>
      </c>
      <c r="AC16" s="2">
        <v>71283.379999999888</v>
      </c>
      <c r="AD16" s="2">
        <v>71305.259999999893</v>
      </c>
      <c r="AE16" s="2">
        <v>71326.869999999893</v>
      </c>
      <c r="AF16" s="3"/>
      <c r="AG16" s="51">
        <f t="shared" si="0"/>
        <v>71326.869999999893</v>
      </c>
      <c r="AH16" s="44">
        <v>70789.899999999994</v>
      </c>
    </row>
    <row r="17" spans="1:34" x14ac:dyDescent="0.35">
      <c r="A17" s="33" t="s">
        <v>23</v>
      </c>
      <c r="B17" s="10">
        <v>72388.080000000147</v>
      </c>
      <c r="C17" s="2">
        <v>72404.920000000144</v>
      </c>
      <c r="D17" s="2">
        <v>72425.910000000149</v>
      </c>
      <c r="E17" s="2">
        <v>72441.440000000148</v>
      </c>
      <c r="F17" s="2">
        <v>72457.320000000153</v>
      </c>
      <c r="G17" s="2">
        <v>72473.530000000159</v>
      </c>
      <c r="H17" s="2">
        <v>72485.670000000158</v>
      </c>
      <c r="I17" s="2">
        <v>72495.690000000162</v>
      </c>
      <c r="J17" s="2">
        <v>72511.180000000168</v>
      </c>
      <c r="K17" s="2">
        <v>72516.830000000162</v>
      </c>
      <c r="L17" s="2">
        <v>72535.840000000157</v>
      </c>
      <c r="M17" s="2">
        <v>72557.550000000163</v>
      </c>
      <c r="N17" s="2">
        <v>72579.400000000169</v>
      </c>
      <c r="O17" s="2">
        <v>72593.970000000176</v>
      </c>
      <c r="P17" s="2">
        <v>72615.770000000179</v>
      </c>
      <c r="Q17" s="2">
        <v>72637.310000000172</v>
      </c>
      <c r="R17" s="2">
        <v>72657.800000000178</v>
      </c>
      <c r="S17" s="2">
        <v>72679.110000000175</v>
      </c>
      <c r="T17" s="2">
        <v>72679.580000000176</v>
      </c>
      <c r="U17" s="2">
        <v>72679.580000000176</v>
      </c>
      <c r="V17" s="2">
        <v>72693.60000000018</v>
      </c>
      <c r="W17" s="2">
        <v>72715.030000000173</v>
      </c>
      <c r="X17" s="2">
        <v>72736.710000000166</v>
      </c>
      <c r="Y17" s="2">
        <v>72758.800000000163</v>
      </c>
      <c r="Z17" s="2">
        <v>72779.810000000158</v>
      </c>
      <c r="AA17" s="2">
        <v>72793.170000000158</v>
      </c>
      <c r="AB17" s="2">
        <v>72814.600000000151</v>
      </c>
      <c r="AC17" s="2">
        <v>72831.200000000157</v>
      </c>
      <c r="AD17" s="2">
        <v>72850.990000000151</v>
      </c>
      <c r="AE17" s="2">
        <v>72869.690000000148</v>
      </c>
      <c r="AF17" s="3"/>
      <c r="AG17" s="51">
        <f t="shared" si="0"/>
        <v>72869.690000000148</v>
      </c>
      <c r="AH17" s="44">
        <v>72369.509999999995</v>
      </c>
    </row>
    <row r="18" spans="1:34" x14ac:dyDescent="0.35">
      <c r="A18" s="33" t="s">
        <v>24</v>
      </c>
      <c r="B18" s="10">
        <v>72562.29000000011</v>
      </c>
      <c r="C18" s="2">
        <v>72573.470000000103</v>
      </c>
      <c r="D18" s="2">
        <v>72593.610000000102</v>
      </c>
      <c r="E18" s="2">
        <v>72615.480000000098</v>
      </c>
      <c r="F18" s="2">
        <v>72630.300000000105</v>
      </c>
      <c r="G18" s="2">
        <v>72645.280000000101</v>
      </c>
      <c r="H18" s="2">
        <v>72665.650000000096</v>
      </c>
      <c r="I18" s="2">
        <v>72684.480000000098</v>
      </c>
      <c r="J18" s="2">
        <v>72705.990000000093</v>
      </c>
      <c r="K18" s="2">
        <v>72725.000000000087</v>
      </c>
      <c r="L18" s="2">
        <v>72746.450000000084</v>
      </c>
      <c r="M18" s="2">
        <v>72761.920000000086</v>
      </c>
      <c r="N18" s="2">
        <v>72783.30000000009</v>
      </c>
      <c r="O18" s="2">
        <v>72789.890000000087</v>
      </c>
      <c r="P18" s="2">
        <v>72811.590000000084</v>
      </c>
      <c r="Q18" s="2">
        <v>72824.160000000091</v>
      </c>
      <c r="R18" s="2">
        <v>72845.850000000093</v>
      </c>
      <c r="S18" s="2">
        <v>72866.250000000087</v>
      </c>
      <c r="T18" s="2">
        <v>72887.600000000093</v>
      </c>
      <c r="U18" s="2">
        <v>72907.640000000087</v>
      </c>
      <c r="V18" s="2">
        <v>72927.910000000091</v>
      </c>
      <c r="W18" s="2">
        <v>72947.640000000087</v>
      </c>
      <c r="X18" s="2">
        <v>72968.100000000093</v>
      </c>
      <c r="Y18" s="2">
        <v>72989.130000000092</v>
      </c>
      <c r="Z18" s="2">
        <v>72999.210000000094</v>
      </c>
      <c r="AA18" s="2">
        <v>73011.210000000094</v>
      </c>
      <c r="AB18" s="2">
        <v>73021.520000000091</v>
      </c>
      <c r="AC18" s="2">
        <v>73042.660000000091</v>
      </c>
      <c r="AD18" s="2">
        <v>73063.590000000084</v>
      </c>
      <c r="AE18" s="2">
        <v>73085.32000000008</v>
      </c>
      <c r="AF18" s="3"/>
      <c r="AG18" s="51">
        <f t="shared" si="0"/>
        <v>73085.32000000008</v>
      </c>
      <c r="AH18" s="44">
        <v>72555.23</v>
      </c>
    </row>
    <row r="19" spans="1:34" x14ac:dyDescent="0.35">
      <c r="A19" s="33" t="s">
        <v>25</v>
      </c>
      <c r="B19" s="10">
        <v>71083.260000000257</v>
      </c>
      <c r="C19" s="2">
        <v>71086.31000000026</v>
      </c>
      <c r="D19" s="2">
        <v>71107.470000000263</v>
      </c>
      <c r="E19" s="2">
        <v>71127.840000000258</v>
      </c>
      <c r="F19" s="2">
        <v>71142.980000000258</v>
      </c>
      <c r="G19" s="2">
        <v>71146.910000000251</v>
      </c>
      <c r="H19" s="2">
        <v>71163.840000000244</v>
      </c>
      <c r="I19" s="2">
        <v>71184.400000000242</v>
      </c>
      <c r="J19" s="2">
        <v>71202.550000000236</v>
      </c>
      <c r="K19" s="2">
        <v>71222.860000000233</v>
      </c>
      <c r="L19" s="2">
        <v>71244.380000000237</v>
      </c>
      <c r="M19" s="2">
        <v>71266.110000000233</v>
      </c>
      <c r="N19" s="2">
        <v>71287.530000000232</v>
      </c>
      <c r="O19" s="2">
        <v>71305.990000000238</v>
      </c>
      <c r="P19" s="2">
        <v>71326.420000000231</v>
      </c>
      <c r="Q19" s="2">
        <v>71348.130000000237</v>
      </c>
      <c r="R19" s="2">
        <v>71369.880000000237</v>
      </c>
      <c r="S19" s="2">
        <v>71391.43000000024</v>
      </c>
      <c r="T19" s="2">
        <v>71413.050000000236</v>
      </c>
      <c r="U19" s="2">
        <v>71435.560000000231</v>
      </c>
      <c r="V19" s="2">
        <v>71456.920000000231</v>
      </c>
      <c r="W19" s="2">
        <v>71477.560000000231</v>
      </c>
      <c r="X19" s="2">
        <v>71499.080000000235</v>
      </c>
      <c r="Y19" s="2">
        <v>71519.690000000235</v>
      </c>
      <c r="Z19" s="2">
        <v>71532.490000000238</v>
      </c>
      <c r="AA19" s="2">
        <v>71553.870000000243</v>
      </c>
      <c r="AB19" s="2">
        <v>71572.830000000249</v>
      </c>
      <c r="AC19" s="2">
        <v>71586.570000000254</v>
      </c>
      <c r="AD19" s="2">
        <v>71608.820000000254</v>
      </c>
      <c r="AE19" s="2">
        <v>71628.210000000254</v>
      </c>
      <c r="AF19" s="3"/>
      <c r="AG19" s="51">
        <f t="shared" si="0"/>
        <v>71628.210000000254</v>
      </c>
      <c r="AH19" s="44">
        <v>71066.179999999993</v>
      </c>
    </row>
    <row r="20" spans="1:34" x14ac:dyDescent="0.35">
      <c r="A20" s="33" t="s">
        <v>26</v>
      </c>
      <c r="B20" s="10">
        <v>71892.409999999916</v>
      </c>
      <c r="C20" s="2">
        <v>71892.409999999916</v>
      </c>
      <c r="D20" s="2">
        <v>71892.409999999916</v>
      </c>
      <c r="E20" s="2">
        <v>71913.649999999921</v>
      </c>
      <c r="F20" s="2">
        <v>71935.189999999915</v>
      </c>
      <c r="G20" s="2">
        <v>71956.67999999992</v>
      </c>
      <c r="H20" s="2">
        <v>71973.589999999924</v>
      </c>
      <c r="I20" s="2">
        <v>71989.809999999925</v>
      </c>
      <c r="J20" s="2">
        <v>72010.269999999931</v>
      </c>
      <c r="K20" s="2">
        <v>72031.639999999927</v>
      </c>
      <c r="L20" s="2">
        <v>72049.79999999993</v>
      </c>
      <c r="M20" s="2">
        <v>72071.559999999925</v>
      </c>
      <c r="N20" s="2">
        <v>72080.769999999931</v>
      </c>
      <c r="O20" s="2">
        <v>72099.509999999937</v>
      </c>
      <c r="P20" s="2">
        <v>72102.679999999935</v>
      </c>
      <c r="Q20" s="2">
        <v>72124.279999999941</v>
      </c>
      <c r="R20" s="2">
        <v>72144.589999999938</v>
      </c>
      <c r="S20" s="2">
        <v>72165.739999999932</v>
      </c>
      <c r="T20" s="2">
        <v>72186.929999999935</v>
      </c>
      <c r="U20" s="2">
        <v>72207.029999999941</v>
      </c>
      <c r="V20" s="2">
        <v>72226.799999999945</v>
      </c>
      <c r="W20" s="2">
        <v>72247.869999999952</v>
      </c>
      <c r="X20" s="2">
        <v>72268.689999999959</v>
      </c>
      <c r="Y20" s="2">
        <v>72285.859999999957</v>
      </c>
      <c r="Z20" s="2">
        <v>72307.499999999956</v>
      </c>
      <c r="AA20" s="2">
        <v>72320.389999999956</v>
      </c>
      <c r="AB20" s="2">
        <v>72333.739999999962</v>
      </c>
      <c r="AC20" s="2">
        <v>72355.129999999961</v>
      </c>
      <c r="AD20" s="2">
        <v>72370.929999999964</v>
      </c>
      <c r="AE20" s="2">
        <v>72392.449999999968</v>
      </c>
      <c r="AF20" s="3"/>
      <c r="AG20" s="51">
        <f t="shared" si="0"/>
        <v>72392.449999999968</v>
      </c>
      <c r="AH20" s="44">
        <v>71892.41</v>
      </c>
    </row>
    <row r="21" spans="1:34" x14ac:dyDescent="0.35">
      <c r="A21" s="33" t="s">
        <v>27</v>
      </c>
      <c r="B21" s="10">
        <v>73035.400000000096</v>
      </c>
      <c r="C21" s="2">
        <v>73056.720000000103</v>
      </c>
      <c r="D21" s="2">
        <v>73077.820000000109</v>
      </c>
      <c r="E21" s="2">
        <v>73098.150000000111</v>
      </c>
      <c r="F21" s="2">
        <v>73113.460000000108</v>
      </c>
      <c r="G21" s="2">
        <v>73132.130000000107</v>
      </c>
      <c r="H21" s="2">
        <v>73153.780000000101</v>
      </c>
      <c r="I21" s="2">
        <v>73175.9200000001</v>
      </c>
      <c r="J21" s="2">
        <v>73188.730000000098</v>
      </c>
      <c r="K21" s="2">
        <v>73209.370000000097</v>
      </c>
      <c r="L21" s="2">
        <v>73224.150000000096</v>
      </c>
      <c r="M21" s="2">
        <v>73239.130000000092</v>
      </c>
      <c r="N21" s="2">
        <v>73256.030000000086</v>
      </c>
      <c r="O21" s="2">
        <v>73274.540000000081</v>
      </c>
      <c r="P21" s="2">
        <v>73280.390000000087</v>
      </c>
      <c r="Q21" s="2">
        <v>73297.250000000087</v>
      </c>
      <c r="R21" s="2">
        <v>73318.590000000084</v>
      </c>
      <c r="S21" s="2">
        <v>73325.780000000086</v>
      </c>
      <c r="T21" s="2">
        <v>73346.950000000084</v>
      </c>
      <c r="U21" s="2">
        <v>73368.960000000079</v>
      </c>
      <c r="V21" s="2">
        <v>73390.640000000072</v>
      </c>
      <c r="W21" s="2">
        <v>73409.780000000072</v>
      </c>
      <c r="X21" s="2">
        <v>73423.45000000007</v>
      </c>
      <c r="Y21" s="2">
        <v>73445.780000000072</v>
      </c>
      <c r="Z21" s="2">
        <v>73467.710000000065</v>
      </c>
      <c r="AA21" s="2">
        <v>73489.430000000066</v>
      </c>
      <c r="AB21" s="2">
        <v>73511.350000000064</v>
      </c>
      <c r="AC21" s="2">
        <v>73533.100000000064</v>
      </c>
      <c r="AD21" s="2">
        <v>73550.280000000057</v>
      </c>
      <c r="AE21" s="2">
        <v>73555.58000000006</v>
      </c>
      <c r="AF21" s="3"/>
      <c r="AG21" s="51">
        <f t="shared" si="0"/>
        <v>73555.58000000006</v>
      </c>
      <c r="AH21" s="44">
        <v>73013.94</v>
      </c>
    </row>
    <row r="22" spans="1:34" x14ac:dyDescent="0.35">
      <c r="A22" s="33" t="s">
        <v>28</v>
      </c>
      <c r="B22" s="10">
        <v>69622.47</v>
      </c>
      <c r="C22" s="2">
        <v>69644.11</v>
      </c>
      <c r="D22" s="2">
        <v>69665.33</v>
      </c>
      <c r="E22" s="2">
        <v>69687.05</v>
      </c>
      <c r="F22" s="2">
        <v>69703.81</v>
      </c>
      <c r="G22" s="2">
        <v>69725.62</v>
      </c>
      <c r="H22" s="2">
        <v>69747.58</v>
      </c>
      <c r="I22" s="2">
        <v>69769.509999999995</v>
      </c>
      <c r="J22" s="2">
        <v>69783.209999999992</v>
      </c>
      <c r="K22" s="2">
        <v>69801.649999999994</v>
      </c>
      <c r="L22" s="2">
        <v>69823.56</v>
      </c>
      <c r="M22" s="2">
        <v>69841.349999999991</v>
      </c>
      <c r="N22" s="2">
        <v>69855.639999999985</v>
      </c>
      <c r="O22" s="2">
        <v>69868.719999999987</v>
      </c>
      <c r="P22" s="2">
        <v>69889.659999999989</v>
      </c>
      <c r="Q22" s="2">
        <v>69911.159999999989</v>
      </c>
      <c r="R22" s="2">
        <v>69932.839999999982</v>
      </c>
      <c r="S22" s="2">
        <v>69954.329999999987</v>
      </c>
      <c r="T22" s="2">
        <v>69975.889999999985</v>
      </c>
      <c r="U22" s="2">
        <v>69994.76999999999</v>
      </c>
      <c r="V22" s="2">
        <v>69997.499999999985</v>
      </c>
      <c r="W22" s="2">
        <v>69997.499999999985</v>
      </c>
      <c r="X22" s="2">
        <v>70000.75999999998</v>
      </c>
      <c r="Y22" s="2">
        <v>70012.00999999998</v>
      </c>
      <c r="Z22" s="2">
        <v>70022.359999999986</v>
      </c>
      <c r="AA22" s="2">
        <v>70043.89999999998</v>
      </c>
      <c r="AB22" s="2">
        <v>70064.059999999983</v>
      </c>
      <c r="AC22" s="2">
        <v>70085.89999999998</v>
      </c>
      <c r="AD22" s="2">
        <v>70104.209999999977</v>
      </c>
      <c r="AE22" s="2">
        <v>70125.699999999983</v>
      </c>
      <c r="AF22" s="3"/>
      <c r="AG22" s="51">
        <f t="shared" si="0"/>
        <v>70125.699999999983</v>
      </c>
      <c r="AH22" s="44">
        <v>69601.73</v>
      </c>
    </row>
    <row r="23" spans="1:34" x14ac:dyDescent="0.35">
      <c r="A23" s="33" t="s">
        <v>29</v>
      </c>
      <c r="B23" s="10">
        <v>67129.129999999917</v>
      </c>
      <c r="C23" s="2">
        <v>67145.599999999919</v>
      </c>
      <c r="D23" s="2">
        <v>67166.489999999918</v>
      </c>
      <c r="E23" s="2">
        <v>67187.959999999919</v>
      </c>
      <c r="F23" s="2">
        <v>67209.619999999923</v>
      </c>
      <c r="G23" s="2">
        <v>67231.56999999992</v>
      </c>
      <c r="H23" s="2">
        <v>67245.109999999913</v>
      </c>
      <c r="I23" s="2">
        <v>67245.109999999913</v>
      </c>
      <c r="J23" s="2">
        <v>67264.409999999916</v>
      </c>
      <c r="K23" s="2">
        <v>67284.19999999991</v>
      </c>
      <c r="L23" s="2">
        <v>67305.359999999913</v>
      </c>
      <c r="M23" s="2">
        <v>67313.049999999916</v>
      </c>
      <c r="N23" s="2">
        <v>67329.489999999918</v>
      </c>
      <c r="O23" s="2">
        <v>67348.469999999914</v>
      </c>
      <c r="P23" s="2">
        <v>67367.17999999992</v>
      </c>
      <c r="Q23" s="2">
        <v>67372.079999999914</v>
      </c>
      <c r="R23" s="2">
        <v>67380.689999999915</v>
      </c>
      <c r="S23" s="2">
        <v>67398.409999999916</v>
      </c>
      <c r="T23" s="2">
        <v>67415.999999999913</v>
      </c>
      <c r="U23" s="2">
        <v>67415.999999999913</v>
      </c>
      <c r="V23" s="2">
        <v>67415.999999999913</v>
      </c>
      <c r="W23" s="2">
        <v>67415.999999999913</v>
      </c>
      <c r="X23" s="2">
        <v>67415.999999999913</v>
      </c>
      <c r="Y23" s="2">
        <v>67415.999999999913</v>
      </c>
      <c r="Z23" s="2">
        <v>67415.999999999913</v>
      </c>
      <c r="AA23" s="2">
        <v>67415.999999999913</v>
      </c>
      <c r="AB23" s="2">
        <v>67415.999999999913</v>
      </c>
      <c r="AC23" s="2">
        <v>67415.999999999913</v>
      </c>
      <c r="AD23" s="2">
        <v>67415.999999999913</v>
      </c>
      <c r="AE23" s="2">
        <v>67415.999999999913</v>
      </c>
      <c r="AF23" s="3"/>
      <c r="AG23" s="51">
        <f t="shared" si="0"/>
        <v>67415.999999999913</v>
      </c>
      <c r="AH23" s="44">
        <v>67116.55</v>
      </c>
    </row>
    <row r="24" spans="1:34" x14ac:dyDescent="0.35">
      <c r="A24" s="33" t="s">
        <v>30</v>
      </c>
      <c r="B24" s="10">
        <v>65526.110000000081</v>
      </c>
      <c r="C24" s="2">
        <v>65543.200000000084</v>
      </c>
      <c r="D24" s="2">
        <v>65564.910000000091</v>
      </c>
      <c r="E24" s="2">
        <v>65586.780000000086</v>
      </c>
      <c r="F24" s="2">
        <v>65607.580000000089</v>
      </c>
      <c r="G24" s="2">
        <v>65623.310000000085</v>
      </c>
      <c r="H24" s="2">
        <v>65644.960000000079</v>
      </c>
      <c r="I24" s="2">
        <v>65666.360000000073</v>
      </c>
      <c r="J24" s="2">
        <v>65684.280000000072</v>
      </c>
      <c r="K24" s="2">
        <v>65704.190000000075</v>
      </c>
      <c r="L24" s="2">
        <v>65725.32000000008</v>
      </c>
      <c r="M24" s="2">
        <v>65747.110000000073</v>
      </c>
      <c r="N24" s="2">
        <v>65769.040000000066</v>
      </c>
      <c r="O24" s="2">
        <v>65790.070000000065</v>
      </c>
      <c r="P24" s="2">
        <v>65809.410000000062</v>
      </c>
      <c r="Q24" s="2">
        <v>65817.260000000068</v>
      </c>
      <c r="R24" s="2">
        <v>65817.990000000063</v>
      </c>
      <c r="S24" s="2">
        <v>65838.340000000069</v>
      </c>
      <c r="T24" s="2">
        <v>65855.110000000073</v>
      </c>
      <c r="U24" s="2">
        <v>65876.940000000075</v>
      </c>
      <c r="V24" s="2">
        <v>65898.750000000073</v>
      </c>
      <c r="W24" s="2">
        <v>65909.150000000067</v>
      </c>
      <c r="X24" s="2">
        <v>65930.980000000069</v>
      </c>
      <c r="Y24" s="2">
        <v>65939.050000000076</v>
      </c>
      <c r="Z24" s="2">
        <v>65953.690000000075</v>
      </c>
      <c r="AA24" s="2">
        <v>65975.210000000079</v>
      </c>
      <c r="AB24" s="2">
        <v>65996.780000000086</v>
      </c>
      <c r="AC24" s="2">
        <v>66008.80000000009</v>
      </c>
      <c r="AD24" s="2">
        <v>66029.900000000096</v>
      </c>
      <c r="AE24" s="2">
        <v>66042.860000000102</v>
      </c>
      <c r="AF24" s="3"/>
      <c r="AG24" s="51">
        <f t="shared" si="0"/>
        <v>66042.860000000102</v>
      </c>
      <c r="AH24" s="44">
        <v>65505.68</v>
      </c>
    </row>
    <row r="25" spans="1:34" x14ac:dyDescent="0.35">
      <c r="A25" s="33" t="s">
        <v>31</v>
      </c>
      <c r="B25" s="10">
        <v>65259.109999999993</v>
      </c>
      <c r="C25" s="2">
        <v>65280.499999999993</v>
      </c>
      <c r="D25" s="2">
        <v>65301.209999999992</v>
      </c>
      <c r="E25" s="2">
        <v>65316.659999999989</v>
      </c>
      <c r="F25" s="2">
        <v>65338.009999999987</v>
      </c>
      <c r="G25" s="2">
        <v>65359.329999999987</v>
      </c>
      <c r="H25" s="2">
        <v>65380.76999999999</v>
      </c>
      <c r="I25" s="2">
        <v>65401.989999999991</v>
      </c>
      <c r="J25" s="2">
        <v>65422.369999999988</v>
      </c>
      <c r="K25" s="2">
        <v>65437.999999999985</v>
      </c>
      <c r="L25" s="2">
        <v>65452.089999999982</v>
      </c>
      <c r="M25" s="2">
        <v>65473.619999999981</v>
      </c>
      <c r="N25" s="2">
        <v>65495.089999999982</v>
      </c>
      <c r="O25" s="2">
        <v>65516.889999999985</v>
      </c>
      <c r="P25" s="2">
        <v>65538.299999999988</v>
      </c>
      <c r="Q25" s="2">
        <v>65555.51999999999</v>
      </c>
      <c r="R25" s="2">
        <v>65566.669999999984</v>
      </c>
      <c r="S25" s="2">
        <v>65573.119999999981</v>
      </c>
      <c r="T25" s="2">
        <v>65594.169999999984</v>
      </c>
      <c r="U25" s="2">
        <v>65615.199999999983</v>
      </c>
      <c r="V25" s="2">
        <v>65636.449999999983</v>
      </c>
      <c r="W25" s="2">
        <v>65656.909999999989</v>
      </c>
      <c r="X25" s="2">
        <v>65679.099999999991</v>
      </c>
      <c r="Y25" s="2">
        <v>65690.739999999991</v>
      </c>
      <c r="Z25" s="2">
        <v>65712.159999999989</v>
      </c>
      <c r="AA25" s="2">
        <v>65734.199999999983</v>
      </c>
      <c r="AB25" s="2">
        <v>65756.639999999985</v>
      </c>
      <c r="AC25" s="2">
        <v>65778.12999999999</v>
      </c>
      <c r="AD25" s="2">
        <v>65799.959999999992</v>
      </c>
      <c r="AE25" s="2">
        <v>65815.719999999987</v>
      </c>
      <c r="AF25" s="3"/>
      <c r="AG25" s="51">
        <f t="shared" si="0"/>
        <v>65815.719999999987</v>
      </c>
      <c r="AH25" s="44">
        <v>65240.83</v>
      </c>
    </row>
    <row r="26" spans="1:34" x14ac:dyDescent="0.35">
      <c r="A26" s="33" t="s">
        <v>32</v>
      </c>
      <c r="B26" s="10">
        <v>65937.479999999981</v>
      </c>
      <c r="C26" s="2">
        <v>65937.479999999981</v>
      </c>
      <c r="D26" s="2">
        <v>65957.909999999974</v>
      </c>
      <c r="E26" s="2">
        <v>65977.869999999981</v>
      </c>
      <c r="F26" s="2">
        <v>65998.799999999974</v>
      </c>
      <c r="G26" s="2">
        <v>66020.75999999998</v>
      </c>
      <c r="H26" s="2">
        <v>66041.909999999974</v>
      </c>
      <c r="I26" s="2">
        <v>66063.769999999975</v>
      </c>
      <c r="J26" s="2">
        <v>66084.789999999979</v>
      </c>
      <c r="K26" s="2">
        <v>66098.989999999976</v>
      </c>
      <c r="L26" s="2">
        <v>66113.939999999973</v>
      </c>
      <c r="M26" s="2">
        <v>66135.27999999997</v>
      </c>
      <c r="N26" s="2">
        <v>66156.269999999975</v>
      </c>
      <c r="O26" s="2">
        <v>66177.13999999997</v>
      </c>
      <c r="P26" s="2">
        <v>66198.939999999973</v>
      </c>
      <c r="Q26" s="2">
        <v>66213.249999999971</v>
      </c>
      <c r="R26" s="2">
        <v>66235.039999999964</v>
      </c>
      <c r="S26" s="2">
        <v>66253.059999999969</v>
      </c>
      <c r="T26" s="2">
        <v>66274.699999999968</v>
      </c>
      <c r="U26" s="2">
        <v>66296.559999999969</v>
      </c>
      <c r="V26" s="2">
        <v>66318.649999999965</v>
      </c>
      <c r="W26" s="2">
        <v>66329.089999999967</v>
      </c>
      <c r="X26" s="2">
        <v>66338.089999999967</v>
      </c>
      <c r="Y26" s="2">
        <v>66347.749999999971</v>
      </c>
      <c r="Z26" s="2">
        <v>66369.439999999973</v>
      </c>
      <c r="AA26" s="2">
        <v>66389.359999999971</v>
      </c>
      <c r="AB26" s="2">
        <v>66404.209999999977</v>
      </c>
      <c r="AC26" s="2">
        <v>66425.349999999977</v>
      </c>
      <c r="AD26" s="2">
        <v>66440.939999999973</v>
      </c>
      <c r="AE26" s="2">
        <v>66462.849999999977</v>
      </c>
      <c r="AF26" s="3"/>
      <c r="AG26" s="51">
        <f t="shared" si="0"/>
        <v>66462.849999999977</v>
      </c>
      <c r="AH26" s="44">
        <v>65937.48</v>
      </c>
    </row>
    <row r="27" spans="1:34" x14ac:dyDescent="0.35">
      <c r="A27" s="33" t="s">
        <v>33</v>
      </c>
      <c r="B27" s="10">
        <v>66768.400000000052</v>
      </c>
      <c r="C27" s="2">
        <v>66788.390000000058</v>
      </c>
      <c r="D27" s="2">
        <v>66804.500000000058</v>
      </c>
      <c r="E27" s="2">
        <v>66826.030000000057</v>
      </c>
      <c r="F27" s="2">
        <v>66846.620000000054</v>
      </c>
      <c r="G27" s="2">
        <v>66867.860000000059</v>
      </c>
      <c r="H27" s="2">
        <v>66886.700000000055</v>
      </c>
      <c r="I27" s="2">
        <v>66886.700000000055</v>
      </c>
      <c r="J27" s="2">
        <v>66902.070000000051</v>
      </c>
      <c r="K27" s="2">
        <v>66923.940000000046</v>
      </c>
      <c r="L27" s="2">
        <v>66945.96000000005</v>
      </c>
      <c r="M27" s="2">
        <v>66968.150000000052</v>
      </c>
      <c r="N27" s="2">
        <v>66989.290000000052</v>
      </c>
      <c r="O27" s="2">
        <v>67002.590000000055</v>
      </c>
      <c r="P27" s="2">
        <v>67020.790000000052</v>
      </c>
      <c r="Q27" s="2">
        <v>67039.090000000055</v>
      </c>
      <c r="R27" s="2">
        <v>67043.610000000059</v>
      </c>
      <c r="S27" s="2">
        <v>67043.610000000059</v>
      </c>
      <c r="T27" s="2">
        <v>67043.610000000059</v>
      </c>
      <c r="U27" s="2">
        <v>67043.610000000059</v>
      </c>
      <c r="V27" s="2">
        <v>67043.610000000059</v>
      </c>
      <c r="W27" s="2">
        <v>67052.650000000052</v>
      </c>
      <c r="X27" s="2">
        <v>67070.290000000052</v>
      </c>
      <c r="Y27" s="2">
        <v>67090.870000000054</v>
      </c>
      <c r="Z27" s="2">
        <v>67103.820000000051</v>
      </c>
      <c r="AA27" s="2">
        <v>67118.640000000058</v>
      </c>
      <c r="AB27" s="2">
        <v>67140.530000000057</v>
      </c>
      <c r="AC27" s="2">
        <v>67161.810000000056</v>
      </c>
      <c r="AD27" s="2">
        <v>67183.680000000051</v>
      </c>
      <c r="AE27" s="2">
        <v>67201.180000000051</v>
      </c>
      <c r="AF27" s="3"/>
      <c r="AG27" s="51">
        <f t="shared" si="0"/>
        <v>67201.180000000051</v>
      </c>
      <c r="AH27" s="44">
        <v>66746.62</v>
      </c>
    </row>
    <row r="28" spans="1:34" x14ac:dyDescent="0.35">
      <c r="A28" s="33" t="s">
        <v>34</v>
      </c>
      <c r="B28" s="10">
        <v>64295.340000000091</v>
      </c>
      <c r="C28" s="2">
        <v>64317.090000000091</v>
      </c>
      <c r="D28" s="2">
        <v>64338.560000000092</v>
      </c>
      <c r="E28" s="2">
        <v>64358.510000000089</v>
      </c>
      <c r="F28" s="2">
        <v>64365.860000000088</v>
      </c>
      <c r="G28" s="2">
        <v>64383.640000000087</v>
      </c>
      <c r="H28" s="2">
        <v>64405.240000000085</v>
      </c>
      <c r="I28" s="2">
        <v>64425.580000000082</v>
      </c>
      <c r="J28" s="2">
        <v>64439.460000000079</v>
      </c>
      <c r="K28" s="2">
        <v>64444.020000000077</v>
      </c>
      <c r="L28" s="2">
        <v>64444.020000000077</v>
      </c>
      <c r="M28" s="2">
        <v>64444.020000000077</v>
      </c>
      <c r="N28" s="2">
        <v>64461.310000000078</v>
      </c>
      <c r="O28" s="2">
        <v>64473.990000000078</v>
      </c>
      <c r="P28" s="2">
        <v>64495.580000000075</v>
      </c>
      <c r="Q28" s="2">
        <v>64517.000000000073</v>
      </c>
      <c r="R28" s="2">
        <v>64538.680000000073</v>
      </c>
      <c r="S28" s="2">
        <v>64558.390000000072</v>
      </c>
      <c r="T28" s="2">
        <v>64575.900000000074</v>
      </c>
      <c r="U28" s="2">
        <v>64597.730000000076</v>
      </c>
      <c r="V28" s="2">
        <v>64608.610000000073</v>
      </c>
      <c r="W28" s="2">
        <v>64630.070000000072</v>
      </c>
      <c r="X28" s="2">
        <v>64648.960000000072</v>
      </c>
      <c r="Y28" s="2">
        <v>64657.210000000072</v>
      </c>
      <c r="Z28" s="2">
        <v>64669.230000000069</v>
      </c>
      <c r="AA28" s="2">
        <v>64677.320000000065</v>
      </c>
      <c r="AB28" s="2">
        <v>64677.320000000065</v>
      </c>
      <c r="AC28" s="2">
        <v>64689.710000000065</v>
      </c>
      <c r="AD28" s="2">
        <v>64704.080000000067</v>
      </c>
      <c r="AE28" s="2">
        <v>64704.080000000067</v>
      </c>
      <c r="AF28" s="3"/>
      <c r="AG28" s="51">
        <f t="shared" si="0"/>
        <v>64704.080000000067</v>
      </c>
      <c r="AH28" s="44">
        <v>64273.25</v>
      </c>
    </row>
    <row r="29" spans="1:34" x14ac:dyDescent="0.35">
      <c r="A29" s="33" t="s">
        <v>35</v>
      </c>
      <c r="B29" s="10">
        <v>65467.010000000097</v>
      </c>
      <c r="C29" s="2">
        <v>65486.250000000095</v>
      </c>
      <c r="D29" s="2">
        <v>65505.240000000093</v>
      </c>
      <c r="E29" s="2">
        <v>65526.610000000095</v>
      </c>
      <c r="F29" s="2">
        <v>65531.700000000092</v>
      </c>
      <c r="G29" s="2">
        <v>65545.380000000092</v>
      </c>
      <c r="H29" s="2">
        <v>65567.060000000085</v>
      </c>
      <c r="I29" s="2">
        <v>65579.19000000009</v>
      </c>
      <c r="J29" s="2">
        <v>65580.570000000094</v>
      </c>
      <c r="K29" s="2">
        <v>65582.840000000098</v>
      </c>
      <c r="L29" s="2">
        <v>65594.050000000105</v>
      </c>
      <c r="M29" s="2">
        <v>65615.890000000101</v>
      </c>
      <c r="N29" s="2">
        <v>65637.540000000095</v>
      </c>
      <c r="O29" s="2">
        <v>65655.610000000102</v>
      </c>
      <c r="P29" s="2">
        <v>65676.950000000099</v>
      </c>
      <c r="Q29" s="2">
        <v>65698.190000000104</v>
      </c>
      <c r="R29" s="2">
        <v>65719.720000000103</v>
      </c>
      <c r="S29" s="2">
        <v>65741.150000000096</v>
      </c>
      <c r="T29" s="2">
        <v>65757.250000000102</v>
      </c>
      <c r="U29" s="2">
        <v>65774.390000000101</v>
      </c>
      <c r="V29" s="2">
        <v>65784.630000000107</v>
      </c>
      <c r="W29" s="2">
        <v>65806.130000000107</v>
      </c>
      <c r="X29" s="2">
        <v>65827.600000000108</v>
      </c>
      <c r="Y29" s="2">
        <v>65849.560000000114</v>
      </c>
      <c r="Z29" s="2">
        <v>65870.930000000109</v>
      </c>
      <c r="AA29" s="2">
        <v>65888.830000000104</v>
      </c>
      <c r="AB29" s="2">
        <v>65903.110000000102</v>
      </c>
      <c r="AC29" s="2">
        <v>65924.680000000109</v>
      </c>
      <c r="AD29" s="2">
        <v>65945.610000000102</v>
      </c>
      <c r="AE29" s="2">
        <v>65967.380000000107</v>
      </c>
      <c r="AF29" s="3"/>
      <c r="AG29" s="51">
        <f t="shared" si="0"/>
        <v>65967.380000000107</v>
      </c>
      <c r="AH29" s="44">
        <v>65467.01</v>
      </c>
    </row>
    <row r="30" spans="1:34" x14ac:dyDescent="0.35">
      <c r="A30" s="33" t="s">
        <v>36</v>
      </c>
      <c r="B30" s="10">
        <v>64884.730000000163</v>
      </c>
      <c r="C30" s="2">
        <v>64899.93000000016</v>
      </c>
      <c r="D30" s="2">
        <v>64905.940000000162</v>
      </c>
      <c r="E30" s="2">
        <v>64923.780000000159</v>
      </c>
      <c r="F30" s="2">
        <v>64928.900000000162</v>
      </c>
      <c r="G30" s="2">
        <v>64928.900000000162</v>
      </c>
      <c r="H30" s="2">
        <v>64944.00000000016</v>
      </c>
      <c r="I30" s="2">
        <v>64964.530000000159</v>
      </c>
      <c r="J30" s="2">
        <v>64986.120000000155</v>
      </c>
      <c r="K30" s="2">
        <v>65008.030000000159</v>
      </c>
      <c r="L30" s="2">
        <v>65020.210000000159</v>
      </c>
      <c r="M30" s="2">
        <v>65041.770000000157</v>
      </c>
      <c r="N30" s="2">
        <v>65063.380000000157</v>
      </c>
      <c r="O30" s="2">
        <v>65084.620000000155</v>
      </c>
      <c r="P30" s="2">
        <v>65106.590000000157</v>
      </c>
      <c r="Q30" s="2">
        <v>65125.470000000154</v>
      </c>
      <c r="R30" s="2">
        <v>65141.140000000152</v>
      </c>
      <c r="S30" s="2">
        <v>65159.38000000015</v>
      </c>
      <c r="T30" s="2">
        <v>65175.350000000151</v>
      </c>
      <c r="U30" s="2">
        <v>65194.460000000152</v>
      </c>
      <c r="V30" s="2">
        <v>65210.470000000154</v>
      </c>
      <c r="W30" s="2">
        <v>65226.090000000157</v>
      </c>
      <c r="X30" s="2">
        <v>65245.450000000157</v>
      </c>
      <c r="Y30" s="2">
        <v>65264.50000000016</v>
      </c>
      <c r="Z30" s="2">
        <v>65284.100000000159</v>
      </c>
      <c r="AA30" s="2">
        <v>65305.580000000162</v>
      </c>
      <c r="AB30" s="2">
        <v>65326.57000000016</v>
      </c>
      <c r="AC30" s="2">
        <v>65347.490000000158</v>
      </c>
      <c r="AD30" s="2">
        <v>65366.140000000159</v>
      </c>
      <c r="AE30" s="2">
        <v>65387.100000000159</v>
      </c>
      <c r="AF30" s="3"/>
      <c r="AG30" s="51">
        <f t="shared" si="0"/>
        <v>65387.100000000159</v>
      </c>
      <c r="AH30" s="44">
        <v>64863.02</v>
      </c>
    </row>
    <row r="31" spans="1:34" x14ac:dyDescent="0.35">
      <c r="A31" s="33" t="s">
        <v>37</v>
      </c>
      <c r="B31" s="10">
        <v>65118.310000000034</v>
      </c>
      <c r="C31" s="2">
        <v>65139.760000000031</v>
      </c>
      <c r="D31" s="2">
        <v>65161.370000000032</v>
      </c>
      <c r="E31" s="2">
        <v>65182.700000000033</v>
      </c>
      <c r="F31" s="2">
        <v>65198.100000000035</v>
      </c>
      <c r="G31" s="2">
        <v>65204.000000000036</v>
      </c>
      <c r="H31" s="2">
        <v>65224.530000000035</v>
      </c>
      <c r="I31" s="2">
        <v>65243.560000000034</v>
      </c>
      <c r="J31" s="2">
        <v>65264.690000000031</v>
      </c>
      <c r="K31" s="2">
        <v>65286.490000000034</v>
      </c>
      <c r="L31" s="2">
        <v>65306.770000000033</v>
      </c>
      <c r="M31" s="2">
        <v>65327.370000000032</v>
      </c>
      <c r="N31" s="2">
        <v>65341.850000000035</v>
      </c>
      <c r="O31" s="2">
        <v>65363.030000000035</v>
      </c>
      <c r="P31" s="2">
        <v>65384.920000000035</v>
      </c>
      <c r="Q31" s="2">
        <v>65402.590000000033</v>
      </c>
      <c r="R31" s="2">
        <v>65423.770000000033</v>
      </c>
      <c r="S31" s="2">
        <v>65439.490000000034</v>
      </c>
      <c r="T31" s="2">
        <v>65460.970000000038</v>
      </c>
      <c r="U31" s="2">
        <v>65473.030000000035</v>
      </c>
      <c r="V31" s="2">
        <v>65493.470000000038</v>
      </c>
      <c r="W31" s="2">
        <v>65514.760000000038</v>
      </c>
      <c r="X31" s="2">
        <v>65530.490000000042</v>
      </c>
      <c r="Y31" s="2">
        <v>65551.48000000004</v>
      </c>
      <c r="Z31" s="2">
        <v>65573.100000000035</v>
      </c>
      <c r="AA31" s="2">
        <v>65583.990000000034</v>
      </c>
      <c r="AB31" s="2">
        <v>65586.740000000034</v>
      </c>
      <c r="AC31" s="2">
        <v>65606.47000000003</v>
      </c>
      <c r="AD31" s="2">
        <v>65627.590000000026</v>
      </c>
      <c r="AE31" s="2">
        <v>65646.130000000019</v>
      </c>
      <c r="AF31" s="3"/>
      <c r="AG31" s="51">
        <f t="shared" si="0"/>
        <v>65646.130000000019</v>
      </c>
      <c r="AH31" s="44">
        <v>65096.73</v>
      </c>
    </row>
    <row r="32" spans="1:34" x14ac:dyDescent="0.35">
      <c r="A32" s="33" t="s">
        <v>38</v>
      </c>
      <c r="B32" s="10">
        <v>65425.060000000136</v>
      </c>
      <c r="C32" s="2">
        <v>65442.990000000136</v>
      </c>
      <c r="D32" s="2">
        <v>65461.960000000137</v>
      </c>
      <c r="E32" s="2">
        <v>65466.190000000141</v>
      </c>
      <c r="F32" s="2">
        <v>65475.030000000137</v>
      </c>
      <c r="G32" s="2">
        <v>65492.960000000137</v>
      </c>
      <c r="H32" s="2">
        <v>65514.340000000135</v>
      </c>
      <c r="I32" s="2">
        <v>65536.070000000138</v>
      </c>
      <c r="J32" s="2">
        <v>65557.100000000137</v>
      </c>
      <c r="K32" s="2">
        <v>65578.600000000137</v>
      </c>
      <c r="L32" s="2">
        <v>65599.40000000014</v>
      </c>
      <c r="M32" s="2">
        <v>65610.750000000146</v>
      </c>
      <c r="N32" s="2">
        <v>65625.500000000146</v>
      </c>
      <c r="O32" s="2">
        <v>65640.440000000148</v>
      </c>
      <c r="P32" s="2">
        <v>65656.530000000144</v>
      </c>
      <c r="Q32" s="2">
        <v>65668.65000000014</v>
      </c>
      <c r="R32" s="2">
        <v>65669.700000000143</v>
      </c>
      <c r="S32" s="2">
        <v>65690.940000000148</v>
      </c>
      <c r="T32" s="2">
        <v>65712.610000000146</v>
      </c>
      <c r="U32" s="2">
        <v>65728.570000000153</v>
      </c>
      <c r="V32" s="2">
        <v>65749.070000000153</v>
      </c>
      <c r="W32" s="2">
        <v>65765.530000000159</v>
      </c>
      <c r="X32" s="2">
        <v>65787.560000000158</v>
      </c>
      <c r="Y32" s="2">
        <v>65809.900000000154</v>
      </c>
      <c r="Z32" s="2">
        <v>65831.970000000161</v>
      </c>
      <c r="AA32" s="2">
        <v>65853.340000000157</v>
      </c>
      <c r="AB32" s="2">
        <v>65875.180000000153</v>
      </c>
      <c r="AC32" s="2">
        <v>65896.77000000015</v>
      </c>
      <c r="AD32" s="2">
        <v>65918.430000000153</v>
      </c>
      <c r="AE32" s="2">
        <v>65925.990000000151</v>
      </c>
      <c r="AF32" s="3"/>
      <c r="AG32" s="51">
        <f t="shared" si="0"/>
        <v>65925.990000000151</v>
      </c>
      <c r="AH32" s="44">
        <v>65403.03</v>
      </c>
    </row>
    <row r="33" spans="1:34" x14ac:dyDescent="0.35">
      <c r="A33" s="33" t="s">
        <v>39</v>
      </c>
      <c r="B33" s="10">
        <v>64688.179999999884</v>
      </c>
      <c r="C33" s="2">
        <v>64708.839999999887</v>
      </c>
      <c r="D33" s="2">
        <v>64730.409999999887</v>
      </c>
      <c r="E33" s="2">
        <v>64751.619999999886</v>
      </c>
      <c r="F33" s="2">
        <v>64769.429999999884</v>
      </c>
      <c r="G33" s="2">
        <v>64790.359999999884</v>
      </c>
      <c r="H33" s="2">
        <v>64811.859999999884</v>
      </c>
      <c r="I33" s="2">
        <v>64820.989999999882</v>
      </c>
      <c r="J33" s="2">
        <v>64822.47999999988</v>
      </c>
      <c r="K33" s="2">
        <v>64829.189999999879</v>
      </c>
      <c r="L33" s="2">
        <v>64829.189999999879</v>
      </c>
      <c r="M33" s="2">
        <v>64849.209999999875</v>
      </c>
      <c r="N33" s="2">
        <v>64868.439999999879</v>
      </c>
      <c r="O33" s="2">
        <v>64876.249999999876</v>
      </c>
      <c r="P33" s="2">
        <v>64894.639999999876</v>
      </c>
      <c r="Q33" s="2">
        <v>64916.339999999873</v>
      </c>
      <c r="R33" s="2">
        <v>64932.129999999874</v>
      </c>
      <c r="S33" s="2">
        <v>64952.89999999987</v>
      </c>
      <c r="T33" s="2">
        <v>64974.349999999868</v>
      </c>
      <c r="U33" s="2">
        <v>64991.749999999869</v>
      </c>
      <c r="V33" s="2">
        <v>64992.349999999868</v>
      </c>
      <c r="W33" s="2">
        <v>64992.349999999868</v>
      </c>
      <c r="X33" s="2">
        <v>64992.349999999868</v>
      </c>
      <c r="Y33" s="2">
        <v>64992.349999999868</v>
      </c>
      <c r="Z33" s="2">
        <v>65008.21999999987</v>
      </c>
      <c r="AA33" s="2">
        <v>65025.979999999872</v>
      </c>
      <c r="AB33" s="2">
        <v>65043.03999999987</v>
      </c>
      <c r="AC33" s="2">
        <v>65064.439999999871</v>
      </c>
      <c r="AD33" s="2">
        <v>65084.159999999873</v>
      </c>
      <c r="AE33" s="2">
        <v>65095.639999999876</v>
      </c>
      <c r="AF33" s="3"/>
      <c r="AG33" s="51">
        <f t="shared" si="0"/>
        <v>65095.639999999876</v>
      </c>
      <c r="AH33" s="44">
        <v>64665.64</v>
      </c>
    </row>
    <row r="34" spans="1:34" x14ac:dyDescent="0.35">
      <c r="A34" s="33" t="s">
        <v>40</v>
      </c>
      <c r="B34" s="10">
        <v>47901.879999999888</v>
      </c>
      <c r="C34" s="2">
        <v>47922.929999999891</v>
      </c>
      <c r="D34" s="2">
        <v>47943.739999999889</v>
      </c>
      <c r="E34" s="2">
        <v>47965.429999999891</v>
      </c>
      <c r="F34" s="2">
        <v>47987.299999999894</v>
      </c>
      <c r="G34" s="2">
        <v>47999.589999999895</v>
      </c>
      <c r="H34" s="2">
        <v>48013.149999999892</v>
      </c>
      <c r="I34" s="2">
        <v>48034.399999999892</v>
      </c>
      <c r="J34" s="2">
        <v>48056.089999999895</v>
      </c>
      <c r="K34" s="2">
        <v>48059.569999999898</v>
      </c>
      <c r="L34" s="2">
        <v>48080.549999999901</v>
      </c>
      <c r="M34" s="2">
        <v>48098.849999999904</v>
      </c>
      <c r="N34" s="2">
        <v>48120.359999999906</v>
      </c>
      <c r="O34" s="2">
        <v>48138.959999999905</v>
      </c>
      <c r="P34" s="2">
        <v>48156.459999999905</v>
      </c>
      <c r="Q34" s="2">
        <v>48174.309999999903</v>
      </c>
      <c r="R34" s="2">
        <v>48174.309999999903</v>
      </c>
      <c r="S34" s="2">
        <v>48174.309999999903</v>
      </c>
      <c r="T34" s="2">
        <v>48174.309999999903</v>
      </c>
      <c r="U34" s="2">
        <v>48174.309999999903</v>
      </c>
      <c r="V34" s="2">
        <v>48174.309999999903</v>
      </c>
      <c r="W34" s="2">
        <v>48174.309999999903</v>
      </c>
      <c r="X34" s="2">
        <v>48174.309999999903</v>
      </c>
      <c r="Y34" s="2">
        <v>48174.309999999903</v>
      </c>
      <c r="Z34" s="2">
        <v>48174.309999999903</v>
      </c>
      <c r="AA34" s="2">
        <v>48174.309999999903</v>
      </c>
      <c r="AB34" s="2">
        <v>48174.309999999903</v>
      </c>
      <c r="AC34" s="2">
        <v>48174.309999999903</v>
      </c>
      <c r="AD34" s="2">
        <v>48174.309999999903</v>
      </c>
      <c r="AE34" s="2">
        <v>48174.309999999903</v>
      </c>
      <c r="AF34" s="3"/>
      <c r="AG34" s="51">
        <f t="shared" si="0"/>
        <v>48174.309999999903</v>
      </c>
      <c r="AH34" s="44">
        <v>47890.68</v>
      </c>
    </row>
    <row r="35" spans="1:34" x14ac:dyDescent="0.35">
      <c r="A35" s="33" t="s">
        <v>41</v>
      </c>
      <c r="B35" s="10">
        <v>49759.640000000043</v>
      </c>
      <c r="C35" s="2">
        <v>49777.850000000042</v>
      </c>
      <c r="D35" s="2">
        <v>49799.130000000041</v>
      </c>
      <c r="E35" s="2">
        <v>49819.570000000043</v>
      </c>
      <c r="F35" s="2">
        <v>49840.91000000004</v>
      </c>
      <c r="G35" s="2">
        <v>49860.040000000037</v>
      </c>
      <c r="H35" s="2">
        <v>49881.440000000039</v>
      </c>
      <c r="I35" s="2">
        <v>49902.890000000036</v>
      </c>
      <c r="J35" s="2">
        <v>49924.460000000036</v>
      </c>
      <c r="K35" s="2">
        <v>49945.980000000032</v>
      </c>
      <c r="L35" s="2">
        <v>49967.61000000003</v>
      </c>
      <c r="M35" s="2">
        <v>49979.740000000027</v>
      </c>
      <c r="N35" s="2">
        <v>49999.280000000028</v>
      </c>
      <c r="O35" s="2">
        <v>50020.260000000031</v>
      </c>
      <c r="P35" s="2">
        <v>50040.730000000032</v>
      </c>
      <c r="Q35" s="2">
        <v>50056.640000000036</v>
      </c>
      <c r="R35" s="2">
        <v>50077.600000000035</v>
      </c>
      <c r="S35" s="2">
        <v>50099.520000000033</v>
      </c>
      <c r="T35" s="2">
        <v>50121.180000000037</v>
      </c>
      <c r="U35" s="2">
        <v>50137.930000000037</v>
      </c>
      <c r="V35" s="2">
        <v>50156.950000000033</v>
      </c>
      <c r="W35" s="2">
        <v>50156.950000000033</v>
      </c>
      <c r="X35" s="2">
        <v>50173.930000000037</v>
      </c>
      <c r="Y35" s="2">
        <v>50179.400000000038</v>
      </c>
      <c r="Z35" s="2">
        <v>50179.400000000038</v>
      </c>
      <c r="AA35" s="2">
        <v>50179.400000000038</v>
      </c>
      <c r="AB35" s="2">
        <v>50179.400000000038</v>
      </c>
      <c r="AC35" s="2">
        <v>50179.400000000038</v>
      </c>
      <c r="AD35" s="2">
        <v>50179.400000000038</v>
      </c>
      <c r="AE35" s="2">
        <v>50179.400000000038</v>
      </c>
      <c r="AF35" s="3"/>
      <c r="AG35" s="51">
        <f t="shared" si="0"/>
        <v>50179.400000000038</v>
      </c>
      <c r="AH35" s="44">
        <v>49737.77</v>
      </c>
    </row>
    <row r="36" spans="1:34" x14ac:dyDescent="0.35">
      <c r="A36" s="33" t="s">
        <v>42</v>
      </c>
      <c r="B36" s="10">
        <v>44950.260000000024</v>
      </c>
      <c r="C36" s="2">
        <v>44961.430000000022</v>
      </c>
      <c r="D36" s="2">
        <v>44974.310000000019</v>
      </c>
      <c r="E36" s="2">
        <v>44989.200000000019</v>
      </c>
      <c r="F36" s="2">
        <v>44994.860000000022</v>
      </c>
      <c r="G36" s="2">
        <v>45000.000000000022</v>
      </c>
      <c r="H36" s="2">
        <v>45017.510000000024</v>
      </c>
      <c r="I36" s="2">
        <v>45026.250000000022</v>
      </c>
      <c r="J36" s="2">
        <v>45044.040000000023</v>
      </c>
      <c r="K36" s="2">
        <v>45065.120000000024</v>
      </c>
      <c r="L36" s="2">
        <v>45080.420000000027</v>
      </c>
      <c r="M36" s="2">
        <v>45099.47000000003</v>
      </c>
      <c r="N36" s="2">
        <v>45121.760000000031</v>
      </c>
      <c r="O36" s="2">
        <v>45129.500000000029</v>
      </c>
      <c r="P36" s="2">
        <v>45130.840000000026</v>
      </c>
      <c r="Q36" s="2">
        <v>45142.400000000023</v>
      </c>
      <c r="R36" s="2">
        <v>45160.360000000022</v>
      </c>
      <c r="S36" s="2">
        <v>45181.470000000023</v>
      </c>
      <c r="T36" s="2">
        <v>45200.250000000022</v>
      </c>
      <c r="U36" s="2">
        <v>45215.210000000021</v>
      </c>
      <c r="V36" s="2">
        <v>45230.020000000019</v>
      </c>
      <c r="W36" s="2">
        <v>45250.130000000019</v>
      </c>
      <c r="X36" s="2">
        <v>45269.820000000022</v>
      </c>
      <c r="Y36" s="2">
        <v>45289.360000000022</v>
      </c>
      <c r="Z36" s="2">
        <v>45309.92000000002</v>
      </c>
      <c r="AA36" s="2">
        <v>45331.650000000023</v>
      </c>
      <c r="AB36" s="2">
        <v>45348.460000000021</v>
      </c>
      <c r="AC36" s="2">
        <v>45357.250000000022</v>
      </c>
      <c r="AD36" s="2">
        <v>45376.760000000024</v>
      </c>
      <c r="AE36" s="2">
        <v>45396.690000000024</v>
      </c>
      <c r="AF36" s="3"/>
      <c r="AG36" s="51">
        <f t="shared" ref="AG36:AG67" si="1">MAX(B36:AF36)</f>
        <v>45396.690000000024</v>
      </c>
      <c r="AH36" s="44">
        <v>44928.72</v>
      </c>
    </row>
    <row r="37" spans="1:34" x14ac:dyDescent="0.35">
      <c r="A37" s="33" t="s">
        <v>43</v>
      </c>
      <c r="B37" s="10">
        <v>49471.120000000032</v>
      </c>
      <c r="C37" s="2">
        <v>49492.590000000033</v>
      </c>
      <c r="D37" s="2">
        <v>49514.450000000033</v>
      </c>
      <c r="E37" s="2">
        <v>49532.340000000033</v>
      </c>
      <c r="F37" s="2">
        <v>49554.160000000033</v>
      </c>
      <c r="G37" s="2">
        <v>49574.880000000034</v>
      </c>
      <c r="H37" s="2">
        <v>49596.47000000003</v>
      </c>
      <c r="I37" s="2">
        <v>49618.260000000031</v>
      </c>
      <c r="J37" s="2">
        <v>49640.080000000031</v>
      </c>
      <c r="K37" s="2">
        <v>49648.160000000033</v>
      </c>
      <c r="L37" s="2">
        <v>49669.640000000036</v>
      </c>
      <c r="M37" s="2">
        <v>49691.250000000036</v>
      </c>
      <c r="N37" s="2">
        <v>49713.290000000037</v>
      </c>
      <c r="O37" s="2">
        <v>49734.820000000036</v>
      </c>
      <c r="P37" s="2">
        <v>49755.000000000036</v>
      </c>
      <c r="Q37" s="2">
        <v>49776.270000000033</v>
      </c>
      <c r="R37" s="2">
        <v>49797.240000000034</v>
      </c>
      <c r="S37" s="2">
        <v>49815.980000000032</v>
      </c>
      <c r="T37" s="2">
        <v>49836.460000000036</v>
      </c>
      <c r="U37" s="2">
        <v>49845.880000000034</v>
      </c>
      <c r="V37" s="2">
        <v>49852.610000000037</v>
      </c>
      <c r="W37" s="2">
        <v>49873.110000000037</v>
      </c>
      <c r="X37" s="2">
        <v>49895.09000000004</v>
      </c>
      <c r="Y37" s="2">
        <v>49916.990000000042</v>
      </c>
      <c r="Z37" s="2">
        <v>49937.190000000039</v>
      </c>
      <c r="AA37" s="2">
        <v>49958.550000000039</v>
      </c>
      <c r="AB37" s="2">
        <v>49980.560000000041</v>
      </c>
      <c r="AC37" s="2">
        <v>50002.190000000039</v>
      </c>
      <c r="AD37" s="2">
        <v>50023.920000000042</v>
      </c>
      <c r="AE37" s="2">
        <v>50043.27000000004</v>
      </c>
      <c r="AF37" s="3"/>
      <c r="AG37" s="51">
        <f t="shared" si="1"/>
        <v>50043.27000000004</v>
      </c>
      <c r="AH37" s="44">
        <v>49454.3</v>
      </c>
    </row>
    <row r="38" spans="1:34" x14ac:dyDescent="0.35">
      <c r="A38" s="33" t="s">
        <v>44</v>
      </c>
      <c r="B38" s="10">
        <v>51355.200000000055</v>
      </c>
      <c r="C38" s="2">
        <v>51376.350000000057</v>
      </c>
      <c r="D38" s="2">
        <v>51392.050000000054</v>
      </c>
      <c r="E38" s="2">
        <v>51392.050000000054</v>
      </c>
      <c r="F38" s="2">
        <v>51395.270000000055</v>
      </c>
      <c r="G38" s="2">
        <v>51395.270000000055</v>
      </c>
      <c r="H38" s="2">
        <v>51395.270000000055</v>
      </c>
      <c r="I38" s="2">
        <v>51395.270000000055</v>
      </c>
      <c r="J38" s="2">
        <v>51395.270000000055</v>
      </c>
      <c r="K38" s="2">
        <v>51395.270000000055</v>
      </c>
      <c r="L38" s="2">
        <v>51395.270000000055</v>
      </c>
      <c r="M38" s="2">
        <v>51395.270000000055</v>
      </c>
      <c r="N38" s="2">
        <v>51395.270000000055</v>
      </c>
      <c r="O38" s="2">
        <v>51395.270000000055</v>
      </c>
      <c r="P38" s="2">
        <v>51395.270000000055</v>
      </c>
      <c r="Q38" s="2">
        <v>51395.270000000055</v>
      </c>
      <c r="R38" s="2">
        <v>51395.270000000055</v>
      </c>
      <c r="S38" s="2">
        <v>51395.270000000055</v>
      </c>
      <c r="T38" s="2">
        <v>51395.270000000055</v>
      </c>
      <c r="U38" s="2">
        <v>51395.270000000055</v>
      </c>
      <c r="V38" s="2">
        <v>51395.270000000055</v>
      </c>
      <c r="W38" s="2">
        <v>51395.270000000055</v>
      </c>
      <c r="X38" s="2">
        <v>51395.270000000055</v>
      </c>
      <c r="Y38" s="2">
        <v>51395.270000000055</v>
      </c>
      <c r="Z38" s="2">
        <v>51395.270000000055</v>
      </c>
      <c r="AA38" s="2">
        <v>51395.270000000055</v>
      </c>
      <c r="AB38" s="2">
        <v>51395.270000000055</v>
      </c>
      <c r="AC38" s="2">
        <v>51395.270000000055</v>
      </c>
      <c r="AD38" s="2">
        <v>51395.270000000055</v>
      </c>
      <c r="AE38" s="2">
        <v>51395.270000000055</v>
      </c>
      <c r="AF38" s="3"/>
      <c r="AG38" s="51">
        <f t="shared" si="1"/>
        <v>51395.270000000055</v>
      </c>
      <c r="AH38" s="44">
        <v>51333.279999999999</v>
      </c>
    </row>
    <row r="39" spans="1:34" x14ac:dyDescent="0.35">
      <c r="A39" s="33" t="s">
        <v>45</v>
      </c>
      <c r="B39" s="10">
        <v>49006.019999999946</v>
      </c>
      <c r="C39" s="2">
        <v>49017.119999999944</v>
      </c>
      <c r="D39" s="2">
        <v>49033.769999999946</v>
      </c>
      <c r="E39" s="2">
        <v>49054.139999999948</v>
      </c>
      <c r="F39" s="2">
        <v>49068.529999999948</v>
      </c>
      <c r="G39" s="2">
        <v>49089.889999999948</v>
      </c>
      <c r="H39" s="2">
        <v>49111.429999999949</v>
      </c>
      <c r="I39" s="2">
        <v>49133.019999999946</v>
      </c>
      <c r="J39" s="2">
        <v>49152.679999999949</v>
      </c>
      <c r="K39" s="2">
        <v>49164.659999999953</v>
      </c>
      <c r="L39" s="2">
        <v>49186.379999999954</v>
      </c>
      <c r="M39" s="2">
        <v>49208.279999999955</v>
      </c>
      <c r="N39" s="2">
        <v>49216.279999999955</v>
      </c>
      <c r="O39" s="2">
        <v>49216.279999999955</v>
      </c>
      <c r="P39" s="2">
        <v>49216.279999999955</v>
      </c>
      <c r="Q39" s="2">
        <v>49216.279999999955</v>
      </c>
      <c r="R39" s="2">
        <v>49216.279999999955</v>
      </c>
      <c r="S39" s="2">
        <v>49229.789999999957</v>
      </c>
      <c r="T39" s="2">
        <v>49251.429999999957</v>
      </c>
      <c r="U39" s="2">
        <v>49268.499999999956</v>
      </c>
      <c r="V39" s="2">
        <v>49288.759999999958</v>
      </c>
      <c r="W39" s="2">
        <v>49307.299999999959</v>
      </c>
      <c r="X39" s="2">
        <v>49328.759999999958</v>
      </c>
      <c r="Y39" s="2">
        <v>49336.749999999956</v>
      </c>
      <c r="Z39" s="2">
        <v>49358.429999999957</v>
      </c>
      <c r="AA39" s="2">
        <v>49380.449999999953</v>
      </c>
      <c r="AB39" s="2">
        <v>49402.689999999951</v>
      </c>
      <c r="AC39" s="2">
        <v>49424.029999999948</v>
      </c>
      <c r="AD39" s="2">
        <v>49442.799999999945</v>
      </c>
      <c r="AE39" s="2">
        <v>49460.289999999943</v>
      </c>
      <c r="AF39" s="3"/>
      <c r="AG39" s="51">
        <f t="shared" si="1"/>
        <v>49460.289999999943</v>
      </c>
      <c r="AH39" s="44">
        <v>48985.23</v>
      </c>
    </row>
    <row r="40" spans="1:34" x14ac:dyDescent="0.35">
      <c r="A40" s="33" t="s">
        <v>46</v>
      </c>
      <c r="B40" s="10">
        <v>49865.299999999981</v>
      </c>
      <c r="C40" s="2">
        <v>49879.979999999981</v>
      </c>
      <c r="D40" s="2">
        <v>49898.979999999981</v>
      </c>
      <c r="E40" s="2">
        <v>49912.939999999981</v>
      </c>
      <c r="F40" s="2">
        <v>49934.589999999982</v>
      </c>
      <c r="G40" s="2">
        <v>49953.00999999998</v>
      </c>
      <c r="H40" s="2">
        <v>49974.249999999978</v>
      </c>
      <c r="I40" s="2">
        <v>49994.729999999981</v>
      </c>
      <c r="J40" s="2">
        <v>50013.019999999982</v>
      </c>
      <c r="K40" s="2">
        <v>50016.359999999979</v>
      </c>
      <c r="L40" s="2">
        <v>50017.309999999976</v>
      </c>
      <c r="M40" s="2">
        <v>50037.749999999978</v>
      </c>
      <c r="N40" s="2">
        <v>50056.249999999978</v>
      </c>
      <c r="O40" s="2">
        <v>50076.729999999981</v>
      </c>
      <c r="P40" s="2">
        <v>50098.699999999983</v>
      </c>
      <c r="Q40" s="2">
        <v>50117.569999999985</v>
      </c>
      <c r="R40" s="2">
        <v>50136.639999999985</v>
      </c>
      <c r="S40" s="2">
        <v>50147.759999999987</v>
      </c>
      <c r="T40" s="2">
        <v>50164.399999999987</v>
      </c>
      <c r="U40" s="2">
        <v>50179.099999999984</v>
      </c>
      <c r="V40" s="2">
        <v>50187.579999999987</v>
      </c>
      <c r="W40" s="2">
        <v>50201.119999999988</v>
      </c>
      <c r="X40" s="2">
        <v>50221.649999999987</v>
      </c>
      <c r="Y40" s="2">
        <v>50243.029999999984</v>
      </c>
      <c r="Z40" s="2">
        <v>50261.229999999981</v>
      </c>
      <c r="AA40" s="2">
        <v>50279.929999999978</v>
      </c>
      <c r="AB40" s="2">
        <v>50293.519999999975</v>
      </c>
      <c r="AC40" s="2">
        <v>50313.599999999977</v>
      </c>
      <c r="AD40" s="2">
        <v>50325.519999999975</v>
      </c>
      <c r="AE40" s="2">
        <v>50335.399999999972</v>
      </c>
      <c r="AF40" s="3"/>
      <c r="AG40" s="51">
        <f t="shared" si="1"/>
        <v>50335.399999999972</v>
      </c>
      <c r="AH40" s="44">
        <v>49845.37</v>
      </c>
    </row>
    <row r="41" spans="1:34" x14ac:dyDescent="0.35">
      <c r="A41" s="33" t="s">
        <v>47</v>
      </c>
      <c r="B41" s="10">
        <v>47417.42</v>
      </c>
      <c r="C41" s="2">
        <v>47438.83</v>
      </c>
      <c r="D41" s="2">
        <v>47460.69</v>
      </c>
      <c r="E41" s="2">
        <v>47483.16</v>
      </c>
      <c r="F41" s="2">
        <v>47505.770000000004</v>
      </c>
      <c r="G41" s="2">
        <v>47528.100000000006</v>
      </c>
      <c r="H41" s="2">
        <v>47550.270000000004</v>
      </c>
      <c r="I41" s="2">
        <v>47571.030000000006</v>
      </c>
      <c r="J41" s="2">
        <v>47592.790000000008</v>
      </c>
      <c r="K41" s="2">
        <v>47614.500000000007</v>
      </c>
      <c r="L41" s="2">
        <v>47636.37000000001</v>
      </c>
      <c r="M41" s="2">
        <v>47658.23000000001</v>
      </c>
      <c r="N41" s="2">
        <v>47680.23000000001</v>
      </c>
      <c r="O41" s="2">
        <v>47701.180000000008</v>
      </c>
      <c r="P41" s="2">
        <v>47705.070000000007</v>
      </c>
      <c r="Q41" s="2">
        <v>47722.62000000001</v>
      </c>
      <c r="R41" s="2">
        <v>47744.630000000012</v>
      </c>
      <c r="S41" s="2">
        <v>47765.80000000001</v>
      </c>
      <c r="T41" s="2">
        <v>47784.80000000001</v>
      </c>
      <c r="U41" s="2">
        <v>47807.160000000011</v>
      </c>
      <c r="V41" s="2">
        <v>47818.920000000013</v>
      </c>
      <c r="W41" s="2">
        <v>47840.060000000012</v>
      </c>
      <c r="X41" s="2">
        <v>47853.390000000014</v>
      </c>
      <c r="Y41" s="2">
        <v>47874.440000000017</v>
      </c>
      <c r="Z41" s="2">
        <v>47888.940000000017</v>
      </c>
      <c r="AA41" s="2">
        <v>47910.410000000018</v>
      </c>
      <c r="AB41" s="2">
        <v>47932.710000000021</v>
      </c>
      <c r="AC41" s="2">
        <v>47954.000000000022</v>
      </c>
      <c r="AD41" s="2">
        <v>47975.540000000023</v>
      </c>
      <c r="AE41" s="2">
        <v>47992.950000000026</v>
      </c>
      <c r="AF41" s="3"/>
      <c r="AG41" s="51">
        <f t="shared" si="1"/>
        <v>47992.950000000026</v>
      </c>
      <c r="AH41" s="44">
        <v>47395.75</v>
      </c>
    </row>
    <row r="42" spans="1:34" x14ac:dyDescent="0.35">
      <c r="A42" s="33" t="s">
        <v>48</v>
      </c>
      <c r="B42" s="10">
        <v>41507.769999999982</v>
      </c>
      <c r="C42" s="2">
        <v>41510.819999999985</v>
      </c>
      <c r="D42" s="2">
        <v>41529.699999999983</v>
      </c>
      <c r="E42" s="2">
        <v>41550.819999999985</v>
      </c>
      <c r="F42" s="2">
        <v>41571.859999999986</v>
      </c>
      <c r="G42" s="2">
        <v>41592.969999999987</v>
      </c>
      <c r="H42" s="2">
        <v>41613.559999999983</v>
      </c>
      <c r="I42" s="2">
        <v>41624.709999999985</v>
      </c>
      <c r="J42" s="2">
        <v>41643.759999999987</v>
      </c>
      <c r="K42" s="2">
        <v>41659.749999999985</v>
      </c>
      <c r="L42" s="2">
        <v>41670.669999999984</v>
      </c>
      <c r="M42" s="2">
        <v>41687.919999999984</v>
      </c>
      <c r="N42" s="2">
        <v>41705.639999999985</v>
      </c>
      <c r="O42" s="2">
        <v>41706.709999999985</v>
      </c>
      <c r="P42" s="2">
        <v>41706.709999999985</v>
      </c>
      <c r="Q42" s="2">
        <v>41706.709999999985</v>
      </c>
      <c r="R42" s="2">
        <v>41716.529999999984</v>
      </c>
      <c r="S42" s="2">
        <v>41733.919999999984</v>
      </c>
      <c r="T42" s="2">
        <v>41745.389999999985</v>
      </c>
      <c r="U42" s="2">
        <v>41759.629999999983</v>
      </c>
      <c r="V42" s="2">
        <v>41774.289999999986</v>
      </c>
      <c r="W42" s="2">
        <v>41785.369999999988</v>
      </c>
      <c r="X42" s="2">
        <v>41806.76999999999</v>
      </c>
      <c r="Y42" s="2">
        <v>41828.26999999999</v>
      </c>
      <c r="Z42" s="2">
        <v>41848.729999999989</v>
      </c>
      <c r="AA42" s="2">
        <v>41861.109999999986</v>
      </c>
      <c r="AB42" s="2">
        <v>41868.229999999989</v>
      </c>
      <c r="AC42" s="2">
        <v>41868.229999999989</v>
      </c>
      <c r="AD42" s="2">
        <v>41868.229999999989</v>
      </c>
      <c r="AE42" s="2">
        <v>41868.229999999989</v>
      </c>
      <c r="AF42" s="3"/>
      <c r="AG42" s="51">
        <f t="shared" si="1"/>
        <v>41868.229999999989</v>
      </c>
      <c r="AH42" s="44">
        <v>41499.760000000002</v>
      </c>
    </row>
    <row r="43" spans="1:34" x14ac:dyDescent="0.35">
      <c r="A43" s="33" t="s">
        <v>49</v>
      </c>
      <c r="B43" s="10">
        <v>50218.679999999884</v>
      </c>
      <c r="C43" s="2">
        <v>50239.729999999887</v>
      </c>
      <c r="D43" s="2">
        <v>50249.549999999886</v>
      </c>
      <c r="E43" s="2">
        <v>50270.519999999888</v>
      </c>
      <c r="F43" s="2">
        <v>50291.489999999889</v>
      </c>
      <c r="G43" s="2">
        <v>50312.199999999888</v>
      </c>
      <c r="H43" s="2">
        <v>50325.699999999888</v>
      </c>
      <c r="I43" s="2">
        <v>50347.309999999889</v>
      </c>
      <c r="J43" s="2">
        <v>50363.229999999887</v>
      </c>
      <c r="K43" s="2">
        <v>50378.549999999886</v>
      </c>
      <c r="L43" s="2">
        <v>50397.739999999889</v>
      </c>
      <c r="M43" s="2">
        <v>50415.179999999891</v>
      </c>
      <c r="N43" s="2">
        <v>50437.02999999989</v>
      </c>
      <c r="O43" s="2">
        <v>50458.039999999892</v>
      </c>
      <c r="P43" s="2">
        <v>50479.969999999892</v>
      </c>
      <c r="Q43" s="2">
        <v>50501.799999999894</v>
      </c>
      <c r="R43" s="2">
        <v>50523.479999999894</v>
      </c>
      <c r="S43" s="2">
        <v>50541.629999999896</v>
      </c>
      <c r="T43" s="2">
        <v>50559.879999999896</v>
      </c>
      <c r="U43" s="2">
        <v>50581.259999999893</v>
      </c>
      <c r="V43" s="2">
        <v>50602.809999999896</v>
      </c>
      <c r="W43" s="2">
        <v>50624.039999999899</v>
      </c>
      <c r="X43" s="2">
        <v>50645.609999999899</v>
      </c>
      <c r="Y43" s="2">
        <v>50664.349999999897</v>
      </c>
      <c r="Z43" s="2">
        <v>50679.109999999899</v>
      </c>
      <c r="AA43" s="2">
        <v>50696.909999999902</v>
      </c>
      <c r="AB43" s="2">
        <v>50718.339999999902</v>
      </c>
      <c r="AC43" s="2">
        <v>50739.969999999899</v>
      </c>
      <c r="AD43" s="2">
        <v>50756.089999999902</v>
      </c>
      <c r="AE43" s="2">
        <v>50776.819999999905</v>
      </c>
      <c r="AF43" s="3"/>
      <c r="AG43" s="51">
        <f t="shared" si="1"/>
        <v>50776.819999999905</v>
      </c>
      <c r="AH43" s="44">
        <v>50196.480000000003</v>
      </c>
    </row>
    <row r="44" spans="1:34" x14ac:dyDescent="0.35">
      <c r="A44" s="33" t="s">
        <v>50</v>
      </c>
      <c r="B44" s="10">
        <v>49788.37999999999</v>
      </c>
      <c r="C44" s="2">
        <v>49810.149999999987</v>
      </c>
      <c r="D44" s="2">
        <v>49831.44999999999</v>
      </c>
      <c r="E44" s="2">
        <v>49852.999999999993</v>
      </c>
      <c r="F44" s="2">
        <v>49874.539999999994</v>
      </c>
      <c r="G44" s="2">
        <v>49896.52</v>
      </c>
      <c r="H44" s="2">
        <v>49918.619999999995</v>
      </c>
      <c r="I44" s="2">
        <v>49940.74</v>
      </c>
      <c r="J44" s="2">
        <v>49951.409999999996</v>
      </c>
      <c r="K44" s="2">
        <v>49972.749999999993</v>
      </c>
      <c r="L44" s="2">
        <v>49993.399999999994</v>
      </c>
      <c r="M44" s="2">
        <v>50015.119999999995</v>
      </c>
      <c r="N44" s="2">
        <v>50035.859999999993</v>
      </c>
      <c r="O44" s="2">
        <v>50052.929999999993</v>
      </c>
      <c r="P44" s="2">
        <v>50059.669999999991</v>
      </c>
      <c r="Q44" s="2">
        <v>50081.619999999988</v>
      </c>
      <c r="R44" s="2">
        <v>50101.869999999988</v>
      </c>
      <c r="S44" s="2">
        <v>50123.139999999985</v>
      </c>
      <c r="T44" s="2">
        <v>50144.499999999985</v>
      </c>
      <c r="U44" s="2">
        <v>50166.279999999984</v>
      </c>
      <c r="V44" s="2">
        <v>50184.959999999985</v>
      </c>
      <c r="W44" s="2">
        <v>50188.339999999982</v>
      </c>
      <c r="X44" s="2">
        <v>50188.339999999982</v>
      </c>
      <c r="Y44" s="2">
        <v>50188.339999999982</v>
      </c>
      <c r="Z44" s="2">
        <v>50188.339999999982</v>
      </c>
      <c r="AA44" s="2">
        <v>50188.339999999982</v>
      </c>
      <c r="AB44" s="2">
        <v>50188.339999999982</v>
      </c>
      <c r="AC44" s="2">
        <v>50202.699999999983</v>
      </c>
      <c r="AD44" s="2">
        <v>50224.539999999979</v>
      </c>
      <c r="AE44" s="2">
        <v>50243.309999999976</v>
      </c>
      <c r="AF44" s="3"/>
      <c r="AG44" s="51">
        <f t="shared" si="1"/>
        <v>50243.309999999976</v>
      </c>
      <c r="AH44" s="44">
        <v>49767.12</v>
      </c>
    </row>
    <row r="45" spans="1:34" x14ac:dyDescent="0.35">
      <c r="A45" s="33" t="s">
        <v>51</v>
      </c>
      <c r="B45" s="10">
        <v>49773.489999999962</v>
      </c>
      <c r="C45" s="2">
        <v>49795.289999999964</v>
      </c>
      <c r="D45" s="2">
        <v>49807.149999999965</v>
      </c>
      <c r="E45" s="2">
        <v>49807.149999999965</v>
      </c>
      <c r="F45" s="2">
        <v>49817.069999999963</v>
      </c>
      <c r="G45" s="2">
        <v>49838.26999999996</v>
      </c>
      <c r="H45" s="2">
        <v>49855.469999999958</v>
      </c>
      <c r="I45" s="2">
        <v>49876.759999999958</v>
      </c>
      <c r="J45" s="2">
        <v>49898.789999999957</v>
      </c>
      <c r="K45" s="2">
        <v>49919.929999999957</v>
      </c>
      <c r="L45" s="2">
        <v>49939.549999999959</v>
      </c>
      <c r="M45" s="2">
        <v>49958.599999999962</v>
      </c>
      <c r="N45" s="2">
        <v>49979.489999999962</v>
      </c>
      <c r="O45" s="2">
        <v>50000.079999999958</v>
      </c>
      <c r="P45" s="2">
        <v>50018.719999999958</v>
      </c>
      <c r="Q45" s="2">
        <v>50039.869999999959</v>
      </c>
      <c r="R45" s="2">
        <v>50061.209999999955</v>
      </c>
      <c r="S45" s="2">
        <v>50083.449999999953</v>
      </c>
      <c r="T45" s="2">
        <v>50100.049999999952</v>
      </c>
      <c r="U45" s="2">
        <v>50116.279999999955</v>
      </c>
      <c r="V45" s="2">
        <v>50131.739999999954</v>
      </c>
      <c r="W45" s="2">
        <v>50152.109999999957</v>
      </c>
      <c r="X45" s="2">
        <v>50169.859999999957</v>
      </c>
      <c r="Y45" s="2">
        <v>50185.669999999955</v>
      </c>
      <c r="Z45" s="2">
        <v>50207.109999999957</v>
      </c>
      <c r="AA45" s="2">
        <v>50228.029999999955</v>
      </c>
      <c r="AB45" s="2">
        <v>50236.239999999954</v>
      </c>
      <c r="AC45" s="2">
        <v>50241.239999999954</v>
      </c>
      <c r="AD45" s="2">
        <v>50262.929999999957</v>
      </c>
      <c r="AE45" s="2">
        <v>50266.829999999958</v>
      </c>
      <c r="AF45" s="3"/>
      <c r="AG45" s="51">
        <f t="shared" si="1"/>
        <v>50266.829999999958</v>
      </c>
      <c r="AH45" s="44">
        <v>49752.49</v>
      </c>
    </row>
    <row r="46" spans="1:34" x14ac:dyDescent="0.35">
      <c r="A46" s="33" t="s">
        <v>52</v>
      </c>
      <c r="B46" s="10">
        <v>41882.710000000043</v>
      </c>
      <c r="C46" s="2">
        <v>41903.800000000039</v>
      </c>
      <c r="D46" s="2">
        <v>41923.990000000042</v>
      </c>
      <c r="E46" s="2">
        <v>41934.370000000039</v>
      </c>
      <c r="F46" s="2">
        <v>41942.610000000037</v>
      </c>
      <c r="G46" s="2">
        <v>41961.970000000038</v>
      </c>
      <c r="H46" s="2">
        <v>41983.450000000041</v>
      </c>
      <c r="I46" s="2">
        <v>42005.180000000044</v>
      </c>
      <c r="J46" s="2">
        <v>42026.530000000042</v>
      </c>
      <c r="K46" s="2">
        <v>42047.600000000042</v>
      </c>
      <c r="L46" s="2">
        <v>42055.250000000044</v>
      </c>
      <c r="M46" s="2">
        <v>42076.680000000044</v>
      </c>
      <c r="N46" s="2">
        <v>42098.400000000045</v>
      </c>
      <c r="O46" s="2">
        <v>42120.120000000046</v>
      </c>
      <c r="P46" s="2">
        <v>42141.570000000043</v>
      </c>
      <c r="Q46" s="2">
        <v>42160.420000000042</v>
      </c>
      <c r="R46" s="2">
        <v>42179.760000000038</v>
      </c>
      <c r="S46" s="2">
        <v>42201.180000000037</v>
      </c>
      <c r="T46" s="2">
        <v>42222.790000000037</v>
      </c>
      <c r="U46" s="2">
        <v>42244.41000000004</v>
      </c>
      <c r="V46" s="2">
        <v>42265.650000000038</v>
      </c>
      <c r="W46" s="2">
        <v>42285.350000000035</v>
      </c>
      <c r="X46" s="2">
        <v>42306.730000000032</v>
      </c>
      <c r="Y46" s="2">
        <v>42328.060000000034</v>
      </c>
      <c r="Z46" s="2">
        <v>42349.590000000033</v>
      </c>
      <c r="AA46" s="2">
        <v>42371.570000000036</v>
      </c>
      <c r="AB46" s="2">
        <v>42394.310000000034</v>
      </c>
      <c r="AC46" s="2">
        <v>42415.690000000031</v>
      </c>
      <c r="AD46" s="2">
        <v>42437.260000000031</v>
      </c>
      <c r="AE46" s="2">
        <v>42448.320000000029</v>
      </c>
      <c r="AF46" s="3"/>
      <c r="AG46" s="51">
        <f t="shared" si="1"/>
        <v>42448.320000000029</v>
      </c>
      <c r="AH46" s="44">
        <v>41861.599999999999</v>
      </c>
    </row>
    <row r="47" spans="1:34" x14ac:dyDescent="0.35">
      <c r="A47" s="33" t="s">
        <v>53</v>
      </c>
      <c r="B47" s="10">
        <v>43767.420000000006</v>
      </c>
      <c r="C47" s="2">
        <v>43788.380000000005</v>
      </c>
      <c r="D47" s="2">
        <v>43809.98</v>
      </c>
      <c r="E47" s="2">
        <v>43828.030000000006</v>
      </c>
      <c r="F47" s="2">
        <v>43846.510000000009</v>
      </c>
      <c r="G47" s="2">
        <v>43867.73000000001</v>
      </c>
      <c r="H47" s="2">
        <v>43881.400000000009</v>
      </c>
      <c r="I47" s="2">
        <v>43897.510000000009</v>
      </c>
      <c r="J47" s="2">
        <v>43910.44000000001</v>
      </c>
      <c r="K47" s="2">
        <v>43931.530000000006</v>
      </c>
      <c r="L47" s="2">
        <v>43953.250000000007</v>
      </c>
      <c r="M47" s="2">
        <v>43973.070000000007</v>
      </c>
      <c r="N47" s="2">
        <v>43994.930000000008</v>
      </c>
      <c r="O47" s="2">
        <v>44013.700000000004</v>
      </c>
      <c r="P47" s="2">
        <v>44035.350000000006</v>
      </c>
      <c r="Q47" s="2">
        <v>44056.170000000006</v>
      </c>
      <c r="R47" s="2">
        <v>44077.48</v>
      </c>
      <c r="S47" s="2">
        <v>44096.97</v>
      </c>
      <c r="T47" s="2">
        <v>44118.22</v>
      </c>
      <c r="U47" s="2">
        <v>44135.78</v>
      </c>
      <c r="V47" s="2">
        <v>44153.88</v>
      </c>
      <c r="W47" s="2">
        <v>44171.34</v>
      </c>
      <c r="X47" s="2">
        <v>44192.729999999996</v>
      </c>
      <c r="Y47" s="2">
        <v>44214.1</v>
      </c>
      <c r="Z47" s="2">
        <v>44235.7</v>
      </c>
      <c r="AA47" s="2">
        <v>44255.399999999994</v>
      </c>
      <c r="AB47" s="2">
        <v>44277.999999999993</v>
      </c>
      <c r="AC47" s="2">
        <v>44299.369999999995</v>
      </c>
      <c r="AD47" s="2">
        <v>44317.139999999992</v>
      </c>
      <c r="AE47" s="2">
        <v>44338.829999999994</v>
      </c>
      <c r="AF47" s="3"/>
      <c r="AG47" s="51">
        <f t="shared" si="1"/>
        <v>44338.829999999994</v>
      </c>
      <c r="AH47" s="44">
        <v>43750.35</v>
      </c>
    </row>
    <row r="48" spans="1:34" x14ac:dyDescent="0.35">
      <c r="A48" s="33" t="s">
        <v>54</v>
      </c>
      <c r="B48" s="10">
        <v>43036.599999999897</v>
      </c>
      <c r="C48" s="2">
        <v>43055.019999999895</v>
      </c>
      <c r="D48" s="2">
        <v>43073.839999999895</v>
      </c>
      <c r="E48" s="2">
        <v>43082.519999999895</v>
      </c>
      <c r="F48" s="2">
        <v>43104.249999999898</v>
      </c>
      <c r="G48" s="2">
        <v>43126.549999999901</v>
      </c>
      <c r="H48" s="2">
        <v>43148.599999999904</v>
      </c>
      <c r="I48" s="2">
        <v>43170.259999999907</v>
      </c>
      <c r="J48" s="2">
        <v>43191.62999999991</v>
      </c>
      <c r="K48" s="2">
        <v>43213.489999999911</v>
      </c>
      <c r="L48" s="2">
        <v>43234.489999999911</v>
      </c>
      <c r="M48" s="2">
        <v>43250.819999999912</v>
      </c>
      <c r="N48" s="2">
        <v>43261.719999999914</v>
      </c>
      <c r="O48" s="2">
        <v>43274.099999999911</v>
      </c>
      <c r="P48" s="2">
        <v>43283.899999999914</v>
      </c>
      <c r="Q48" s="2">
        <v>43296.189999999915</v>
      </c>
      <c r="R48" s="2">
        <v>43311.799999999916</v>
      </c>
      <c r="S48" s="2">
        <v>43330.409999999916</v>
      </c>
      <c r="T48" s="2">
        <v>43351.659999999916</v>
      </c>
      <c r="U48" s="2">
        <v>43373.129999999917</v>
      </c>
      <c r="V48" s="2">
        <v>43394.209999999919</v>
      </c>
      <c r="W48" s="2">
        <v>43415.509999999922</v>
      </c>
      <c r="X48" s="2">
        <v>43437.549999999923</v>
      </c>
      <c r="Y48" s="2">
        <v>43455.509999999922</v>
      </c>
      <c r="Z48" s="2">
        <v>43466.939999999922</v>
      </c>
      <c r="AA48" s="2">
        <v>43488.759999999922</v>
      </c>
      <c r="AB48" s="2">
        <v>43511.339999999924</v>
      </c>
      <c r="AC48" s="2">
        <v>43530.559999999925</v>
      </c>
      <c r="AD48" s="2">
        <v>43549.699999999924</v>
      </c>
      <c r="AE48" s="2">
        <v>43570.869999999923</v>
      </c>
      <c r="AF48" s="3"/>
      <c r="AG48" s="51">
        <f t="shared" si="1"/>
        <v>43570.869999999923</v>
      </c>
      <c r="AH48" s="44">
        <v>43023.5</v>
      </c>
    </row>
    <row r="49" spans="1:34" x14ac:dyDescent="0.35">
      <c r="A49" s="33" t="s">
        <v>55</v>
      </c>
      <c r="B49" s="10">
        <v>42532.780000000035</v>
      </c>
      <c r="C49" s="2">
        <v>42548.650000000038</v>
      </c>
      <c r="D49" s="2">
        <v>42570.010000000038</v>
      </c>
      <c r="E49" s="2">
        <v>42590.210000000036</v>
      </c>
      <c r="F49" s="2">
        <v>42607.300000000032</v>
      </c>
      <c r="G49" s="2">
        <v>42627.530000000035</v>
      </c>
      <c r="H49" s="2">
        <v>42637.250000000036</v>
      </c>
      <c r="I49" s="2">
        <v>42646.650000000038</v>
      </c>
      <c r="J49" s="2">
        <v>42657.870000000039</v>
      </c>
      <c r="K49" s="2">
        <v>42679.820000000036</v>
      </c>
      <c r="L49" s="2">
        <v>42701.710000000036</v>
      </c>
      <c r="M49" s="2">
        <v>42714.070000000036</v>
      </c>
      <c r="N49" s="2">
        <v>42731.810000000034</v>
      </c>
      <c r="O49" s="2">
        <v>42750.040000000037</v>
      </c>
      <c r="P49" s="2">
        <v>42771.930000000037</v>
      </c>
      <c r="Q49" s="2">
        <v>42784.830000000038</v>
      </c>
      <c r="R49" s="2">
        <v>42796.890000000036</v>
      </c>
      <c r="S49" s="2">
        <v>42818.370000000039</v>
      </c>
      <c r="T49" s="2">
        <v>42839.680000000037</v>
      </c>
      <c r="U49" s="2">
        <v>42842.050000000039</v>
      </c>
      <c r="V49" s="2">
        <v>42858.630000000041</v>
      </c>
      <c r="W49" s="2">
        <v>42880.140000000043</v>
      </c>
      <c r="X49" s="2">
        <v>42902.580000000045</v>
      </c>
      <c r="Y49" s="2">
        <v>42923.360000000044</v>
      </c>
      <c r="Z49" s="2">
        <v>42930.810000000041</v>
      </c>
      <c r="AA49" s="2">
        <v>42938.630000000041</v>
      </c>
      <c r="AB49" s="2">
        <v>42943.240000000042</v>
      </c>
      <c r="AC49" s="2">
        <v>42965.070000000043</v>
      </c>
      <c r="AD49" s="2">
        <v>42984.430000000044</v>
      </c>
      <c r="AE49" s="2">
        <v>43005.190000000046</v>
      </c>
      <c r="AF49" s="3"/>
      <c r="AG49" s="51">
        <f t="shared" si="1"/>
        <v>43005.190000000046</v>
      </c>
      <c r="AH49" s="44">
        <v>42512.11</v>
      </c>
    </row>
    <row r="50" spans="1:34" x14ac:dyDescent="0.35">
      <c r="A50" s="33" t="s">
        <v>56</v>
      </c>
      <c r="B50" s="10">
        <v>41765.66000000012</v>
      </c>
      <c r="C50" s="2">
        <v>41785.48000000012</v>
      </c>
      <c r="D50" s="2">
        <v>41806.790000000117</v>
      </c>
      <c r="E50" s="2">
        <v>41828.670000000115</v>
      </c>
      <c r="F50" s="2">
        <v>41841.830000000118</v>
      </c>
      <c r="G50" s="2">
        <v>41856.870000000119</v>
      </c>
      <c r="H50" s="2">
        <v>41878.190000000119</v>
      </c>
      <c r="I50" s="2">
        <v>41880.48000000012</v>
      </c>
      <c r="J50" s="2">
        <v>41901.41000000012</v>
      </c>
      <c r="K50" s="2">
        <v>41922.740000000122</v>
      </c>
      <c r="L50" s="2">
        <v>41943.73000000012</v>
      </c>
      <c r="M50" s="2">
        <v>41962.360000000117</v>
      </c>
      <c r="N50" s="2">
        <v>41981.680000000117</v>
      </c>
      <c r="O50" s="2">
        <v>42003.040000000117</v>
      </c>
      <c r="P50" s="2">
        <v>42023.450000000121</v>
      </c>
      <c r="Q50" s="2">
        <v>42037.330000000118</v>
      </c>
      <c r="R50" s="2">
        <v>42055.500000000116</v>
      </c>
      <c r="S50" s="2">
        <v>42076.170000000115</v>
      </c>
      <c r="T50" s="2">
        <v>42094.520000000113</v>
      </c>
      <c r="U50" s="2">
        <v>42113.980000000112</v>
      </c>
      <c r="V50" s="2">
        <v>42135.230000000112</v>
      </c>
      <c r="W50" s="2">
        <v>42153.130000000114</v>
      </c>
      <c r="X50" s="2">
        <v>42175.140000000116</v>
      </c>
      <c r="Y50" s="2">
        <v>42183.450000000114</v>
      </c>
      <c r="Z50" s="2">
        <v>42205.270000000113</v>
      </c>
      <c r="AA50" s="2">
        <v>42223.440000000111</v>
      </c>
      <c r="AB50" s="2">
        <v>42245.560000000114</v>
      </c>
      <c r="AC50" s="2">
        <v>42265.520000000113</v>
      </c>
      <c r="AD50" s="2">
        <v>42286.880000000114</v>
      </c>
      <c r="AE50" s="2">
        <v>42306.410000000113</v>
      </c>
      <c r="AF50" s="3"/>
      <c r="AG50" s="51">
        <f t="shared" si="1"/>
        <v>42306.410000000113</v>
      </c>
      <c r="AH50" s="44">
        <v>41747.480000000003</v>
      </c>
    </row>
    <row r="51" spans="1:34" x14ac:dyDescent="0.35">
      <c r="A51" s="33" t="s">
        <v>57</v>
      </c>
      <c r="B51" s="10">
        <v>40348.869999999937</v>
      </c>
      <c r="C51" s="2">
        <v>40370.479999999938</v>
      </c>
      <c r="D51" s="2">
        <v>40391.859999999935</v>
      </c>
      <c r="E51" s="2">
        <v>40413.199999999932</v>
      </c>
      <c r="F51" s="2">
        <v>40434.43999999993</v>
      </c>
      <c r="G51" s="2">
        <v>40451.36999999993</v>
      </c>
      <c r="H51" s="2">
        <v>40472.579999999929</v>
      </c>
      <c r="I51" s="2">
        <v>40492.009999999929</v>
      </c>
      <c r="J51" s="2">
        <v>40513.859999999928</v>
      </c>
      <c r="K51" s="2">
        <v>40535.659999999931</v>
      </c>
      <c r="L51" s="2">
        <v>40556.829999999929</v>
      </c>
      <c r="M51" s="2">
        <v>40578.599999999926</v>
      </c>
      <c r="N51" s="2">
        <v>40599.349999999926</v>
      </c>
      <c r="O51" s="2">
        <v>40609.259999999929</v>
      </c>
      <c r="P51" s="2">
        <v>40631.109999999928</v>
      </c>
      <c r="Q51" s="2">
        <v>40652.099999999926</v>
      </c>
      <c r="R51" s="2">
        <v>40667.189999999922</v>
      </c>
      <c r="S51" s="2">
        <v>40684.939999999922</v>
      </c>
      <c r="T51" s="2">
        <v>40696.639999999919</v>
      </c>
      <c r="U51" s="2">
        <v>40709.259999999922</v>
      </c>
      <c r="V51" s="2">
        <v>40730.769999999924</v>
      </c>
      <c r="W51" s="2">
        <v>40749.319999999927</v>
      </c>
      <c r="X51" s="2">
        <v>40767.47999999993</v>
      </c>
      <c r="Y51" s="2">
        <v>40782.199999999932</v>
      </c>
      <c r="Z51" s="2">
        <v>40804.089999999931</v>
      </c>
      <c r="AA51" s="2">
        <v>40811.809999999932</v>
      </c>
      <c r="AB51" s="2">
        <v>40831.18999999993</v>
      </c>
      <c r="AC51" s="2">
        <v>40852.069999999927</v>
      </c>
      <c r="AD51" s="2">
        <v>40873.29999999993</v>
      </c>
      <c r="AE51" s="2">
        <v>40895.199999999932</v>
      </c>
      <c r="AF51" s="3"/>
      <c r="AG51" s="51">
        <f t="shared" si="1"/>
        <v>40895.199999999932</v>
      </c>
      <c r="AH51" s="44">
        <v>40333.11</v>
      </c>
    </row>
    <row r="52" spans="1:34" x14ac:dyDescent="0.35">
      <c r="A52" s="33" t="s">
        <v>58</v>
      </c>
      <c r="B52" s="10">
        <v>39756.519999999895</v>
      </c>
      <c r="C52" s="2">
        <v>39773.379999999896</v>
      </c>
      <c r="D52" s="2">
        <v>39793.919999999896</v>
      </c>
      <c r="E52" s="2">
        <v>39809.059999999896</v>
      </c>
      <c r="F52" s="2">
        <v>39825.459999999897</v>
      </c>
      <c r="G52" s="2">
        <v>39841.589999999895</v>
      </c>
      <c r="H52" s="2">
        <v>39860.229999999894</v>
      </c>
      <c r="I52" s="2">
        <v>39881.079999999893</v>
      </c>
      <c r="J52" s="2">
        <v>39900.839999999895</v>
      </c>
      <c r="K52" s="2">
        <v>39920.059999999896</v>
      </c>
      <c r="L52" s="2">
        <v>39941.579999999893</v>
      </c>
      <c r="M52" s="2">
        <v>39963.419999999889</v>
      </c>
      <c r="N52" s="2">
        <v>39985.119999999886</v>
      </c>
      <c r="O52" s="2">
        <v>40006.949999999888</v>
      </c>
      <c r="P52" s="2">
        <v>40028.88999999989</v>
      </c>
      <c r="Q52" s="2">
        <v>40048.899999999892</v>
      </c>
      <c r="R52" s="2">
        <v>40069.859999999891</v>
      </c>
      <c r="S52" s="2">
        <v>40090.219999999892</v>
      </c>
      <c r="T52" s="2">
        <v>40112.159999999894</v>
      </c>
      <c r="U52" s="2">
        <v>40134.589999999895</v>
      </c>
      <c r="V52" s="2">
        <v>40156.959999999897</v>
      </c>
      <c r="W52" s="2">
        <v>40177.169999999896</v>
      </c>
      <c r="X52" s="2">
        <v>40199.289999999899</v>
      </c>
      <c r="Y52" s="2">
        <v>40219.629999999896</v>
      </c>
      <c r="Z52" s="2">
        <v>40241.339999999895</v>
      </c>
      <c r="AA52" s="2">
        <v>40262.899999999892</v>
      </c>
      <c r="AB52" s="2">
        <v>40282.20999999989</v>
      </c>
      <c r="AC52" s="2">
        <v>40297.859999999891</v>
      </c>
      <c r="AD52" s="2">
        <v>40318.929999999891</v>
      </c>
      <c r="AE52" s="2">
        <v>40340.079999999893</v>
      </c>
      <c r="AF52" s="3"/>
      <c r="AG52" s="51">
        <f t="shared" si="1"/>
        <v>40340.079999999893</v>
      </c>
      <c r="AH52" s="44">
        <v>39734.32</v>
      </c>
    </row>
    <row r="53" spans="1:34" x14ac:dyDescent="0.35">
      <c r="A53" s="33" t="s">
        <v>59</v>
      </c>
      <c r="B53" s="10">
        <v>42653.98000000001</v>
      </c>
      <c r="C53" s="2">
        <v>42675.390000000014</v>
      </c>
      <c r="D53" s="2">
        <v>42697.290000000015</v>
      </c>
      <c r="E53" s="2">
        <v>42718.910000000018</v>
      </c>
      <c r="F53" s="2">
        <v>42740.400000000016</v>
      </c>
      <c r="G53" s="2">
        <v>42757.850000000013</v>
      </c>
      <c r="H53" s="2">
        <v>42779.150000000016</v>
      </c>
      <c r="I53" s="2">
        <v>42800.760000000017</v>
      </c>
      <c r="J53" s="2">
        <v>42822.780000000013</v>
      </c>
      <c r="K53" s="2">
        <v>42844.37000000001</v>
      </c>
      <c r="L53" s="2">
        <v>42866.270000000011</v>
      </c>
      <c r="M53" s="2">
        <v>42884.19000000001</v>
      </c>
      <c r="N53" s="2">
        <v>42904.970000000008</v>
      </c>
      <c r="O53" s="2">
        <v>42926.140000000007</v>
      </c>
      <c r="P53" s="2">
        <v>42946.770000000004</v>
      </c>
      <c r="Q53" s="2">
        <v>42965.430000000008</v>
      </c>
      <c r="R53" s="2">
        <v>42986.910000000011</v>
      </c>
      <c r="S53" s="2">
        <v>43009.630000000012</v>
      </c>
      <c r="T53" s="2">
        <v>43018.060000000012</v>
      </c>
      <c r="U53" s="2">
        <v>43023.470000000016</v>
      </c>
      <c r="V53" s="2">
        <v>43033.340000000018</v>
      </c>
      <c r="W53" s="2">
        <v>43051.810000000019</v>
      </c>
      <c r="X53" s="2">
        <v>43073.060000000019</v>
      </c>
      <c r="Y53" s="2">
        <v>43088.000000000022</v>
      </c>
      <c r="Z53" s="2">
        <v>43109.450000000019</v>
      </c>
      <c r="AA53" s="2">
        <v>43120.440000000017</v>
      </c>
      <c r="AB53" s="2">
        <v>43141.650000000016</v>
      </c>
      <c r="AC53" s="2">
        <v>43153.790000000015</v>
      </c>
      <c r="AD53" s="2">
        <v>43171.630000000012</v>
      </c>
      <c r="AE53" s="2">
        <v>43193.250000000015</v>
      </c>
      <c r="AF53" s="3"/>
      <c r="AG53" s="51">
        <f t="shared" si="1"/>
        <v>43193.250000000015</v>
      </c>
      <c r="AH53" s="44">
        <v>42632.05</v>
      </c>
    </row>
    <row r="54" spans="1:34" x14ac:dyDescent="0.35">
      <c r="A54" s="33" t="s">
        <v>60</v>
      </c>
      <c r="B54" s="10">
        <v>42330.170000000144</v>
      </c>
      <c r="C54" s="2">
        <v>42350.610000000146</v>
      </c>
      <c r="D54" s="2">
        <v>42370.830000000147</v>
      </c>
      <c r="E54" s="2">
        <v>42392.140000000145</v>
      </c>
      <c r="F54" s="2">
        <v>42413.310000000143</v>
      </c>
      <c r="G54" s="2">
        <v>42428.740000000143</v>
      </c>
      <c r="H54" s="2">
        <v>42450.140000000145</v>
      </c>
      <c r="I54" s="2">
        <v>42470.570000000145</v>
      </c>
      <c r="J54" s="2">
        <v>42490.900000000147</v>
      </c>
      <c r="K54" s="2">
        <v>42508.410000000149</v>
      </c>
      <c r="L54" s="2">
        <v>42528.45000000015</v>
      </c>
      <c r="M54" s="2">
        <v>42549.640000000152</v>
      </c>
      <c r="N54" s="2">
        <v>42571.56000000015</v>
      </c>
      <c r="O54" s="2">
        <v>42592.800000000148</v>
      </c>
      <c r="P54" s="2">
        <v>42612.970000000147</v>
      </c>
      <c r="Q54" s="2">
        <v>42633.840000000149</v>
      </c>
      <c r="R54" s="2">
        <v>42649.850000000151</v>
      </c>
      <c r="S54" s="2">
        <v>42671.190000000148</v>
      </c>
      <c r="T54" s="2">
        <v>42691.490000000151</v>
      </c>
      <c r="U54" s="2">
        <v>42710.320000000153</v>
      </c>
      <c r="V54" s="2">
        <v>42731.63000000015</v>
      </c>
      <c r="W54" s="2">
        <v>42752.720000000147</v>
      </c>
      <c r="X54" s="2">
        <v>42774.720000000147</v>
      </c>
      <c r="Y54" s="2">
        <v>42796.100000000144</v>
      </c>
      <c r="Z54" s="2">
        <v>42818.210000000145</v>
      </c>
      <c r="AA54" s="2">
        <v>42839.680000000146</v>
      </c>
      <c r="AB54" s="2">
        <v>42861.400000000147</v>
      </c>
      <c r="AC54" s="2">
        <v>42880.960000000145</v>
      </c>
      <c r="AD54" s="2">
        <v>42902.710000000145</v>
      </c>
      <c r="AE54" s="2">
        <v>42921.440000000148</v>
      </c>
      <c r="AF54" s="3"/>
      <c r="AG54" s="51">
        <f t="shared" si="1"/>
        <v>42921.440000000148</v>
      </c>
      <c r="AH54" s="44">
        <v>42308.23</v>
      </c>
    </row>
    <row r="55" spans="1:34" x14ac:dyDescent="0.35">
      <c r="A55" s="33" t="s">
        <v>61</v>
      </c>
      <c r="B55" s="10">
        <v>42018.909999999974</v>
      </c>
      <c r="C55" s="2">
        <v>42036.499999999971</v>
      </c>
      <c r="D55" s="2">
        <v>42058.149999999972</v>
      </c>
      <c r="E55" s="2">
        <v>42078.559999999976</v>
      </c>
      <c r="F55" s="2">
        <v>42097.069999999978</v>
      </c>
      <c r="G55" s="2">
        <v>42110.599999999977</v>
      </c>
      <c r="H55" s="2">
        <v>42110.599999999977</v>
      </c>
      <c r="I55" s="2">
        <v>42116.89999999998</v>
      </c>
      <c r="J55" s="2">
        <v>42136.419999999976</v>
      </c>
      <c r="K55" s="2">
        <v>42151.739999999976</v>
      </c>
      <c r="L55" s="2">
        <v>42173.329999999973</v>
      </c>
      <c r="M55" s="2">
        <v>42194.469999999972</v>
      </c>
      <c r="N55" s="2">
        <v>42213.899999999972</v>
      </c>
      <c r="O55" s="2">
        <v>42235.859999999971</v>
      </c>
      <c r="P55" s="2">
        <v>42257.799999999974</v>
      </c>
      <c r="Q55" s="2">
        <v>42278.739999999976</v>
      </c>
      <c r="R55" s="2">
        <v>42300.269999999975</v>
      </c>
      <c r="S55" s="2">
        <v>42322.249999999978</v>
      </c>
      <c r="T55" s="2">
        <v>42343.249999999978</v>
      </c>
      <c r="U55" s="2">
        <v>42364.57999999998</v>
      </c>
      <c r="V55" s="2">
        <v>42385.439999999981</v>
      </c>
      <c r="W55" s="2">
        <v>42407.189999999981</v>
      </c>
      <c r="X55" s="2">
        <v>42430.129999999983</v>
      </c>
      <c r="Y55" s="2">
        <v>42451.919999999984</v>
      </c>
      <c r="Z55" s="2">
        <v>42473.449999999983</v>
      </c>
      <c r="AA55" s="2">
        <v>42487.599999999984</v>
      </c>
      <c r="AB55" s="2">
        <v>42503.249999999985</v>
      </c>
      <c r="AC55" s="2">
        <v>42514.829999999987</v>
      </c>
      <c r="AD55" s="2">
        <v>42535.55999999999</v>
      </c>
      <c r="AE55" s="2">
        <v>42556.789999999994</v>
      </c>
      <c r="AF55" s="3"/>
      <c r="AG55" s="51">
        <f t="shared" si="1"/>
        <v>42556.789999999994</v>
      </c>
      <c r="AH55" s="44">
        <v>41998.65</v>
      </c>
    </row>
    <row r="56" spans="1:34" x14ac:dyDescent="0.35">
      <c r="A56" s="33" t="s">
        <v>62</v>
      </c>
      <c r="B56" s="10">
        <v>51955.19999999999</v>
      </c>
      <c r="C56" s="2">
        <v>51964.30999999999</v>
      </c>
      <c r="D56" s="2">
        <v>51983.849999999991</v>
      </c>
      <c r="E56" s="2">
        <v>52005.139999999992</v>
      </c>
      <c r="F56" s="2">
        <v>52021.679999999993</v>
      </c>
      <c r="G56" s="2">
        <v>52043.09</v>
      </c>
      <c r="H56" s="2">
        <v>52055.03</v>
      </c>
      <c r="I56" s="2">
        <v>52075.25</v>
      </c>
      <c r="J56" s="2">
        <v>52088.79</v>
      </c>
      <c r="K56" s="2">
        <v>52105.39</v>
      </c>
      <c r="L56" s="2">
        <v>52126.12</v>
      </c>
      <c r="M56" s="2">
        <v>52147.11</v>
      </c>
      <c r="N56" s="2">
        <v>52168.58</v>
      </c>
      <c r="O56" s="2">
        <v>52187.94</v>
      </c>
      <c r="P56" s="2">
        <v>52208.450000000004</v>
      </c>
      <c r="Q56" s="2">
        <v>52229.590000000004</v>
      </c>
      <c r="R56" s="2">
        <v>52251.91</v>
      </c>
      <c r="S56" s="2">
        <v>52270</v>
      </c>
      <c r="T56" s="2">
        <v>52290.04</v>
      </c>
      <c r="U56" s="2">
        <v>52310.86</v>
      </c>
      <c r="V56" s="2">
        <v>52330.83</v>
      </c>
      <c r="W56" s="2">
        <v>52352.39</v>
      </c>
      <c r="X56" s="2">
        <v>52374.14</v>
      </c>
      <c r="Y56" s="2">
        <v>52395.65</v>
      </c>
      <c r="Z56" s="2">
        <v>52410.520000000004</v>
      </c>
      <c r="AA56" s="2">
        <v>52432.340000000004</v>
      </c>
      <c r="AB56" s="2">
        <v>52451.460000000006</v>
      </c>
      <c r="AC56" s="2">
        <v>52473.040000000008</v>
      </c>
      <c r="AD56" s="2">
        <v>52494.62000000001</v>
      </c>
      <c r="AE56" s="2">
        <v>52515.000000000007</v>
      </c>
      <c r="AF56" s="3"/>
      <c r="AG56" s="51">
        <f t="shared" si="1"/>
        <v>52515.000000000007</v>
      </c>
      <c r="AH56" s="44">
        <v>51955.199999999997</v>
      </c>
    </row>
    <row r="57" spans="1:34" x14ac:dyDescent="0.35">
      <c r="A57" s="33" t="s">
        <v>63</v>
      </c>
      <c r="B57" s="10">
        <v>18896.210000000006</v>
      </c>
      <c r="C57" s="2">
        <v>18912.920000000006</v>
      </c>
      <c r="D57" s="2">
        <v>18921.440000000006</v>
      </c>
      <c r="E57" s="2">
        <v>18937.420000000006</v>
      </c>
      <c r="F57" s="2">
        <v>18955.600000000006</v>
      </c>
      <c r="G57" s="2">
        <v>18976.770000000004</v>
      </c>
      <c r="H57" s="2">
        <v>18998.790000000005</v>
      </c>
      <c r="I57" s="2">
        <v>19020.170000000006</v>
      </c>
      <c r="J57" s="2">
        <v>19040.440000000006</v>
      </c>
      <c r="K57" s="2">
        <v>19054.780000000006</v>
      </c>
      <c r="L57" s="2">
        <v>19074.560000000005</v>
      </c>
      <c r="M57" s="2">
        <v>19095.300000000007</v>
      </c>
      <c r="N57" s="2">
        <v>19115.230000000007</v>
      </c>
      <c r="O57" s="2">
        <v>19138.900000000005</v>
      </c>
      <c r="P57" s="2">
        <v>19158.870000000006</v>
      </c>
      <c r="Q57" s="2">
        <v>19180.980000000007</v>
      </c>
      <c r="R57" s="2">
        <v>19200.880000000008</v>
      </c>
      <c r="S57" s="2">
        <v>19205.660000000007</v>
      </c>
      <c r="T57" s="2">
        <v>19219.700000000008</v>
      </c>
      <c r="U57" s="2">
        <v>19219.700000000008</v>
      </c>
      <c r="V57" s="2">
        <v>19234.320000000007</v>
      </c>
      <c r="W57" s="2">
        <v>19256.360000000008</v>
      </c>
      <c r="X57" s="2">
        <v>19278.69000000001</v>
      </c>
      <c r="Y57" s="2">
        <v>19300.720000000008</v>
      </c>
      <c r="Z57" s="2">
        <v>19317.990000000009</v>
      </c>
      <c r="AA57" s="2">
        <v>19333.28000000001</v>
      </c>
      <c r="AB57" s="2">
        <v>19333.28000000001</v>
      </c>
      <c r="AC57" s="2">
        <v>19345.040000000008</v>
      </c>
      <c r="AD57" s="2">
        <v>19365.830000000009</v>
      </c>
      <c r="AE57" s="2">
        <v>19380.340000000007</v>
      </c>
      <c r="AF57" s="3"/>
      <c r="AG57" s="51">
        <f t="shared" si="1"/>
        <v>19380.340000000007</v>
      </c>
      <c r="AH57" s="44">
        <v>18876.060000000001</v>
      </c>
    </row>
    <row r="58" spans="1:34" x14ac:dyDescent="0.35">
      <c r="A58" s="33" t="s">
        <v>64</v>
      </c>
      <c r="B58" s="10">
        <v>19324.900277600005</v>
      </c>
      <c r="C58" s="2">
        <v>19341.410277600004</v>
      </c>
      <c r="D58" s="2">
        <v>19349.370277600003</v>
      </c>
      <c r="E58" s="2">
        <v>19351.250277600004</v>
      </c>
      <c r="F58" s="2">
        <v>19367.970277600005</v>
      </c>
      <c r="G58" s="2">
        <v>19371.170277600006</v>
      </c>
      <c r="H58" s="2">
        <v>19371.170277600006</v>
      </c>
      <c r="I58" s="2">
        <v>19371.170277600006</v>
      </c>
      <c r="J58" s="2">
        <v>19379.350277600006</v>
      </c>
      <c r="K58" s="2">
        <v>19387.020277600004</v>
      </c>
      <c r="L58" s="2">
        <v>19401.810277600005</v>
      </c>
      <c r="M58" s="2">
        <v>19422.290277600005</v>
      </c>
      <c r="N58" s="2">
        <v>19440.100277600006</v>
      </c>
      <c r="O58" s="2">
        <v>19461.410277600007</v>
      </c>
      <c r="P58" s="2">
        <v>19481.780277600006</v>
      </c>
      <c r="Q58" s="2">
        <v>19505.750277600007</v>
      </c>
      <c r="R58" s="2">
        <v>19525.080277600009</v>
      </c>
      <c r="S58" s="2">
        <v>19546.10027760001</v>
      </c>
      <c r="T58" s="2">
        <v>19566.860277600008</v>
      </c>
      <c r="U58" s="2">
        <v>19585.070277600007</v>
      </c>
      <c r="V58" s="2">
        <v>19606.930277600008</v>
      </c>
      <c r="W58" s="2">
        <v>19629.770277600008</v>
      </c>
      <c r="X58" s="2">
        <v>19651.240277600009</v>
      </c>
      <c r="Y58" s="2">
        <v>19673.250277600007</v>
      </c>
      <c r="Z58" s="2">
        <v>19690.760277600006</v>
      </c>
      <c r="AA58" s="2">
        <v>19711.690277600006</v>
      </c>
      <c r="AB58" s="2">
        <v>19726.130277600005</v>
      </c>
      <c r="AC58" s="2">
        <v>19734.720277600005</v>
      </c>
      <c r="AD58" s="2">
        <v>19755.400277600005</v>
      </c>
      <c r="AE58" s="2">
        <v>19775.870277600006</v>
      </c>
      <c r="AF58" s="3"/>
      <c r="AG58" s="51">
        <f t="shared" si="1"/>
        <v>19775.870277600006</v>
      </c>
      <c r="AH58" s="44">
        <v>19308.28</v>
      </c>
    </row>
    <row r="59" spans="1:34" x14ac:dyDescent="0.35">
      <c r="A59" s="33" t="s">
        <v>65</v>
      </c>
      <c r="B59" s="10">
        <v>25758.644444100013</v>
      </c>
      <c r="C59" s="2">
        <v>25778.994444100012</v>
      </c>
      <c r="D59" s="2">
        <v>25796.884444100011</v>
      </c>
      <c r="E59" s="2">
        <v>25815.944444100012</v>
      </c>
      <c r="F59" s="2">
        <v>25834.544444100011</v>
      </c>
      <c r="G59" s="2">
        <v>25856.354444100012</v>
      </c>
      <c r="H59" s="2">
        <v>25877.874444100013</v>
      </c>
      <c r="I59" s="2">
        <v>25890.464444100013</v>
      </c>
      <c r="J59" s="2">
        <v>25905.934444100014</v>
      </c>
      <c r="K59" s="2">
        <v>25924.754444100014</v>
      </c>
      <c r="L59" s="2">
        <v>25945.654444100015</v>
      </c>
      <c r="M59" s="2">
        <v>25966.194444100016</v>
      </c>
      <c r="N59" s="2">
        <v>25987.614444100014</v>
      </c>
      <c r="O59" s="2">
        <v>26001.804444100013</v>
      </c>
      <c r="P59" s="2">
        <v>26022.884444100015</v>
      </c>
      <c r="Q59" s="2">
        <v>26046.844444100014</v>
      </c>
      <c r="R59" s="2">
        <v>26066.754444100014</v>
      </c>
      <c r="S59" s="2">
        <v>26087.764444100012</v>
      </c>
      <c r="T59" s="2">
        <v>26108.514444100012</v>
      </c>
      <c r="U59" s="2">
        <v>26132.204444100011</v>
      </c>
      <c r="V59" s="2">
        <v>26154.064444100011</v>
      </c>
      <c r="W59" s="2">
        <v>26176.964444100013</v>
      </c>
      <c r="X59" s="2">
        <v>26199.334444100012</v>
      </c>
      <c r="Y59" s="2">
        <v>26221.34444410001</v>
      </c>
      <c r="Z59" s="2">
        <v>26238.77444410001</v>
      </c>
      <c r="AA59" s="2">
        <v>26259.584444100012</v>
      </c>
      <c r="AB59" s="2">
        <v>26282.484444100013</v>
      </c>
      <c r="AC59" s="2">
        <v>26302.924444100012</v>
      </c>
      <c r="AD59" s="2">
        <v>26322.974444100011</v>
      </c>
      <c r="AE59" s="2">
        <v>26343.41444410001</v>
      </c>
      <c r="AF59" s="3"/>
      <c r="AG59" s="51">
        <f t="shared" si="1"/>
        <v>26343.41444410001</v>
      </c>
      <c r="AH59" s="44">
        <v>25737.88</v>
      </c>
    </row>
    <row r="60" spans="1:34" x14ac:dyDescent="0.35">
      <c r="A60" s="33" t="s">
        <v>66</v>
      </c>
      <c r="B60" s="10">
        <v>26435.100000000035</v>
      </c>
      <c r="C60" s="2">
        <v>26436.800000000036</v>
      </c>
      <c r="D60" s="2">
        <v>26453.940000000035</v>
      </c>
      <c r="E60" s="2">
        <v>26465.660000000036</v>
      </c>
      <c r="F60" s="2">
        <v>26484.750000000036</v>
      </c>
      <c r="G60" s="2">
        <v>26506.770000000037</v>
      </c>
      <c r="H60" s="2">
        <v>26528.760000000038</v>
      </c>
      <c r="I60" s="2">
        <v>26550.610000000037</v>
      </c>
      <c r="J60" s="2">
        <v>26570.800000000036</v>
      </c>
      <c r="K60" s="2">
        <v>26590.950000000037</v>
      </c>
      <c r="L60" s="2">
        <v>26612.030000000039</v>
      </c>
      <c r="M60" s="2">
        <v>26632.220000000038</v>
      </c>
      <c r="N60" s="2">
        <v>26653.740000000038</v>
      </c>
      <c r="O60" s="2">
        <v>26674.890000000039</v>
      </c>
      <c r="P60" s="2">
        <v>26695.650000000038</v>
      </c>
      <c r="Q60" s="2">
        <v>26717.070000000036</v>
      </c>
      <c r="R60" s="2">
        <v>26736.950000000037</v>
      </c>
      <c r="S60" s="2">
        <v>26754.910000000036</v>
      </c>
      <c r="T60" s="2">
        <v>26775.650000000038</v>
      </c>
      <c r="U60" s="2">
        <v>26794.710000000039</v>
      </c>
      <c r="V60" s="2">
        <v>26811.73000000004</v>
      </c>
      <c r="W60" s="2">
        <v>26834.630000000041</v>
      </c>
      <c r="X60" s="2">
        <v>26857.030000000042</v>
      </c>
      <c r="Y60" s="2">
        <v>26879.060000000041</v>
      </c>
      <c r="Z60" s="2">
        <v>26897.18000000004</v>
      </c>
      <c r="AA60" s="2">
        <v>26918.140000000039</v>
      </c>
      <c r="AB60" s="2">
        <v>26941.040000000041</v>
      </c>
      <c r="AC60" s="2">
        <v>26960.34000000004</v>
      </c>
      <c r="AD60" s="2">
        <v>26980.260000000038</v>
      </c>
      <c r="AE60" s="2">
        <v>26991.740000000038</v>
      </c>
      <c r="AF60" s="3"/>
      <c r="AG60" s="51">
        <f t="shared" si="1"/>
        <v>26991.740000000038</v>
      </c>
      <c r="AH60" s="44">
        <v>26435.1</v>
      </c>
    </row>
    <row r="61" spans="1:34" x14ac:dyDescent="0.35">
      <c r="A61" s="33" t="s">
        <v>67</v>
      </c>
      <c r="B61" s="10">
        <v>27047.770000000022</v>
      </c>
      <c r="C61" s="2">
        <v>27067.810000000023</v>
      </c>
      <c r="D61" s="2">
        <v>27086.300000000025</v>
      </c>
      <c r="E61" s="2">
        <v>27105.950000000026</v>
      </c>
      <c r="F61" s="2">
        <v>27124.590000000026</v>
      </c>
      <c r="G61" s="2">
        <v>27145.380000000026</v>
      </c>
      <c r="H61" s="2">
        <v>27166.630000000026</v>
      </c>
      <c r="I61" s="2">
        <v>27188.940000000028</v>
      </c>
      <c r="J61" s="2">
        <v>27209.880000000026</v>
      </c>
      <c r="K61" s="2">
        <v>27229.060000000027</v>
      </c>
      <c r="L61" s="2">
        <v>27249.700000000026</v>
      </c>
      <c r="M61" s="2">
        <v>27270.620000000024</v>
      </c>
      <c r="N61" s="2">
        <v>27286.180000000026</v>
      </c>
      <c r="O61" s="2">
        <v>27307.400000000027</v>
      </c>
      <c r="P61" s="2">
        <v>27327.760000000028</v>
      </c>
      <c r="Q61" s="2">
        <v>27351.690000000028</v>
      </c>
      <c r="R61" s="2">
        <v>27371.570000000029</v>
      </c>
      <c r="S61" s="2">
        <v>27394.620000000028</v>
      </c>
      <c r="T61" s="2">
        <v>27415.370000000028</v>
      </c>
      <c r="U61" s="2">
        <v>27436.310000000027</v>
      </c>
      <c r="V61" s="2">
        <v>27458.180000000026</v>
      </c>
      <c r="W61" s="2">
        <v>27481.080000000027</v>
      </c>
      <c r="X61" s="2">
        <v>27504.150000000027</v>
      </c>
      <c r="Y61" s="2">
        <v>27526.160000000025</v>
      </c>
      <c r="Z61" s="2">
        <v>27543.290000000026</v>
      </c>
      <c r="AA61" s="2">
        <v>27563.150000000027</v>
      </c>
      <c r="AB61" s="2">
        <v>27585.820000000025</v>
      </c>
      <c r="AC61" s="2">
        <v>27605.590000000026</v>
      </c>
      <c r="AD61" s="2">
        <v>27626.130000000026</v>
      </c>
      <c r="AE61" s="2">
        <v>27644.430000000026</v>
      </c>
      <c r="AF61" s="3"/>
      <c r="AG61" s="51">
        <f t="shared" si="1"/>
        <v>27644.430000000026</v>
      </c>
      <c r="AH61" s="44">
        <v>27027.040000000001</v>
      </c>
    </row>
    <row r="62" spans="1:34" x14ac:dyDescent="0.35">
      <c r="A62" s="33" t="s">
        <v>68</v>
      </c>
      <c r="B62" s="10">
        <v>27101.130000000019</v>
      </c>
      <c r="C62" s="2">
        <v>27120.960000000021</v>
      </c>
      <c r="D62" s="2">
        <v>27139.540000000023</v>
      </c>
      <c r="E62" s="2">
        <v>27161.440000000024</v>
      </c>
      <c r="F62" s="2">
        <v>27176.620000000024</v>
      </c>
      <c r="G62" s="2">
        <v>27198.970000000023</v>
      </c>
      <c r="H62" s="2">
        <v>27221.840000000022</v>
      </c>
      <c r="I62" s="2">
        <v>27243.770000000022</v>
      </c>
      <c r="J62" s="2">
        <v>27262.110000000022</v>
      </c>
      <c r="K62" s="2">
        <v>27280.840000000022</v>
      </c>
      <c r="L62" s="2">
        <v>27301.26000000002</v>
      </c>
      <c r="M62" s="2">
        <v>27311.35000000002</v>
      </c>
      <c r="N62" s="2">
        <v>27331.17000000002</v>
      </c>
      <c r="O62" s="2">
        <v>27352.33000000002</v>
      </c>
      <c r="P62" s="2">
        <v>27362.67000000002</v>
      </c>
      <c r="Q62" s="2">
        <v>27364.26000000002</v>
      </c>
      <c r="R62" s="2">
        <v>27380.180000000018</v>
      </c>
      <c r="S62" s="2">
        <v>27403.24000000002</v>
      </c>
      <c r="T62" s="2">
        <v>27416.860000000019</v>
      </c>
      <c r="U62" s="2">
        <v>27437.35000000002</v>
      </c>
      <c r="V62" s="2">
        <v>27459.230000000021</v>
      </c>
      <c r="W62" s="2">
        <v>27482.130000000023</v>
      </c>
      <c r="X62" s="2">
        <v>27504.520000000022</v>
      </c>
      <c r="Y62" s="2">
        <v>27522.490000000023</v>
      </c>
      <c r="Z62" s="2">
        <v>27537.030000000024</v>
      </c>
      <c r="AA62" s="2">
        <v>27557.780000000024</v>
      </c>
      <c r="AB62" s="2">
        <v>27579.650000000023</v>
      </c>
      <c r="AC62" s="2">
        <v>27593.300000000025</v>
      </c>
      <c r="AD62" s="2">
        <v>27607.510000000024</v>
      </c>
      <c r="AE62" s="2">
        <v>27617.520000000022</v>
      </c>
      <c r="AF62" s="3"/>
      <c r="AG62" s="51">
        <f t="shared" si="1"/>
        <v>27617.520000000022</v>
      </c>
      <c r="AH62" s="44">
        <v>27081.31</v>
      </c>
    </row>
    <row r="63" spans="1:34" x14ac:dyDescent="0.35">
      <c r="A63" s="33" t="s">
        <v>69</v>
      </c>
      <c r="B63" s="10">
        <v>76987.39999999998</v>
      </c>
      <c r="C63" s="2">
        <v>76987.39999999998</v>
      </c>
      <c r="D63" s="2">
        <v>76987.39999999998</v>
      </c>
      <c r="E63" s="2">
        <v>76987.39999999998</v>
      </c>
      <c r="F63" s="2">
        <v>76987.39999999998</v>
      </c>
      <c r="G63" s="2">
        <v>76987.39999999998</v>
      </c>
      <c r="H63" s="2">
        <v>76987.39999999998</v>
      </c>
      <c r="I63" s="2">
        <v>76987.39999999998</v>
      </c>
      <c r="J63" s="2">
        <v>76987.39999999998</v>
      </c>
      <c r="K63" s="2">
        <v>76987.39999999998</v>
      </c>
      <c r="L63" s="2">
        <v>76987.39999999998</v>
      </c>
      <c r="M63" s="2">
        <v>76987.39999999998</v>
      </c>
      <c r="N63" s="2">
        <v>76987.39999999998</v>
      </c>
      <c r="O63" s="2">
        <v>76987.39999999998</v>
      </c>
      <c r="P63" s="2">
        <v>76987.39999999998</v>
      </c>
      <c r="Q63" s="2">
        <v>76987.39999999998</v>
      </c>
      <c r="R63" s="2">
        <v>76987.39999999998</v>
      </c>
      <c r="S63" s="2">
        <v>76987.39999999998</v>
      </c>
      <c r="T63" s="2">
        <v>76987.39999999998</v>
      </c>
      <c r="U63" s="2">
        <v>76987.39999999998</v>
      </c>
      <c r="V63" s="2">
        <v>76987.39999999998</v>
      </c>
      <c r="W63" s="2">
        <v>76987.39999999998</v>
      </c>
      <c r="X63" s="2">
        <v>76987.39999999998</v>
      </c>
      <c r="Y63" s="2">
        <v>76987.39999999998</v>
      </c>
      <c r="Z63" s="2">
        <v>76987.39999999998</v>
      </c>
      <c r="AA63" s="2">
        <v>76987.39999999998</v>
      </c>
      <c r="AB63" s="2">
        <v>76987.39999999998</v>
      </c>
      <c r="AC63" s="2">
        <v>76987.39999999998</v>
      </c>
      <c r="AD63" s="2">
        <v>76987.39999999998</v>
      </c>
      <c r="AE63" s="2">
        <v>76987.39999999998</v>
      </c>
      <c r="AF63" s="3"/>
      <c r="AG63" s="51">
        <f t="shared" si="1"/>
        <v>76987.39999999998</v>
      </c>
      <c r="AH63" s="44">
        <v>76987.399999999994</v>
      </c>
    </row>
    <row r="64" spans="1:34" x14ac:dyDescent="0.35">
      <c r="A64" s="33" t="s">
        <v>70</v>
      </c>
      <c r="B64" s="10">
        <v>86231.930000000008</v>
      </c>
      <c r="C64" s="2">
        <v>86245.950000000012</v>
      </c>
      <c r="D64" s="2">
        <v>86253.900000000009</v>
      </c>
      <c r="E64" s="2">
        <v>86268.94</v>
      </c>
      <c r="F64" s="2">
        <v>86273.06</v>
      </c>
      <c r="G64" s="2">
        <v>86273.239999999991</v>
      </c>
      <c r="H64" s="2">
        <v>86273.239999999991</v>
      </c>
      <c r="I64" s="2">
        <v>86273.56</v>
      </c>
      <c r="J64" s="2">
        <v>86276.47</v>
      </c>
      <c r="K64" s="2">
        <v>86294.11</v>
      </c>
      <c r="L64" s="2">
        <v>86312.2</v>
      </c>
      <c r="M64" s="2">
        <v>86322.7</v>
      </c>
      <c r="N64" s="2">
        <v>86330.54</v>
      </c>
      <c r="O64" s="2">
        <v>86347.95</v>
      </c>
      <c r="P64" s="2">
        <v>86357.319999999992</v>
      </c>
      <c r="Q64" s="2">
        <v>86359.76</v>
      </c>
      <c r="R64" s="2">
        <v>86364.93</v>
      </c>
      <c r="S64" s="2">
        <v>86377.62</v>
      </c>
      <c r="T64" s="2">
        <v>86388.42</v>
      </c>
      <c r="U64" s="2">
        <v>86407.59</v>
      </c>
      <c r="V64" s="2">
        <v>86428.489999999991</v>
      </c>
      <c r="W64" s="2">
        <v>86428.489999999991</v>
      </c>
      <c r="X64" s="2">
        <v>86428.489999999991</v>
      </c>
      <c r="Y64" s="2">
        <v>86428.489999999991</v>
      </c>
      <c r="Z64" s="2">
        <v>86428.489999999991</v>
      </c>
      <c r="AA64" s="2">
        <v>86428.489999999991</v>
      </c>
      <c r="AB64" s="2">
        <v>86428.489999999991</v>
      </c>
      <c r="AC64" s="2">
        <v>86428.489999999991</v>
      </c>
      <c r="AD64" s="2">
        <v>86428.489999999991</v>
      </c>
      <c r="AE64" s="2">
        <v>86428.489999999991</v>
      </c>
      <c r="AF64" s="3"/>
      <c r="AG64" s="51">
        <f t="shared" si="1"/>
        <v>86428.489999999991</v>
      </c>
      <c r="AH64" s="44">
        <v>86210.06</v>
      </c>
    </row>
    <row r="65" spans="1:34" x14ac:dyDescent="0.35">
      <c r="A65" s="33" t="s">
        <v>71</v>
      </c>
      <c r="B65" s="10">
        <v>82785.06000000007</v>
      </c>
      <c r="C65" s="2">
        <v>82803.180000000066</v>
      </c>
      <c r="D65" s="2">
        <v>82806.800000000061</v>
      </c>
      <c r="E65" s="2">
        <v>82822.300000000061</v>
      </c>
      <c r="F65" s="2">
        <v>82839.780000000057</v>
      </c>
      <c r="G65" s="2">
        <v>82856.640000000058</v>
      </c>
      <c r="H65" s="2">
        <v>82878.400000000052</v>
      </c>
      <c r="I65" s="2">
        <v>82899.660000000047</v>
      </c>
      <c r="J65" s="2">
        <v>82906.150000000052</v>
      </c>
      <c r="K65" s="2">
        <v>82919.480000000054</v>
      </c>
      <c r="L65" s="2">
        <v>82939.980000000054</v>
      </c>
      <c r="M65" s="2">
        <v>82960.020000000048</v>
      </c>
      <c r="N65" s="2">
        <v>82981.470000000045</v>
      </c>
      <c r="O65" s="2">
        <v>83002.48000000004</v>
      </c>
      <c r="P65" s="2">
        <v>83023.910000000033</v>
      </c>
      <c r="Q65" s="2">
        <v>83044.47000000003</v>
      </c>
      <c r="R65" s="2">
        <v>83065.980000000025</v>
      </c>
      <c r="S65" s="2">
        <v>83087.390000000029</v>
      </c>
      <c r="T65" s="2">
        <v>83099.410000000033</v>
      </c>
      <c r="U65" s="2">
        <v>83112.770000000033</v>
      </c>
      <c r="V65" s="2">
        <v>83126.210000000036</v>
      </c>
      <c r="W65" s="2">
        <v>83141.600000000035</v>
      </c>
      <c r="X65" s="2">
        <v>83162.820000000036</v>
      </c>
      <c r="Y65" s="2">
        <v>83185.300000000032</v>
      </c>
      <c r="Z65" s="2">
        <v>83206.740000000034</v>
      </c>
      <c r="AA65" s="2">
        <v>83228.010000000038</v>
      </c>
      <c r="AB65" s="2">
        <v>83249.430000000037</v>
      </c>
      <c r="AC65" s="2">
        <v>83271.330000000031</v>
      </c>
      <c r="AD65" s="2">
        <v>83292.340000000026</v>
      </c>
      <c r="AE65" s="2">
        <v>83300.370000000024</v>
      </c>
      <c r="AF65" s="3"/>
      <c r="AG65" s="51">
        <f t="shared" si="1"/>
        <v>83300.370000000024</v>
      </c>
      <c r="AH65" s="44">
        <v>82773.14</v>
      </c>
    </row>
    <row r="66" spans="1:34" x14ac:dyDescent="0.35">
      <c r="A66" s="33" t="s">
        <v>72</v>
      </c>
      <c r="B66" s="10">
        <v>81023.250000000204</v>
      </c>
      <c r="C66" s="2">
        <v>81039.740000000209</v>
      </c>
      <c r="D66" s="2">
        <v>81039.740000000209</v>
      </c>
      <c r="E66" s="2">
        <v>81039.740000000209</v>
      </c>
      <c r="F66" s="2">
        <v>81051.370000000214</v>
      </c>
      <c r="G66" s="2">
        <v>81061.240000000209</v>
      </c>
      <c r="H66" s="2">
        <v>81068.230000000214</v>
      </c>
      <c r="I66" s="2">
        <v>81079.230000000214</v>
      </c>
      <c r="J66" s="2">
        <v>81096.560000000216</v>
      </c>
      <c r="K66" s="2">
        <v>81107.690000000221</v>
      </c>
      <c r="L66" s="2">
        <v>81107.950000000215</v>
      </c>
      <c r="M66" s="2">
        <v>81111.950000000215</v>
      </c>
      <c r="N66" s="2">
        <v>81128.070000000211</v>
      </c>
      <c r="O66" s="2">
        <v>81149.720000000205</v>
      </c>
      <c r="P66" s="2">
        <v>81170.170000000202</v>
      </c>
      <c r="Q66" s="2">
        <v>81185.150000000198</v>
      </c>
      <c r="R66" s="2">
        <v>81205.450000000201</v>
      </c>
      <c r="S66" s="2">
        <v>81222.850000000195</v>
      </c>
      <c r="T66" s="2">
        <v>81239.310000000201</v>
      </c>
      <c r="U66" s="2">
        <v>81256.620000000199</v>
      </c>
      <c r="V66" s="2">
        <v>81270.040000000197</v>
      </c>
      <c r="W66" s="2">
        <v>81285.010000000198</v>
      </c>
      <c r="X66" s="2">
        <v>81290.670000000202</v>
      </c>
      <c r="Y66" s="2">
        <v>81309.620000000199</v>
      </c>
      <c r="Z66" s="2">
        <v>81321.860000000204</v>
      </c>
      <c r="AA66" s="2">
        <v>81342.490000000209</v>
      </c>
      <c r="AB66" s="2">
        <v>81354.190000000206</v>
      </c>
      <c r="AC66" s="2">
        <v>81354.190000000206</v>
      </c>
      <c r="AD66" s="2">
        <v>81354.190000000206</v>
      </c>
      <c r="AE66" s="2">
        <v>81359.950000000201</v>
      </c>
      <c r="AF66" s="3"/>
      <c r="AG66" s="51">
        <f t="shared" si="1"/>
        <v>81359.950000000201</v>
      </c>
      <c r="AH66" s="44">
        <v>81001.94</v>
      </c>
    </row>
    <row r="67" spans="1:34" x14ac:dyDescent="0.35">
      <c r="A67" s="33" t="s">
        <v>73</v>
      </c>
      <c r="B67" s="10">
        <v>83599.899999999936</v>
      </c>
      <c r="C67" s="2">
        <v>83603.019999999931</v>
      </c>
      <c r="D67" s="2">
        <v>83619.109999999928</v>
      </c>
      <c r="E67" s="2">
        <v>83624.679999999935</v>
      </c>
      <c r="F67" s="2">
        <v>83627.68999999993</v>
      </c>
      <c r="G67" s="2">
        <v>83627.68999999993</v>
      </c>
      <c r="H67" s="2">
        <v>83627.68999999993</v>
      </c>
      <c r="I67" s="2">
        <v>83627.68999999993</v>
      </c>
      <c r="J67" s="2">
        <v>83627.68999999993</v>
      </c>
      <c r="K67" s="2">
        <v>83627.68999999993</v>
      </c>
      <c r="L67" s="2">
        <v>83627.68999999993</v>
      </c>
      <c r="M67" s="2">
        <v>83642.419999999925</v>
      </c>
      <c r="N67" s="2">
        <v>83660.779999999926</v>
      </c>
      <c r="O67" s="2">
        <v>83682.229999999923</v>
      </c>
      <c r="P67" s="2">
        <v>83703.749999999927</v>
      </c>
      <c r="Q67" s="2">
        <v>83718.259999999922</v>
      </c>
      <c r="R67" s="2">
        <v>83733.879999999917</v>
      </c>
      <c r="S67" s="2">
        <v>83754.829999999914</v>
      </c>
      <c r="T67" s="2">
        <v>83767.879999999917</v>
      </c>
      <c r="U67" s="2">
        <v>83785.549999999916</v>
      </c>
      <c r="V67" s="2">
        <v>83804.389999999912</v>
      </c>
      <c r="W67" s="2">
        <v>83812.05999999991</v>
      </c>
      <c r="X67" s="2">
        <v>83832.649999999907</v>
      </c>
      <c r="Y67" s="2">
        <v>83838.339999999909</v>
      </c>
      <c r="Z67" s="2">
        <v>83838.339999999909</v>
      </c>
      <c r="AA67" s="2">
        <v>83838.339999999909</v>
      </c>
      <c r="AB67" s="2">
        <v>83838.339999999909</v>
      </c>
      <c r="AC67" s="2">
        <v>83838.339999999909</v>
      </c>
      <c r="AD67" s="2">
        <v>83857.769999999902</v>
      </c>
      <c r="AE67" s="2">
        <v>83873.799999999901</v>
      </c>
      <c r="AF67" s="3"/>
      <c r="AG67" s="51">
        <f t="shared" si="1"/>
        <v>83873.799999999901</v>
      </c>
      <c r="AH67" s="44">
        <v>83598.37</v>
      </c>
    </row>
    <row r="68" spans="1:34" x14ac:dyDescent="0.35">
      <c r="A68" s="33" t="s">
        <v>74</v>
      </c>
      <c r="B68" s="10">
        <v>81127.439999999784</v>
      </c>
      <c r="C68" s="2">
        <v>81127.439999999784</v>
      </c>
      <c r="D68" s="2">
        <v>81136.64999999979</v>
      </c>
      <c r="E68" s="2">
        <v>81155.619999999792</v>
      </c>
      <c r="F68" s="2">
        <v>81176.439999999799</v>
      </c>
      <c r="G68" s="2">
        <v>81191.289999999804</v>
      </c>
      <c r="H68" s="2">
        <v>81198.859999999811</v>
      </c>
      <c r="I68" s="2">
        <v>81218.989999999816</v>
      </c>
      <c r="J68" s="2">
        <v>81229.979999999821</v>
      </c>
      <c r="K68" s="2">
        <v>81250.639999999825</v>
      </c>
      <c r="L68" s="2">
        <v>81272.339999999822</v>
      </c>
      <c r="M68" s="2">
        <v>81294.139999999825</v>
      </c>
      <c r="N68" s="2">
        <v>81312.529999999824</v>
      </c>
      <c r="O68" s="2">
        <v>81329.349999999831</v>
      </c>
      <c r="P68" s="2">
        <v>81344.649999999834</v>
      </c>
      <c r="Q68" s="2">
        <v>81363.909999999829</v>
      </c>
      <c r="R68" s="2">
        <v>81384.149999999834</v>
      </c>
      <c r="S68" s="2">
        <v>81405.549999999828</v>
      </c>
      <c r="T68" s="2">
        <v>81426.789999999834</v>
      </c>
      <c r="U68" s="2">
        <v>81447.799999999828</v>
      </c>
      <c r="V68" s="2">
        <v>81466.62999999983</v>
      </c>
      <c r="W68" s="2">
        <v>81478.849999999831</v>
      </c>
      <c r="X68" s="2">
        <v>81480.179999999833</v>
      </c>
      <c r="Y68" s="2">
        <v>81480.179999999833</v>
      </c>
      <c r="Z68" s="2">
        <v>81480.179999999833</v>
      </c>
      <c r="AA68" s="2">
        <v>81481.689999999828</v>
      </c>
      <c r="AB68" s="2">
        <v>81503.399999999834</v>
      </c>
      <c r="AC68" s="2">
        <v>81524.979999999836</v>
      </c>
      <c r="AD68" s="2">
        <v>81545.939999999842</v>
      </c>
      <c r="AE68" s="2">
        <v>81561.019999999844</v>
      </c>
      <c r="AF68" s="3"/>
      <c r="AG68" s="51">
        <f t="shared" ref="AG68:AG99" si="2">MAX(B68:AF68)</f>
        <v>81561.019999999844</v>
      </c>
      <c r="AH68" s="44">
        <v>81121.11</v>
      </c>
    </row>
    <row r="69" spans="1:34" x14ac:dyDescent="0.35">
      <c r="A69" s="33" t="s">
        <v>75</v>
      </c>
      <c r="B69" s="10">
        <v>84714.010000000111</v>
      </c>
      <c r="C69" s="2">
        <v>84732.270000000106</v>
      </c>
      <c r="D69" s="2">
        <v>84745.340000000113</v>
      </c>
      <c r="E69" s="2">
        <v>84766.890000000116</v>
      </c>
      <c r="F69" s="2">
        <v>84788.310000000114</v>
      </c>
      <c r="G69" s="2">
        <v>84805.050000000119</v>
      </c>
      <c r="H69" s="2">
        <v>84824.870000000126</v>
      </c>
      <c r="I69" s="2">
        <v>84837.320000000123</v>
      </c>
      <c r="J69" s="2">
        <v>84839.150000000125</v>
      </c>
      <c r="K69" s="2">
        <v>84839.150000000125</v>
      </c>
      <c r="L69" s="2">
        <v>84839.430000000124</v>
      </c>
      <c r="M69" s="2">
        <v>84841.180000000124</v>
      </c>
      <c r="N69" s="2">
        <v>84860.480000000127</v>
      </c>
      <c r="O69" s="2">
        <v>84879.610000000132</v>
      </c>
      <c r="P69" s="2">
        <v>84894.680000000139</v>
      </c>
      <c r="Q69" s="2">
        <v>84901.910000000134</v>
      </c>
      <c r="R69" s="2">
        <v>84906.340000000127</v>
      </c>
      <c r="S69" s="2">
        <v>84906.340000000127</v>
      </c>
      <c r="T69" s="2">
        <v>84913.040000000125</v>
      </c>
      <c r="U69" s="2">
        <v>84926.940000000119</v>
      </c>
      <c r="V69" s="2">
        <v>84928.77000000012</v>
      </c>
      <c r="W69" s="2">
        <v>84935.710000000123</v>
      </c>
      <c r="X69" s="2">
        <v>84935.710000000123</v>
      </c>
      <c r="Y69" s="2">
        <v>84940.28000000013</v>
      </c>
      <c r="Z69" s="2">
        <v>84940.28000000013</v>
      </c>
      <c r="AA69" s="2">
        <v>84944.790000000125</v>
      </c>
      <c r="AB69" s="2">
        <v>84960.600000000122</v>
      </c>
      <c r="AC69" s="2">
        <v>84979.150000000125</v>
      </c>
      <c r="AD69" s="2">
        <v>84984.300000000119</v>
      </c>
      <c r="AE69" s="2">
        <v>84986.780000000115</v>
      </c>
      <c r="AF69" s="3"/>
      <c r="AG69" s="51">
        <f t="shared" si="2"/>
        <v>84986.780000000115</v>
      </c>
      <c r="AH69" s="44">
        <v>84691.95</v>
      </c>
    </row>
    <row r="70" spans="1:34" x14ac:dyDescent="0.35">
      <c r="A70" s="33" t="s">
        <v>76</v>
      </c>
      <c r="B70" s="10">
        <v>83047.130000000034</v>
      </c>
      <c r="C70" s="2">
        <v>83049.950000000041</v>
      </c>
      <c r="D70" s="2">
        <v>83060.440000000046</v>
      </c>
      <c r="E70" s="2">
        <v>83075.690000000046</v>
      </c>
      <c r="F70" s="2">
        <v>83096.940000000046</v>
      </c>
      <c r="G70" s="2">
        <v>83118.280000000042</v>
      </c>
      <c r="H70" s="2">
        <v>83139.160000000047</v>
      </c>
      <c r="I70" s="2">
        <v>83159.820000000051</v>
      </c>
      <c r="J70" s="2">
        <v>83181.590000000055</v>
      </c>
      <c r="K70" s="2">
        <v>83203.750000000058</v>
      </c>
      <c r="L70" s="2">
        <v>83224.690000000061</v>
      </c>
      <c r="M70" s="2">
        <v>83245.470000000059</v>
      </c>
      <c r="N70" s="2">
        <v>83266.800000000061</v>
      </c>
      <c r="O70" s="2">
        <v>83286.070000000065</v>
      </c>
      <c r="P70" s="2">
        <v>83306.030000000072</v>
      </c>
      <c r="Q70" s="2">
        <v>83327.470000000074</v>
      </c>
      <c r="R70" s="2">
        <v>83347.18000000008</v>
      </c>
      <c r="S70" s="2">
        <v>83365.68000000008</v>
      </c>
      <c r="T70" s="2">
        <v>83383.540000000081</v>
      </c>
      <c r="U70" s="2">
        <v>83404.810000000085</v>
      </c>
      <c r="V70" s="2">
        <v>83426.250000000087</v>
      </c>
      <c r="W70" s="2">
        <v>83443.470000000088</v>
      </c>
      <c r="X70" s="2">
        <v>83463.30000000009</v>
      </c>
      <c r="Y70" s="2">
        <v>83485.370000000097</v>
      </c>
      <c r="Z70" s="2">
        <v>83499.100000000093</v>
      </c>
      <c r="AA70" s="2">
        <v>83509.390000000087</v>
      </c>
      <c r="AB70" s="2">
        <v>83521.990000000093</v>
      </c>
      <c r="AC70" s="2">
        <v>83537.960000000094</v>
      </c>
      <c r="AD70" s="2">
        <v>83559.270000000091</v>
      </c>
      <c r="AE70" s="2">
        <v>83580.780000000086</v>
      </c>
      <c r="AF70" s="3"/>
      <c r="AG70" s="51">
        <f t="shared" si="2"/>
        <v>83580.780000000086</v>
      </c>
      <c r="AH70" s="44">
        <v>83037.11</v>
      </c>
    </row>
    <row r="71" spans="1:34" x14ac:dyDescent="0.35">
      <c r="A71" s="33" t="s">
        <v>77</v>
      </c>
      <c r="B71" s="10">
        <v>73102.650000000125</v>
      </c>
      <c r="C71" s="2">
        <v>73123.170000000129</v>
      </c>
      <c r="D71" s="2">
        <v>73138.920000000129</v>
      </c>
      <c r="E71" s="2">
        <v>73154.220000000132</v>
      </c>
      <c r="F71" s="2">
        <v>73175.540000000139</v>
      </c>
      <c r="G71" s="2">
        <v>73194.470000000132</v>
      </c>
      <c r="H71" s="2">
        <v>73213.910000000134</v>
      </c>
      <c r="I71" s="2">
        <v>73234.750000000131</v>
      </c>
      <c r="J71" s="2">
        <v>73254.64000000013</v>
      </c>
      <c r="K71" s="2">
        <v>73274.930000000124</v>
      </c>
      <c r="L71" s="2">
        <v>73296.360000000117</v>
      </c>
      <c r="M71" s="2">
        <v>73311.050000000119</v>
      </c>
      <c r="N71" s="2">
        <v>73332.950000000114</v>
      </c>
      <c r="O71" s="2">
        <v>73353.920000000115</v>
      </c>
      <c r="P71" s="2">
        <v>73374.850000000108</v>
      </c>
      <c r="Q71" s="2">
        <v>73384.320000000109</v>
      </c>
      <c r="R71" s="2">
        <v>73394.590000000113</v>
      </c>
      <c r="S71" s="2">
        <v>73411.580000000118</v>
      </c>
      <c r="T71" s="2">
        <v>73412.16000000012</v>
      </c>
      <c r="U71" s="2">
        <v>73433.590000000113</v>
      </c>
      <c r="V71" s="2">
        <v>73449.740000000107</v>
      </c>
      <c r="W71" s="2">
        <v>73458.850000000108</v>
      </c>
      <c r="X71" s="2">
        <v>73482.150000000111</v>
      </c>
      <c r="Y71" s="2">
        <v>73503.660000000105</v>
      </c>
      <c r="Z71" s="2">
        <v>73524.070000000109</v>
      </c>
      <c r="AA71" s="2">
        <v>73535.940000000104</v>
      </c>
      <c r="AB71" s="2">
        <v>73557.120000000097</v>
      </c>
      <c r="AC71" s="2">
        <v>73579.250000000102</v>
      </c>
      <c r="AD71" s="2">
        <v>73583.620000000097</v>
      </c>
      <c r="AE71" s="2">
        <v>73584.790000000095</v>
      </c>
      <c r="AF71" s="3"/>
      <c r="AG71" s="51">
        <f t="shared" si="2"/>
        <v>73584.790000000095</v>
      </c>
      <c r="AH71" s="44">
        <v>73083.05</v>
      </c>
    </row>
    <row r="72" spans="1:34" x14ac:dyDescent="0.35">
      <c r="A72" s="33" t="s">
        <v>78</v>
      </c>
      <c r="B72" s="10">
        <v>76313.409999999902</v>
      </c>
      <c r="C72" s="2">
        <v>76331.809999999896</v>
      </c>
      <c r="D72" s="2">
        <v>76347.489999999889</v>
      </c>
      <c r="E72" s="2">
        <v>76360.299999999886</v>
      </c>
      <c r="F72" s="2">
        <v>76377.72999999988</v>
      </c>
      <c r="G72" s="2">
        <v>76397.109999999884</v>
      </c>
      <c r="H72" s="2">
        <v>76412.909999999887</v>
      </c>
      <c r="I72" s="2">
        <v>76412.909999999887</v>
      </c>
      <c r="J72" s="2">
        <v>76432.069999999891</v>
      </c>
      <c r="K72" s="2">
        <v>76454.089999999895</v>
      </c>
      <c r="L72" s="2">
        <v>76475.489999999889</v>
      </c>
      <c r="M72" s="2">
        <v>76496.20999999989</v>
      </c>
      <c r="N72" s="2">
        <v>76517.489999999889</v>
      </c>
      <c r="O72" s="2">
        <v>76535.299999999886</v>
      </c>
      <c r="P72" s="2">
        <v>76549.019999999888</v>
      </c>
      <c r="Q72" s="2">
        <v>76565.629999999888</v>
      </c>
      <c r="R72" s="2">
        <v>76586.099999999889</v>
      </c>
      <c r="S72" s="2">
        <v>76589.679999999891</v>
      </c>
      <c r="T72" s="2">
        <v>76609.559999999896</v>
      </c>
      <c r="U72" s="2">
        <v>76625.359999999899</v>
      </c>
      <c r="V72" s="2">
        <v>76647.109999999899</v>
      </c>
      <c r="W72" s="2">
        <v>76667.539999999892</v>
      </c>
      <c r="X72" s="2">
        <v>76683.399999999892</v>
      </c>
      <c r="Y72" s="2">
        <v>76683.399999999892</v>
      </c>
      <c r="Z72" s="2">
        <v>76683.399999999892</v>
      </c>
      <c r="AA72" s="2">
        <v>76683.399999999892</v>
      </c>
      <c r="AB72" s="2">
        <v>76683.399999999892</v>
      </c>
      <c r="AC72" s="2">
        <v>76683.399999999892</v>
      </c>
      <c r="AD72" s="2">
        <v>76683.399999999892</v>
      </c>
      <c r="AE72" s="2">
        <v>76683.399999999892</v>
      </c>
      <c r="AF72" s="3"/>
      <c r="AG72" s="51">
        <f t="shared" si="2"/>
        <v>76683.399999999892</v>
      </c>
      <c r="AH72" s="44">
        <v>76294.53</v>
      </c>
    </row>
    <row r="73" spans="1:34" x14ac:dyDescent="0.35">
      <c r="A73" s="33" t="s">
        <v>79</v>
      </c>
      <c r="B73" s="10">
        <v>78786.59999999986</v>
      </c>
      <c r="C73" s="2">
        <v>78803.339999999866</v>
      </c>
      <c r="D73" s="2">
        <v>78810.059999999867</v>
      </c>
      <c r="E73" s="2">
        <v>78810.059999999867</v>
      </c>
      <c r="F73" s="2">
        <v>78810.059999999867</v>
      </c>
      <c r="G73" s="2">
        <v>78810.059999999867</v>
      </c>
      <c r="H73" s="2">
        <v>78810.059999999867</v>
      </c>
      <c r="I73" s="2">
        <v>78810.059999999867</v>
      </c>
      <c r="J73" s="2">
        <v>78811.659999999873</v>
      </c>
      <c r="K73" s="2">
        <v>78822.789999999877</v>
      </c>
      <c r="L73" s="2">
        <v>78836.349999999875</v>
      </c>
      <c r="M73" s="2">
        <v>78839.449999999881</v>
      </c>
      <c r="N73" s="2">
        <v>78853.789999999877</v>
      </c>
      <c r="O73" s="2">
        <v>78865.819999999876</v>
      </c>
      <c r="P73" s="2">
        <v>78865.819999999876</v>
      </c>
      <c r="Q73" s="2">
        <v>78865.819999999876</v>
      </c>
      <c r="R73" s="2">
        <v>78865.819999999876</v>
      </c>
      <c r="S73" s="2">
        <v>78865.819999999876</v>
      </c>
      <c r="T73" s="2">
        <v>78865.819999999876</v>
      </c>
      <c r="U73" s="2">
        <v>78865.819999999876</v>
      </c>
      <c r="V73" s="2">
        <v>78865.819999999876</v>
      </c>
      <c r="W73" s="2">
        <v>78865.819999999876</v>
      </c>
      <c r="X73" s="2">
        <v>78865.819999999876</v>
      </c>
      <c r="Y73" s="2">
        <v>78865.819999999876</v>
      </c>
      <c r="Z73" s="2">
        <v>78865.819999999876</v>
      </c>
      <c r="AA73" s="2">
        <v>78865.819999999876</v>
      </c>
      <c r="AB73" s="2">
        <v>78865.819999999876</v>
      </c>
      <c r="AC73" s="2">
        <v>78865.819999999876</v>
      </c>
      <c r="AD73" s="2">
        <v>78865.819999999876</v>
      </c>
      <c r="AE73" s="2">
        <v>78865.819999999876</v>
      </c>
      <c r="AF73" s="3"/>
      <c r="AG73" s="51">
        <f t="shared" si="2"/>
        <v>78865.819999999876</v>
      </c>
      <c r="AH73" s="44">
        <v>78766.41</v>
      </c>
    </row>
    <row r="74" spans="1:34" x14ac:dyDescent="0.35">
      <c r="A74" s="33" t="s">
        <v>80</v>
      </c>
      <c r="B74" s="10">
        <v>83560.209999999992</v>
      </c>
      <c r="C74" s="2">
        <v>83560.209999999992</v>
      </c>
      <c r="D74" s="2">
        <v>83569.249999999985</v>
      </c>
      <c r="E74" s="2">
        <v>83587.109999999986</v>
      </c>
      <c r="F74" s="2">
        <v>83598.869999999981</v>
      </c>
      <c r="G74" s="2">
        <v>83600.359999999986</v>
      </c>
      <c r="H74" s="2">
        <v>83600.359999999986</v>
      </c>
      <c r="I74" s="2">
        <v>83600.359999999986</v>
      </c>
      <c r="J74" s="2">
        <v>83600.359999999986</v>
      </c>
      <c r="K74" s="2">
        <v>83602.559999999983</v>
      </c>
      <c r="L74" s="2">
        <v>83621.219999999987</v>
      </c>
      <c r="M74" s="2">
        <v>83637.739999999991</v>
      </c>
      <c r="N74" s="2">
        <v>83659.409999999989</v>
      </c>
      <c r="O74" s="2">
        <v>83677.279999999984</v>
      </c>
      <c r="P74" s="2">
        <v>83677.279999999984</v>
      </c>
      <c r="Q74" s="2">
        <v>83677.279999999984</v>
      </c>
      <c r="R74" s="2">
        <v>83677.279999999984</v>
      </c>
      <c r="S74" s="2">
        <v>83677.279999999984</v>
      </c>
      <c r="T74" s="2">
        <v>83684.349999999991</v>
      </c>
      <c r="U74" s="2">
        <v>83705.48</v>
      </c>
      <c r="V74" s="2">
        <v>83720.28</v>
      </c>
      <c r="W74" s="2">
        <v>83730.2</v>
      </c>
      <c r="X74" s="2">
        <v>83751.92</v>
      </c>
      <c r="Y74" s="2">
        <v>83772.25</v>
      </c>
      <c r="Z74" s="2">
        <v>83783.39</v>
      </c>
      <c r="AA74" s="2">
        <v>83805.569999999992</v>
      </c>
      <c r="AB74" s="2">
        <v>83828.28</v>
      </c>
      <c r="AC74" s="2">
        <v>83850.100000000006</v>
      </c>
      <c r="AD74" s="2">
        <v>83870.680000000008</v>
      </c>
      <c r="AE74" s="2">
        <v>83892.88</v>
      </c>
      <c r="AF74" s="3"/>
      <c r="AG74" s="51">
        <f t="shared" si="2"/>
        <v>83892.88</v>
      </c>
      <c r="AH74" s="44">
        <v>83560.210000000006</v>
      </c>
    </row>
    <row r="75" spans="1:34" x14ac:dyDescent="0.35">
      <c r="A75" s="33" t="s">
        <v>81</v>
      </c>
      <c r="B75" s="10">
        <v>82637.599999999889</v>
      </c>
      <c r="C75" s="2">
        <v>82645.519999999888</v>
      </c>
      <c r="D75" s="2">
        <v>82666.139999999883</v>
      </c>
      <c r="E75" s="2">
        <v>82687.819999999876</v>
      </c>
      <c r="F75" s="2">
        <v>82706.459999999875</v>
      </c>
      <c r="G75" s="2">
        <v>82706.459999999875</v>
      </c>
      <c r="H75" s="2">
        <v>82706.459999999875</v>
      </c>
      <c r="I75" s="2">
        <v>82715.369999999879</v>
      </c>
      <c r="J75" s="2">
        <v>82726.129999999874</v>
      </c>
      <c r="K75" s="2">
        <v>82726.129999999874</v>
      </c>
      <c r="L75" s="2">
        <v>82726.409999999873</v>
      </c>
      <c r="M75" s="2">
        <v>82743.259999999878</v>
      </c>
      <c r="N75" s="2">
        <v>82758.269999999873</v>
      </c>
      <c r="O75" s="2">
        <v>82775.919999999867</v>
      </c>
      <c r="P75" s="2">
        <v>82781.34999999986</v>
      </c>
      <c r="Q75" s="2">
        <v>82800.969999999856</v>
      </c>
      <c r="R75" s="2">
        <v>82808.649999999849</v>
      </c>
      <c r="S75" s="2">
        <v>82812.039999999848</v>
      </c>
      <c r="T75" s="2">
        <v>82823.889999999854</v>
      </c>
      <c r="U75" s="2">
        <v>82832.019999999859</v>
      </c>
      <c r="V75" s="2">
        <v>82849.029999999853</v>
      </c>
      <c r="W75" s="2">
        <v>82867.909999999858</v>
      </c>
      <c r="X75" s="2">
        <v>82885.749999999854</v>
      </c>
      <c r="Y75" s="2">
        <v>82887.129999999859</v>
      </c>
      <c r="Z75" s="2">
        <v>82887.129999999859</v>
      </c>
      <c r="AA75" s="2">
        <v>82887.129999999859</v>
      </c>
      <c r="AB75" s="2">
        <v>82888.009999999864</v>
      </c>
      <c r="AC75" s="2">
        <v>82908.48999999986</v>
      </c>
      <c r="AD75" s="2">
        <v>82926.509999999864</v>
      </c>
      <c r="AE75" s="2">
        <v>82935.409999999858</v>
      </c>
      <c r="AF75" s="3"/>
      <c r="AG75" s="51">
        <f t="shared" si="2"/>
        <v>82935.409999999858</v>
      </c>
      <c r="AH75" s="44">
        <v>82620.429999999993</v>
      </c>
    </row>
    <row r="76" spans="1:34" x14ac:dyDescent="0.35">
      <c r="A76" s="33" t="s">
        <v>82</v>
      </c>
      <c r="B76" s="10">
        <v>82551.060000000216</v>
      </c>
      <c r="C76" s="2">
        <v>82572.60000000021</v>
      </c>
      <c r="D76" s="2">
        <v>82593.800000000207</v>
      </c>
      <c r="E76" s="2">
        <v>82615.150000000212</v>
      </c>
      <c r="F76" s="2">
        <v>82627.050000000207</v>
      </c>
      <c r="G76" s="2">
        <v>82646.550000000207</v>
      </c>
      <c r="H76" s="2">
        <v>82668.020000000208</v>
      </c>
      <c r="I76" s="2">
        <v>82688.60000000021</v>
      </c>
      <c r="J76" s="2">
        <v>82691.530000000203</v>
      </c>
      <c r="K76" s="2">
        <v>82708.870000000199</v>
      </c>
      <c r="L76" s="2">
        <v>82727.9800000002</v>
      </c>
      <c r="M76" s="2">
        <v>82740.710000000196</v>
      </c>
      <c r="N76" s="2">
        <v>82740.710000000196</v>
      </c>
      <c r="O76" s="2">
        <v>82752.97000000019</v>
      </c>
      <c r="P76" s="2">
        <v>82774.520000000193</v>
      </c>
      <c r="Q76" s="2">
        <v>82794.440000000192</v>
      </c>
      <c r="R76" s="2">
        <v>82815.310000000187</v>
      </c>
      <c r="S76" s="2">
        <v>82835.010000000184</v>
      </c>
      <c r="T76" s="2">
        <v>82848.170000000187</v>
      </c>
      <c r="U76" s="2">
        <v>82862.10000000018</v>
      </c>
      <c r="V76" s="2">
        <v>82876.220000000176</v>
      </c>
      <c r="W76" s="2">
        <v>82897.050000000178</v>
      </c>
      <c r="X76" s="2">
        <v>82912.880000000179</v>
      </c>
      <c r="Y76" s="2">
        <v>82926.790000000183</v>
      </c>
      <c r="Z76" s="2">
        <v>82948.340000000186</v>
      </c>
      <c r="AA76" s="2">
        <v>82968.820000000182</v>
      </c>
      <c r="AB76" s="2">
        <v>82987.750000000175</v>
      </c>
      <c r="AC76" s="2">
        <v>83004.270000000179</v>
      </c>
      <c r="AD76" s="2">
        <v>83020.820000000182</v>
      </c>
      <c r="AE76" s="2">
        <v>83034.49000000018</v>
      </c>
      <c r="AF76" s="3"/>
      <c r="AG76" s="51">
        <f t="shared" si="2"/>
        <v>83034.49000000018</v>
      </c>
      <c r="AH76" s="44">
        <v>82529.289999999994</v>
      </c>
    </row>
    <row r="77" spans="1:34" x14ac:dyDescent="0.35">
      <c r="A77" s="33" t="s">
        <v>83</v>
      </c>
      <c r="B77" s="10">
        <v>82309.67</v>
      </c>
      <c r="C77" s="2">
        <v>82319.97</v>
      </c>
      <c r="D77" s="2">
        <v>82341.119999999995</v>
      </c>
      <c r="E77" s="2">
        <v>82352.039999999994</v>
      </c>
      <c r="F77" s="2">
        <v>82373.919999999998</v>
      </c>
      <c r="G77" s="2">
        <v>82395.849999999991</v>
      </c>
      <c r="H77" s="2">
        <v>82417.459999999992</v>
      </c>
      <c r="I77" s="2">
        <v>82434.939999999988</v>
      </c>
      <c r="J77" s="2">
        <v>82448.239999999991</v>
      </c>
      <c r="K77" s="2">
        <v>82462.039999999994</v>
      </c>
      <c r="L77" s="2">
        <v>82478.799999999988</v>
      </c>
      <c r="M77" s="2">
        <v>82501.329999999987</v>
      </c>
      <c r="N77" s="2">
        <v>82519.479999999981</v>
      </c>
      <c r="O77" s="2">
        <v>82538.629999999976</v>
      </c>
      <c r="P77" s="2">
        <v>82538.629999999976</v>
      </c>
      <c r="Q77" s="2">
        <v>82559.179999999978</v>
      </c>
      <c r="R77" s="2">
        <v>82577.419999999984</v>
      </c>
      <c r="S77" s="2">
        <v>82594.969999999987</v>
      </c>
      <c r="T77" s="2">
        <v>82615.869999999981</v>
      </c>
      <c r="U77" s="2">
        <v>82637.679999999978</v>
      </c>
      <c r="V77" s="2">
        <v>82659.829999999973</v>
      </c>
      <c r="W77" s="2">
        <v>82682.169999999969</v>
      </c>
      <c r="X77" s="2">
        <v>82703.319999999963</v>
      </c>
      <c r="Y77" s="2">
        <v>82725.089999999967</v>
      </c>
      <c r="Z77" s="2">
        <v>82746.589999999967</v>
      </c>
      <c r="AA77" s="2">
        <v>82764.01999999996</v>
      </c>
      <c r="AB77" s="2">
        <v>82785.619999999966</v>
      </c>
      <c r="AC77" s="2">
        <v>82788.739999999962</v>
      </c>
      <c r="AD77" s="2">
        <v>82788.739999999962</v>
      </c>
      <c r="AE77" s="2">
        <v>82788.739999999962</v>
      </c>
      <c r="AF77" s="3"/>
      <c r="AG77" s="51">
        <f t="shared" si="2"/>
        <v>82788.739999999962</v>
      </c>
      <c r="AH77" s="44">
        <v>82296.649999999994</v>
      </c>
    </row>
    <row r="78" spans="1:34" x14ac:dyDescent="0.35">
      <c r="A78" s="33" t="s">
        <v>84</v>
      </c>
      <c r="B78" s="10">
        <v>84453.729999999952</v>
      </c>
      <c r="C78" s="2">
        <v>84474.53999999995</v>
      </c>
      <c r="D78" s="2">
        <v>84496.03999999995</v>
      </c>
      <c r="E78" s="2">
        <v>84500.779999999955</v>
      </c>
      <c r="F78" s="2">
        <v>84501.599999999962</v>
      </c>
      <c r="G78" s="2">
        <v>84521.349999999962</v>
      </c>
      <c r="H78" s="2">
        <v>84542.169999999969</v>
      </c>
      <c r="I78" s="2">
        <v>84562.839999999967</v>
      </c>
      <c r="J78" s="2">
        <v>84579.159999999974</v>
      </c>
      <c r="K78" s="2">
        <v>84587.589999999967</v>
      </c>
      <c r="L78" s="2">
        <v>84587.589999999967</v>
      </c>
      <c r="M78" s="2">
        <v>84587.589999999967</v>
      </c>
      <c r="N78" s="2">
        <v>84601.599999999962</v>
      </c>
      <c r="O78" s="2">
        <v>84623.149999999965</v>
      </c>
      <c r="P78" s="2">
        <v>84643.399999999965</v>
      </c>
      <c r="Q78" s="2">
        <v>84662.119999999966</v>
      </c>
      <c r="R78" s="2">
        <v>84681.209999999963</v>
      </c>
      <c r="S78" s="2">
        <v>84702.859999999957</v>
      </c>
      <c r="T78" s="2">
        <v>84724.149999999951</v>
      </c>
      <c r="U78" s="2">
        <v>84745.409999999945</v>
      </c>
      <c r="V78" s="2">
        <v>84766.849999999948</v>
      </c>
      <c r="W78" s="2">
        <v>84787.119999999952</v>
      </c>
      <c r="X78" s="2">
        <v>84787.619999999952</v>
      </c>
      <c r="Y78" s="2">
        <v>84804.419999999955</v>
      </c>
      <c r="Z78" s="2">
        <v>84826.029999999955</v>
      </c>
      <c r="AA78" s="2">
        <v>84848.649999999951</v>
      </c>
      <c r="AB78" s="2">
        <v>84869.719999999958</v>
      </c>
      <c r="AC78" s="2">
        <v>84891.129999999961</v>
      </c>
      <c r="AD78" s="2">
        <v>84906.76999999996</v>
      </c>
      <c r="AE78" s="2">
        <v>84928.229999999967</v>
      </c>
      <c r="AF78" s="3"/>
      <c r="AG78" s="51">
        <f t="shared" si="2"/>
        <v>84928.229999999967</v>
      </c>
      <c r="AH78" s="44">
        <v>84431.4</v>
      </c>
    </row>
    <row r="79" spans="1:34" x14ac:dyDescent="0.35">
      <c r="A79" s="33" t="s">
        <v>85</v>
      </c>
      <c r="B79" s="10">
        <v>84617.849999999875</v>
      </c>
      <c r="C79" s="2">
        <v>84639.379999999874</v>
      </c>
      <c r="D79" s="2">
        <v>84656.539999999877</v>
      </c>
      <c r="E79" s="2">
        <v>84669.539999999877</v>
      </c>
      <c r="F79" s="2">
        <v>84691.079999999871</v>
      </c>
      <c r="G79" s="2">
        <v>84712.349999999875</v>
      </c>
      <c r="H79" s="2">
        <v>84732.679999999877</v>
      </c>
      <c r="I79" s="2">
        <v>84750.349999999875</v>
      </c>
      <c r="J79" s="2">
        <v>84771.929999999877</v>
      </c>
      <c r="K79" s="2">
        <v>84793.079999999871</v>
      </c>
      <c r="L79" s="2">
        <v>84804.319999999876</v>
      </c>
      <c r="M79" s="2">
        <v>84825.449999999881</v>
      </c>
      <c r="N79" s="2">
        <v>84838.239999999874</v>
      </c>
      <c r="O79" s="2">
        <v>84859.85999999987</v>
      </c>
      <c r="P79" s="2">
        <v>84881.649999999863</v>
      </c>
      <c r="Q79" s="2">
        <v>84902.949999999866</v>
      </c>
      <c r="R79" s="2">
        <v>84911.98999999986</v>
      </c>
      <c r="S79" s="2">
        <v>84914.929999999862</v>
      </c>
      <c r="T79" s="2">
        <v>84914.929999999862</v>
      </c>
      <c r="U79" s="2">
        <v>84932.449999999866</v>
      </c>
      <c r="V79" s="2">
        <v>84948.229999999865</v>
      </c>
      <c r="W79" s="2">
        <v>84968.46999999987</v>
      </c>
      <c r="X79" s="2">
        <v>84990.589999999866</v>
      </c>
      <c r="Y79" s="2">
        <v>85012.60999999987</v>
      </c>
      <c r="Z79" s="2">
        <v>85029.209999999875</v>
      </c>
      <c r="AA79" s="2">
        <v>85043.539999999877</v>
      </c>
      <c r="AB79" s="2">
        <v>85065.059999999881</v>
      </c>
      <c r="AC79" s="2">
        <v>85086.409999999887</v>
      </c>
      <c r="AD79" s="2">
        <v>85108.08999999988</v>
      </c>
      <c r="AE79" s="2">
        <v>85122.259999999878</v>
      </c>
      <c r="AF79" s="3"/>
      <c r="AG79" s="51">
        <f t="shared" si="2"/>
        <v>85122.259999999878</v>
      </c>
      <c r="AH79" s="44">
        <v>84597.58</v>
      </c>
    </row>
    <row r="80" spans="1:34" x14ac:dyDescent="0.35">
      <c r="A80" s="33" t="s">
        <v>86</v>
      </c>
      <c r="B80" s="10">
        <v>82922.779999999839</v>
      </c>
      <c r="C80" s="2">
        <v>82922.779999999839</v>
      </c>
      <c r="D80" s="2">
        <v>82922.779999999839</v>
      </c>
      <c r="E80" s="2">
        <v>82938.119999999835</v>
      </c>
      <c r="F80" s="2">
        <v>82959.539999999834</v>
      </c>
      <c r="G80" s="2">
        <v>82980.779999999839</v>
      </c>
      <c r="H80" s="2">
        <v>82996.939999999842</v>
      </c>
      <c r="I80" s="2">
        <v>83017.179999999847</v>
      </c>
      <c r="J80" s="2">
        <v>83038.309999999852</v>
      </c>
      <c r="K80" s="2">
        <v>83059.929999999847</v>
      </c>
      <c r="L80" s="2">
        <v>83066.679999999847</v>
      </c>
      <c r="M80" s="2">
        <v>83087.379999999845</v>
      </c>
      <c r="N80" s="2">
        <v>83108.61999999985</v>
      </c>
      <c r="O80" s="2">
        <v>83129.919999999853</v>
      </c>
      <c r="P80" s="2">
        <v>83150.799999999857</v>
      </c>
      <c r="Q80" s="2">
        <v>83171.549999999857</v>
      </c>
      <c r="R80" s="2">
        <v>83190.529999999853</v>
      </c>
      <c r="S80" s="2">
        <v>83209.48999999986</v>
      </c>
      <c r="T80" s="2">
        <v>83230.479999999865</v>
      </c>
      <c r="U80" s="2">
        <v>83251.73999999986</v>
      </c>
      <c r="V80" s="2">
        <v>83272.979999999865</v>
      </c>
      <c r="W80" s="2">
        <v>83293.309999999867</v>
      </c>
      <c r="X80" s="2">
        <v>83314.229999999865</v>
      </c>
      <c r="Y80" s="2">
        <v>83325.329999999871</v>
      </c>
      <c r="Z80" s="2">
        <v>83347.029999999868</v>
      </c>
      <c r="AA80" s="2">
        <v>83369.539999999863</v>
      </c>
      <c r="AB80" s="2">
        <v>83391.09999999986</v>
      </c>
      <c r="AC80" s="2">
        <v>83409.73999999986</v>
      </c>
      <c r="AD80" s="2">
        <v>83425.899999999863</v>
      </c>
      <c r="AE80" s="2">
        <v>83447.089999999866</v>
      </c>
      <c r="AF80" s="3"/>
      <c r="AG80" s="51">
        <f t="shared" si="2"/>
        <v>83447.089999999866</v>
      </c>
      <c r="AH80" s="44">
        <v>82922.78</v>
      </c>
    </row>
    <row r="81" spans="1:34" x14ac:dyDescent="0.35">
      <c r="A81" s="33" t="s">
        <v>87</v>
      </c>
      <c r="B81" s="10">
        <v>82831.320000000138</v>
      </c>
      <c r="C81" s="2">
        <v>82849.290000000139</v>
      </c>
      <c r="D81" s="2">
        <v>82870.430000000139</v>
      </c>
      <c r="E81" s="2">
        <v>82871.940000000133</v>
      </c>
      <c r="F81" s="2">
        <v>82871.940000000133</v>
      </c>
      <c r="G81" s="2">
        <v>82871.940000000133</v>
      </c>
      <c r="H81" s="2">
        <v>82871.940000000133</v>
      </c>
      <c r="I81" s="2">
        <v>82871.940000000133</v>
      </c>
      <c r="J81" s="2">
        <v>82871.940000000133</v>
      </c>
      <c r="K81" s="2">
        <v>82871.940000000133</v>
      </c>
      <c r="L81" s="2">
        <v>82871.940000000133</v>
      </c>
      <c r="M81" s="2">
        <v>82871.940000000133</v>
      </c>
      <c r="N81" s="2">
        <v>82871.940000000133</v>
      </c>
      <c r="O81" s="2">
        <v>82871.940000000133</v>
      </c>
      <c r="P81" s="2">
        <v>82871.940000000133</v>
      </c>
      <c r="Q81" s="2">
        <v>82871.940000000133</v>
      </c>
      <c r="R81" s="2">
        <v>82871.940000000133</v>
      </c>
      <c r="S81" s="2">
        <v>82871.940000000133</v>
      </c>
      <c r="T81" s="2">
        <v>82874.830000000133</v>
      </c>
      <c r="U81" s="2">
        <v>82890.840000000127</v>
      </c>
      <c r="V81" s="2">
        <v>82911.77000000012</v>
      </c>
      <c r="W81" s="2">
        <v>82932.66000000012</v>
      </c>
      <c r="X81" s="2">
        <v>82949.180000000124</v>
      </c>
      <c r="Y81" s="2">
        <v>82960.64000000013</v>
      </c>
      <c r="Z81" s="2">
        <v>82961.200000000128</v>
      </c>
      <c r="AA81" s="2">
        <v>82970.89000000013</v>
      </c>
      <c r="AB81" s="2">
        <v>82990.910000000134</v>
      </c>
      <c r="AC81" s="2">
        <v>83012.490000000136</v>
      </c>
      <c r="AD81" s="2">
        <v>83025.730000000141</v>
      </c>
      <c r="AE81" s="2">
        <v>83037.570000000138</v>
      </c>
      <c r="AF81" s="3"/>
      <c r="AG81" s="51">
        <f t="shared" si="2"/>
        <v>83037.570000000138</v>
      </c>
      <c r="AH81" s="44">
        <v>82813.86</v>
      </c>
    </row>
    <row r="82" spans="1:34" x14ac:dyDescent="0.35">
      <c r="A82" s="33" t="s">
        <v>88</v>
      </c>
      <c r="B82" s="10">
        <v>82955.929999999935</v>
      </c>
      <c r="C82" s="2">
        <v>82961.839999999938</v>
      </c>
      <c r="D82" s="2">
        <v>82971.089999999938</v>
      </c>
      <c r="E82" s="2">
        <v>82978.239999999932</v>
      </c>
      <c r="F82" s="2">
        <v>82978.239999999932</v>
      </c>
      <c r="G82" s="2">
        <v>82987.43999999993</v>
      </c>
      <c r="H82" s="2">
        <v>82991.399999999936</v>
      </c>
      <c r="I82" s="2">
        <v>83000.629999999932</v>
      </c>
      <c r="J82" s="2">
        <v>83021.989999999932</v>
      </c>
      <c r="K82" s="2">
        <v>83040.639999999927</v>
      </c>
      <c r="L82" s="2">
        <v>83055.559999999925</v>
      </c>
      <c r="M82" s="2">
        <v>83055.559999999925</v>
      </c>
      <c r="N82" s="2">
        <v>83063.619999999923</v>
      </c>
      <c r="O82" s="2">
        <v>83063.619999999923</v>
      </c>
      <c r="P82" s="2">
        <v>83063.619999999923</v>
      </c>
      <c r="Q82" s="2">
        <v>83083.239999999918</v>
      </c>
      <c r="R82" s="2">
        <v>83104.969999999914</v>
      </c>
      <c r="S82" s="2">
        <v>83125.44999999991</v>
      </c>
      <c r="T82" s="2">
        <v>83139.939999999915</v>
      </c>
      <c r="U82" s="2">
        <v>83161.159999999916</v>
      </c>
      <c r="V82" s="2">
        <v>83182.379999999917</v>
      </c>
      <c r="W82" s="2">
        <v>83194.30999999991</v>
      </c>
      <c r="X82" s="2">
        <v>83205.399999999907</v>
      </c>
      <c r="Y82" s="2">
        <v>83224.549999999901</v>
      </c>
      <c r="Z82" s="2">
        <v>83245.769999999902</v>
      </c>
      <c r="AA82" s="2">
        <v>83267.469999999899</v>
      </c>
      <c r="AB82" s="2">
        <v>83289.049999999901</v>
      </c>
      <c r="AC82" s="2">
        <v>83310.609999999899</v>
      </c>
      <c r="AD82" s="2">
        <v>83332.279999999897</v>
      </c>
      <c r="AE82" s="2">
        <v>83353.699999999895</v>
      </c>
      <c r="AF82" s="3"/>
      <c r="AG82" s="51">
        <f t="shared" si="2"/>
        <v>83353.699999999895</v>
      </c>
      <c r="AH82" s="44">
        <v>82943.73</v>
      </c>
    </row>
    <row r="83" spans="1:34" x14ac:dyDescent="0.35">
      <c r="A83" s="33" t="s">
        <v>89</v>
      </c>
      <c r="B83" s="10">
        <v>82849.109999999695</v>
      </c>
      <c r="C83" s="2">
        <v>82858.5999999997</v>
      </c>
      <c r="D83" s="2">
        <v>82863.8499999997</v>
      </c>
      <c r="E83" s="2">
        <v>82877.709999999701</v>
      </c>
      <c r="F83" s="2">
        <v>82898.429999999702</v>
      </c>
      <c r="G83" s="2">
        <v>82918.449999999706</v>
      </c>
      <c r="H83" s="2">
        <v>82939.749999999709</v>
      </c>
      <c r="I83" s="2">
        <v>82960.519999999713</v>
      </c>
      <c r="J83" s="2">
        <v>82968.689999999711</v>
      </c>
      <c r="K83" s="2">
        <v>82985.709999999715</v>
      </c>
      <c r="L83" s="2">
        <v>83002.869999999719</v>
      </c>
      <c r="M83" s="2">
        <v>83014.179999999717</v>
      </c>
      <c r="N83" s="2">
        <v>83035.649999999718</v>
      </c>
      <c r="O83" s="2">
        <v>83057.58999999972</v>
      </c>
      <c r="P83" s="2">
        <v>83079.079999999725</v>
      </c>
      <c r="Q83" s="2">
        <v>83099.919999999722</v>
      </c>
      <c r="R83" s="2">
        <v>83118.889999999723</v>
      </c>
      <c r="S83" s="2">
        <v>83118.889999999723</v>
      </c>
      <c r="T83" s="2">
        <v>83126.539999999717</v>
      </c>
      <c r="U83" s="2">
        <v>83146.379999999714</v>
      </c>
      <c r="V83" s="2">
        <v>83166.259999999718</v>
      </c>
      <c r="W83" s="2">
        <v>83187.939999999711</v>
      </c>
      <c r="X83" s="2">
        <v>83204.949999999706</v>
      </c>
      <c r="Y83" s="2">
        <v>83225.85999999971</v>
      </c>
      <c r="Z83" s="2">
        <v>83247.71999999971</v>
      </c>
      <c r="AA83" s="2">
        <v>83270.329999999711</v>
      </c>
      <c r="AB83" s="2">
        <v>83291.639999999708</v>
      </c>
      <c r="AC83" s="2">
        <v>83308.919999999707</v>
      </c>
      <c r="AD83" s="2">
        <v>83329.309999999707</v>
      </c>
      <c r="AE83" s="2">
        <v>83350.999999999709</v>
      </c>
      <c r="AF83" s="3"/>
      <c r="AG83" s="51">
        <f t="shared" si="2"/>
        <v>83350.999999999709</v>
      </c>
      <c r="AH83" s="44">
        <v>82838.509999999995</v>
      </c>
    </row>
    <row r="84" spans="1:34" x14ac:dyDescent="0.35">
      <c r="A84" s="33" t="s">
        <v>90</v>
      </c>
      <c r="B84" s="10">
        <v>84393.000000000015</v>
      </c>
      <c r="C84" s="2">
        <v>84414.390000000014</v>
      </c>
      <c r="D84" s="2">
        <v>84435.500000000015</v>
      </c>
      <c r="E84" s="2">
        <v>84452.450000000012</v>
      </c>
      <c r="F84" s="2">
        <v>84473.71</v>
      </c>
      <c r="G84" s="2">
        <v>84495.060000000012</v>
      </c>
      <c r="H84" s="2">
        <v>84516.330000000016</v>
      </c>
      <c r="I84" s="2">
        <v>84537.130000000019</v>
      </c>
      <c r="J84" s="2">
        <v>84558.910000000018</v>
      </c>
      <c r="K84" s="2">
        <v>84581.060000000012</v>
      </c>
      <c r="L84" s="2">
        <v>84596.470000000016</v>
      </c>
      <c r="M84" s="2">
        <v>84618.210000000021</v>
      </c>
      <c r="N84" s="2">
        <v>84636.10000000002</v>
      </c>
      <c r="O84" s="2">
        <v>84638.35000000002</v>
      </c>
      <c r="P84" s="2">
        <v>84652.790000000023</v>
      </c>
      <c r="Q84" s="2">
        <v>84674.340000000026</v>
      </c>
      <c r="R84" s="2">
        <v>84695.020000000019</v>
      </c>
      <c r="S84" s="2">
        <v>84711.300000000017</v>
      </c>
      <c r="T84" s="2">
        <v>84731.030000000013</v>
      </c>
      <c r="U84" s="2">
        <v>84752.87000000001</v>
      </c>
      <c r="V84" s="2">
        <v>84773.280000000013</v>
      </c>
      <c r="W84" s="2">
        <v>84794.010000000009</v>
      </c>
      <c r="X84" s="2">
        <v>84803.470000000016</v>
      </c>
      <c r="Y84" s="2">
        <v>84823.200000000012</v>
      </c>
      <c r="Z84" s="2">
        <v>84844.410000000018</v>
      </c>
      <c r="AA84" s="2">
        <v>84865.630000000019</v>
      </c>
      <c r="AB84" s="2">
        <v>84871.500000000015</v>
      </c>
      <c r="AC84" s="2">
        <v>84884.920000000013</v>
      </c>
      <c r="AD84" s="2">
        <v>84906.82</v>
      </c>
      <c r="AE84" s="2">
        <v>84925.440000000002</v>
      </c>
      <c r="AF84" s="3"/>
      <c r="AG84" s="51">
        <f t="shared" si="2"/>
        <v>84925.440000000002</v>
      </c>
      <c r="AH84" s="44">
        <v>84373.59</v>
      </c>
    </row>
    <row r="85" spans="1:34" x14ac:dyDescent="0.35">
      <c r="A85" s="33" t="s">
        <v>91</v>
      </c>
      <c r="B85" s="10">
        <v>84285.999999999767</v>
      </c>
      <c r="C85" s="2">
        <v>84285.999999999767</v>
      </c>
      <c r="D85" s="2">
        <v>84285.999999999767</v>
      </c>
      <c r="E85" s="2">
        <v>84285.999999999767</v>
      </c>
      <c r="F85" s="2">
        <v>84296.149999999761</v>
      </c>
      <c r="G85" s="2">
        <v>84302.099999999758</v>
      </c>
      <c r="H85" s="2">
        <v>84303.629999999757</v>
      </c>
      <c r="I85" s="2">
        <v>84307.029999999751</v>
      </c>
      <c r="J85" s="2">
        <v>84323.389999999752</v>
      </c>
      <c r="K85" s="2">
        <v>84338.80999999975</v>
      </c>
      <c r="L85" s="2">
        <v>84360.399999999747</v>
      </c>
      <c r="M85" s="2">
        <v>84382.259999999747</v>
      </c>
      <c r="N85" s="2">
        <v>84390.279999999751</v>
      </c>
      <c r="O85" s="2">
        <v>84390.489999999758</v>
      </c>
      <c r="P85" s="2">
        <v>84390.489999999758</v>
      </c>
      <c r="Q85" s="2">
        <v>84390.489999999758</v>
      </c>
      <c r="R85" s="2">
        <v>84390.489999999758</v>
      </c>
      <c r="S85" s="2">
        <v>84390.489999999758</v>
      </c>
      <c r="T85" s="2">
        <v>84390.489999999758</v>
      </c>
      <c r="U85" s="2">
        <v>84390.489999999758</v>
      </c>
      <c r="V85" s="2">
        <v>84390.489999999758</v>
      </c>
      <c r="W85" s="2">
        <v>84390.489999999758</v>
      </c>
      <c r="X85" s="2">
        <v>84390.489999999758</v>
      </c>
      <c r="Y85" s="2">
        <v>84390.489999999758</v>
      </c>
      <c r="Z85" s="2">
        <v>84390.489999999758</v>
      </c>
      <c r="AA85" s="2">
        <v>84390.489999999758</v>
      </c>
      <c r="AB85" s="2">
        <v>84390.489999999758</v>
      </c>
      <c r="AC85" s="2">
        <v>84390.489999999758</v>
      </c>
      <c r="AD85" s="2">
        <v>84390.489999999758</v>
      </c>
      <c r="AE85" s="2">
        <v>84390.489999999758</v>
      </c>
      <c r="AF85" s="3"/>
      <c r="AG85" s="51">
        <f t="shared" si="2"/>
        <v>84390.489999999758</v>
      </c>
      <c r="AH85" s="44">
        <v>84286</v>
      </c>
    </row>
    <row r="86" spans="1:34" x14ac:dyDescent="0.35">
      <c r="A86" s="33" t="s">
        <v>92</v>
      </c>
      <c r="B86" s="10">
        <v>84094.14000000013</v>
      </c>
      <c r="C86" s="2">
        <v>84114.590000000127</v>
      </c>
      <c r="D86" s="2">
        <v>84128.64000000013</v>
      </c>
      <c r="E86" s="2">
        <v>84145.090000000127</v>
      </c>
      <c r="F86" s="2">
        <v>84166.420000000129</v>
      </c>
      <c r="G86" s="2">
        <v>84182.53000000013</v>
      </c>
      <c r="H86" s="2">
        <v>84198.290000000125</v>
      </c>
      <c r="I86" s="2">
        <v>84214.000000000131</v>
      </c>
      <c r="J86" s="2">
        <v>84228.150000000125</v>
      </c>
      <c r="K86" s="2">
        <v>84246.570000000123</v>
      </c>
      <c r="L86" s="2">
        <v>84247.720000000118</v>
      </c>
      <c r="M86" s="2">
        <v>84266.460000000123</v>
      </c>
      <c r="N86" s="2">
        <v>84287.090000000127</v>
      </c>
      <c r="O86" s="2">
        <v>84307.710000000123</v>
      </c>
      <c r="P86" s="2">
        <v>84327.040000000125</v>
      </c>
      <c r="Q86" s="2">
        <v>84348.77000000012</v>
      </c>
      <c r="R86" s="2">
        <v>84369.880000000121</v>
      </c>
      <c r="S86" s="2">
        <v>84386.340000000127</v>
      </c>
      <c r="T86" s="2">
        <v>84406.090000000127</v>
      </c>
      <c r="U86" s="2">
        <v>84427.830000000133</v>
      </c>
      <c r="V86" s="2">
        <v>84449.050000000134</v>
      </c>
      <c r="W86" s="2">
        <v>84464.990000000136</v>
      </c>
      <c r="X86" s="2">
        <v>84476.680000000139</v>
      </c>
      <c r="Y86" s="2">
        <v>84497.080000000133</v>
      </c>
      <c r="Z86" s="2">
        <v>84518.660000000134</v>
      </c>
      <c r="AA86" s="2">
        <v>84540.120000000141</v>
      </c>
      <c r="AB86" s="2">
        <v>84561.610000000146</v>
      </c>
      <c r="AC86" s="2">
        <v>84583.480000000141</v>
      </c>
      <c r="AD86" s="2">
        <v>84605.720000000147</v>
      </c>
      <c r="AE86" s="2">
        <v>84624.90000000014</v>
      </c>
      <c r="AF86" s="3"/>
      <c r="AG86" s="51">
        <f t="shared" si="2"/>
        <v>84624.90000000014</v>
      </c>
      <c r="AH86" s="44">
        <v>84073.07</v>
      </c>
    </row>
    <row r="87" spans="1:34" x14ac:dyDescent="0.35">
      <c r="A87" s="33" t="s">
        <v>93</v>
      </c>
      <c r="B87" s="10">
        <v>77758.059999999881</v>
      </c>
      <c r="C87" s="2">
        <v>77779.379999999888</v>
      </c>
      <c r="D87" s="2">
        <v>77795.20999999989</v>
      </c>
      <c r="E87" s="2">
        <v>77811.389999999883</v>
      </c>
      <c r="F87" s="2">
        <v>77832.399999999878</v>
      </c>
      <c r="G87" s="2">
        <v>77853.409999999873</v>
      </c>
      <c r="H87" s="2">
        <v>77869.649999999878</v>
      </c>
      <c r="I87" s="2">
        <v>77891.599999999875</v>
      </c>
      <c r="J87" s="2">
        <v>77908.699999999881</v>
      </c>
      <c r="K87" s="2">
        <v>77930.079999999885</v>
      </c>
      <c r="L87" s="2">
        <v>77945.419999999882</v>
      </c>
      <c r="M87" s="2">
        <v>77966.939999999886</v>
      </c>
      <c r="N87" s="2">
        <v>77988.47999999988</v>
      </c>
      <c r="O87" s="2">
        <v>78010.08999999988</v>
      </c>
      <c r="P87" s="2">
        <v>78014.299999999886</v>
      </c>
      <c r="Q87" s="2">
        <v>78014.299999999886</v>
      </c>
      <c r="R87" s="2">
        <v>78030.199999999881</v>
      </c>
      <c r="S87" s="2">
        <v>78052.139999999883</v>
      </c>
      <c r="T87" s="2">
        <v>78073.629999999888</v>
      </c>
      <c r="U87" s="2">
        <v>78095.129999999888</v>
      </c>
      <c r="V87" s="2">
        <v>78116.229999999894</v>
      </c>
      <c r="W87" s="2">
        <v>78132.109999999899</v>
      </c>
      <c r="X87" s="2">
        <v>78154.869999999893</v>
      </c>
      <c r="Y87" s="2">
        <v>78176.349999999889</v>
      </c>
      <c r="Z87" s="2">
        <v>78197.999999999884</v>
      </c>
      <c r="AA87" s="2">
        <v>78219.189999999886</v>
      </c>
      <c r="AB87" s="2">
        <v>78241.279999999882</v>
      </c>
      <c r="AC87" s="2">
        <v>78261.309999999881</v>
      </c>
      <c r="AD87" s="2">
        <v>78282.579999999885</v>
      </c>
      <c r="AE87" s="2">
        <v>78304.069999999891</v>
      </c>
      <c r="AF87" s="3"/>
      <c r="AG87" s="51">
        <f t="shared" si="2"/>
        <v>78304.069999999891</v>
      </c>
      <c r="AH87" s="44">
        <v>77743.17</v>
      </c>
    </row>
    <row r="88" spans="1:34" x14ac:dyDescent="0.35">
      <c r="A88" s="33" t="s">
        <v>94</v>
      </c>
      <c r="B88" s="10">
        <v>85719.149999999936</v>
      </c>
      <c r="C88" s="2">
        <v>85731.059999999939</v>
      </c>
      <c r="D88" s="2">
        <v>85751.599999999933</v>
      </c>
      <c r="E88" s="2">
        <v>85772.599999999933</v>
      </c>
      <c r="F88" s="2">
        <v>85793.43999999993</v>
      </c>
      <c r="G88" s="2">
        <v>85814.159999999931</v>
      </c>
      <c r="H88" s="2">
        <v>85835.129999999932</v>
      </c>
      <c r="I88" s="2">
        <v>85856.18999999993</v>
      </c>
      <c r="J88" s="2">
        <v>85876.769999999931</v>
      </c>
      <c r="K88" s="2">
        <v>85898.29999999993</v>
      </c>
      <c r="L88" s="2">
        <v>85919.749999999927</v>
      </c>
      <c r="M88" s="2">
        <v>85941.079999999929</v>
      </c>
      <c r="N88" s="2">
        <v>85961.009999999922</v>
      </c>
      <c r="O88" s="2">
        <v>85982.019999999917</v>
      </c>
      <c r="P88" s="2">
        <v>86002.849999999919</v>
      </c>
      <c r="Q88" s="2">
        <v>86018.129999999917</v>
      </c>
      <c r="R88" s="2">
        <v>86035.689999999915</v>
      </c>
      <c r="S88" s="2">
        <v>86056.80999999991</v>
      </c>
      <c r="T88" s="2">
        <v>86077.319999999905</v>
      </c>
      <c r="U88" s="2">
        <v>86098.839999999909</v>
      </c>
      <c r="V88" s="2">
        <v>86120.079999999914</v>
      </c>
      <c r="W88" s="2">
        <v>86140.67999999992</v>
      </c>
      <c r="X88" s="2">
        <v>86156.419999999925</v>
      </c>
      <c r="Y88" s="2">
        <v>86175.059999999925</v>
      </c>
      <c r="Z88" s="2">
        <v>86197.17999999992</v>
      </c>
      <c r="AA88" s="2">
        <v>86197.17999999992</v>
      </c>
      <c r="AB88" s="2">
        <v>86197.17999999992</v>
      </c>
      <c r="AC88" s="2">
        <v>86215.81999999992</v>
      </c>
      <c r="AD88" s="2">
        <v>86237.479999999923</v>
      </c>
      <c r="AE88" s="2">
        <v>86254.619999999923</v>
      </c>
      <c r="AF88" s="3"/>
      <c r="AG88" s="51">
        <f t="shared" si="2"/>
        <v>86254.619999999923</v>
      </c>
      <c r="AH88" s="44">
        <v>85697.99</v>
      </c>
    </row>
    <row r="89" spans="1:34" x14ac:dyDescent="0.35">
      <c r="A89" s="33" t="s">
        <v>95</v>
      </c>
      <c r="B89" s="10">
        <v>81678.669999999751</v>
      </c>
      <c r="C89" s="2">
        <v>81700.209999999744</v>
      </c>
      <c r="D89" s="2">
        <v>81721.249999999738</v>
      </c>
      <c r="E89" s="2">
        <v>81742.509999999733</v>
      </c>
      <c r="F89" s="2">
        <v>81755.149999999732</v>
      </c>
      <c r="G89" s="2">
        <v>81776.70999999973</v>
      </c>
      <c r="H89" s="2">
        <v>81795.009999999733</v>
      </c>
      <c r="I89" s="2">
        <v>81816.849999999729</v>
      </c>
      <c r="J89" s="2">
        <v>81837.989999999729</v>
      </c>
      <c r="K89" s="2">
        <v>81842.099999999729</v>
      </c>
      <c r="L89" s="2">
        <v>81858.859999999724</v>
      </c>
      <c r="M89" s="2">
        <v>81880.059999999721</v>
      </c>
      <c r="N89" s="2">
        <v>81886.059999999721</v>
      </c>
      <c r="O89" s="2">
        <v>81906.889999999723</v>
      </c>
      <c r="P89" s="2">
        <v>81911.329999999725</v>
      </c>
      <c r="Q89" s="2">
        <v>81929.369999999719</v>
      </c>
      <c r="R89" s="2">
        <v>81942.859999999724</v>
      </c>
      <c r="S89" s="2">
        <v>81961.939999999726</v>
      </c>
      <c r="T89" s="2">
        <v>81982.389999999723</v>
      </c>
      <c r="U89" s="2">
        <v>81999.809999999721</v>
      </c>
      <c r="V89" s="2">
        <v>82019.309999999721</v>
      </c>
      <c r="W89" s="2">
        <v>82040.969999999725</v>
      </c>
      <c r="X89" s="2">
        <v>82059.669999999722</v>
      </c>
      <c r="Y89" s="2">
        <v>82081.699999999721</v>
      </c>
      <c r="Z89" s="2">
        <v>82097.819999999716</v>
      </c>
      <c r="AA89" s="2">
        <v>82119.149999999718</v>
      </c>
      <c r="AB89" s="2">
        <v>82140.129999999714</v>
      </c>
      <c r="AC89" s="2">
        <v>82157.629999999714</v>
      </c>
      <c r="AD89" s="2">
        <v>82179.999999999709</v>
      </c>
      <c r="AE89" s="2">
        <v>82201.549999999712</v>
      </c>
      <c r="AF89" s="3"/>
      <c r="AG89" s="51">
        <f t="shared" si="2"/>
        <v>82201.549999999712</v>
      </c>
      <c r="AH89" s="44">
        <v>81658.070000000007</v>
      </c>
    </row>
    <row r="90" spans="1:34" x14ac:dyDescent="0.35">
      <c r="A90" s="33" t="s">
        <v>96</v>
      </c>
      <c r="B90" s="10">
        <v>83231.22999999988</v>
      </c>
      <c r="C90" s="2">
        <v>83252.519999999873</v>
      </c>
      <c r="D90" s="2">
        <v>83262.269999999873</v>
      </c>
      <c r="E90" s="2">
        <v>83263.58999999988</v>
      </c>
      <c r="F90" s="2">
        <v>83284.639999999883</v>
      </c>
      <c r="G90" s="2">
        <v>83299.95999999989</v>
      </c>
      <c r="H90" s="2">
        <v>83316.259999999893</v>
      </c>
      <c r="I90" s="2">
        <v>83338.149999999892</v>
      </c>
      <c r="J90" s="2">
        <v>83340.179999999891</v>
      </c>
      <c r="K90" s="2">
        <v>83340.179999999891</v>
      </c>
      <c r="L90" s="2">
        <v>83340.179999999891</v>
      </c>
      <c r="M90" s="2">
        <v>83352.939999999886</v>
      </c>
      <c r="N90" s="2">
        <v>83374.559999999881</v>
      </c>
      <c r="O90" s="2">
        <v>83388.299999999886</v>
      </c>
      <c r="P90" s="2">
        <v>83409.669999999882</v>
      </c>
      <c r="Q90" s="2">
        <v>83426.929999999877</v>
      </c>
      <c r="R90" s="2">
        <v>83448.139999999883</v>
      </c>
      <c r="S90" s="2">
        <v>83469.58999999988</v>
      </c>
      <c r="T90" s="2">
        <v>83488.959999999875</v>
      </c>
      <c r="U90" s="2">
        <v>83503.439999999871</v>
      </c>
      <c r="V90" s="2">
        <v>83519.71999999987</v>
      </c>
      <c r="W90" s="2">
        <v>83539.439999999871</v>
      </c>
      <c r="X90" s="2">
        <v>83561.46999999987</v>
      </c>
      <c r="Y90" s="2">
        <v>83580.099999999875</v>
      </c>
      <c r="Z90" s="2">
        <v>83602.559999999881</v>
      </c>
      <c r="AA90" s="2">
        <v>83623.519999999888</v>
      </c>
      <c r="AB90" s="2">
        <v>83643.939999999886</v>
      </c>
      <c r="AC90" s="2">
        <v>83665.549999999886</v>
      </c>
      <c r="AD90" s="2">
        <v>83683.259999999893</v>
      </c>
      <c r="AE90" s="2">
        <v>83683.259999999893</v>
      </c>
      <c r="AF90" s="3"/>
      <c r="AG90" s="51">
        <f t="shared" si="2"/>
        <v>83683.259999999893</v>
      </c>
      <c r="AH90" s="44">
        <v>83211.520000000004</v>
      </c>
    </row>
    <row r="91" spans="1:34" x14ac:dyDescent="0.35">
      <c r="A91" s="33" t="s">
        <v>97</v>
      </c>
      <c r="B91" s="10">
        <v>84335.68000000008</v>
      </c>
      <c r="C91" s="2">
        <v>84356.160000000076</v>
      </c>
      <c r="D91" s="2">
        <v>84376.990000000078</v>
      </c>
      <c r="E91" s="2">
        <v>84389.220000000074</v>
      </c>
      <c r="F91" s="2">
        <v>84403.43000000008</v>
      </c>
      <c r="G91" s="2">
        <v>84424.720000000074</v>
      </c>
      <c r="H91" s="2">
        <v>84445.800000000076</v>
      </c>
      <c r="I91" s="2">
        <v>84467.280000000072</v>
      </c>
      <c r="J91" s="2">
        <v>84484.910000000076</v>
      </c>
      <c r="K91" s="2">
        <v>84502.81000000007</v>
      </c>
      <c r="L91" s="2">
        <v>84521.460000000065</v>
      </c>
      <c r="M91" s="2">
        <v>84536.970000000059</v>
      </c>
      <c r="N91" s="2">
        <v>84536.970000000059</v>
      </c>
      <c r="O91" s="2">
        <v>84539.040000000066</v>
      </c>
      <c r="P91" s="2">
        <v>84560.270000000062</v>
      </c>
      <c r="Q91" s="2">
        <v>84577.780000000057</v>
      </c>
      <c r="R91" s="2">
        <v>84592.940000000061</v>
      </c>
      <c r="S91" s="2">
        <v>84614.230000000054</v>
      </c>
      <c r="T91" s="2">
        <v>84634.400000000052</v>
      </c>
      <c r="U91" s="2">
        <v>84655.890000000058</v>
      </c>
      <c r="V91" s="2">
        <v>84676.210000000065</v>
      </c>
      <c r="W91" s="2">
        <v>84689.100000000064</v>
      </c>
      <c r="X91" s="2">
        <v>84710.250000000058</v>
      </c>
      <c r="Y91" s="2">
        <v>84729.690000000061</v>
      </c>
      <c r="Z91" s="2">
        <v>84745.250000000058</v>
      </c>
      <c r="AA91" s="2">
        <v>84765.940000000061</v>
      </c>
      <c r="AB91" s="2">
        <v>84788.630000000063</v>
      </c>
      <c r="AC91" s="2">
        <v>84804.310000000056</v>
      </c>
      <c r="AD91" s="2">
        <v>84824.200000000055</v>
      </c>
      <c r="AE91" s="2">
        <v>84845.840000000055</v>
      </c>
      <c r="AF91" s="3"/>
      <c r="AG91" s="51">
        <f t="shared" si="2"/>
        <v>84845.840000000055</v>
      </c>
      <c r="AH91" s="44">
        <v>84313.85</v>
      </c>
    </row>
    <row r="92" spans="1:34" x14ac:dyDescent="0.35">
      <c r="A92" s="33" t="s">
        <v>98</v>
      </c>
      <c r="B92" s="10">
        <v>83249.530000000028</v>
      </c>
      <c r="C92" s="2">
        <v>83269.870000000024</v>
      </c>
      <c r="D92" s="2">
        <v>83291.280000000028</v>
      </c>
      <c r="E92" s="2">
        <v>83312.540000000023</v>
      </c>
      <c r="F92" s="2">
        <v>83334.250000000029</v>
      </c>
      <c r="G92" s="2">
        <v>83354.210000000036</v>
      </c>
      <c r="H92" s="2">
        <v>83367.820000000036</v>
      </c>
      <c r="I92" s="2">
        <v>83389.120000000039</v>
      </c>
      <c r="J92" s="2">
        <v>83410.560000000041</v>
      </c>
      <c r="K92" s="2">
        <v>83428.040000000037</v>
      </c>
      <c r="L92" s="2">
        <v>83449.380000000034</v>
      </c>
      <c r="M92" s="2">
        <v>83466.310000000027</v>
      </c>
      <c r="N92" s="2">
        <v>83487.680000000022</v>
      </c>
      <c r="O92" s="2">
        <v>83509.030000000028</v>
      </c>
      <c r="P92" s="2">
        <v>83525.120000000024</v>
      </c>
      <c r="Q92" s="2">
        <v>83539.780000000028</v>
      </c>
      <c r="R92" s="2">
        <v>83557.510000000024</v>
      </c>
      <c r="S92" s="2">
        <v>83578.690000000017</v>
      </c>
      <c r="T92" s="2">
        <v>83599.360000000015</v>
      </c>
      <c r="U92" s="2">
        <v>83618.060000000012</v>
      </c>
      <c r="V92" s="2">
        <v>83639.880000000019</v>
      </c>
      <c r="W92" s="2">
        <v>83660.99000000002</v>
      </c>
      <c r="X92" s="2">
        <v>83682.790000000023</v>
      </c>
      <c r="Y92" s="2">
        <v>83704.680000000022</v>
      </c>
      <c r="Z92" s="2">
        <v>83726.160000000018</v>
      </c>
      <c r="AA92" s="2">
        <v>83743.330000000016</v>
      </c>
      <c r="AB92" s="2">
        <v>83745.440000000017</v>
      </c>
      <c r="AC92" s="2">
        <v>83745.440000000017</v>
      </c>
      <c r="AD92" s="2">
        <v>83745.440000000017</v>
      </c>
      <c r="AE92" s="2">
        <v>83745.440000000017</v>
      </c>
      <c r="AF92" s="3"/>
      <c r="AG92" s="51">
        <f t="shared" si="2"/>
        <v>83745.440000000017</v>
      </c>
      <c r="AH92" s="44">
        <v>83249.53</v>
      </c>
    </row>
    <row r="93" spans="1:34" x14ac:dyDescent="0.35">
      <c r="A93" s="33" t="s">
        <v>99</v>
      </c>
      <c r="B93" s="10">
        <v>80466.920000000129</v>
      </c>
      <c r="C93" s="2">
        <v>80466.920000000129</v>
      </c>
      <c r="D93" s="2">
        <v>80466.920000000129</v>
      </c>
      <c r="E93" s="2">
        <v>80487.020000000135</v>
      </c>
      <c r="F93" s="2">
        <v>80507.870000000141</v>
      </c>
      <c r="G93" s="2">
        <v>80528.980000000141</v>
      </c>
      <c r="H93" s="2">
        <v>80550.530000000144</v>
      </c>
      <c r="I93" s="2">
        <v>80572.26000000014</v>
      </c>
      <c r="J93" s="2">
        <v>80592.970000000147</v>
      </c>
      <c r="K93" s="2">
        <v>80612.390000000145</v>
      </c>
      <c r="L93" s="2">
        <v>80615.600000000151</v>
      </c>
      <c r="M93" s="2">
        <v>80618.220000000147</v>
      </c>
      <c r="N93" s="2">
        <v>80633.800000000148</v>
      </c>
      <c r="O93" s="2">
        <v>80653.280000000144</v>
      </c>
      <c r="P93" s="2">
        <v>80674.530000000144</v>
      </c>
      <c r="Q93" s="2">
        <v>80696.190000000148</v>
      </c>
      <c r="R93" s="2">
        <v>80717.320000000153</v>
      </c>
      <c r="S93" s="2">
        <v>80735.220000000147</v>
      </c>
      <c r="T93" s="2">
        <v>80756.360000000146</v>
      </c>
      <c r="U93" s="2">
        <v>80771.470000000147</v>
      </c>
      <c r="V93" s="2">
        <v>80779.180000000153</v>
      </c>
      <c r="W93" s="2">
        <v>80799.620000000155</v>
      </c>
      <c r="X93" s="2">
        <v>80820.640000000159</v>
      </c>
      <c r="Y93" s="2">
        <v>80836.75000000016</v>
      </c>
      <c r="Z93" s="2">
        <v>80853.490000000165</v>
      </c>
      <c r="AA93" s="2">
        <v>80873.060000000172</v>
      </c>
      <c r="AB93" s="2">
        <v>80895.210000000166</v>
      </c>
      <c r="AC93" s="2">
        <v>80913.560000000172</v>
      </c>
      <c r="AD93" s="2">
        <v>80934.360000000175</v>
      </c>
      <c r="AE93" s="2">
        <v>80955.570000000182</v>
      </c>
      <c r="AF93" s="3"/>
      <c r="AG93" s="51">
        <f t="shared" si="2"/>
        <v>80955.570000000182</v>
      </c>
      <c r="AH93" s="44">
        <v>80466.92</v>
      </c>
    </row>
    <row r="94" spans="1:34" x14ac:dyDescent="0.35">
      <c r="A94" s="293" t="s">
        <v>100</v>
      </c>
      <c r="B94" s="10">
        <v>81277.610000000015</v>
      </c>
      <c r="C94" s="2">
        <v>81277.610000000015</v>
      </c>
      <c r="D94" s="2">
        <v>81277.610000000015</v>
      </c>
      <c r="E94" s="2">
        <v>81277.610000000015</v>
      </c>
      <c r="F94" s="2">
        <v>81277.610000000015</v>
      </c>
      <c r="G94" s="2">
        <v>81277.610000000015</v>
      </c>
      <c r="H94" s="2">
        <v>81277.610000000015</v>
      </c>
      <c r="I94" s="2">
        <v>81277.610000000015</v>
      </c>
      <c r="J94" s="2">
        <v>81277.610000000015</v>
      </c>
      <c r="K94" s="2">
        <v>81277.610000000015</v>
      </c>
      <c r="L94" s="2">
        <v>81277.610000000015</v>
      </c>
      <c r="M94" s="2">
        <v>81277.610000000015</v>
      </c>
      <c r="N94" s="2">
        <v>81277.610000000015</v>
      </c>
      <c r="O94" s="2">
        <v>81277.610000000015</v>
      </c>
      <c r="P94" s="2">
        <v>81277.610000000015</v>
      </c>
      <c r="Q94" s="2">
        <v>81277.610000000015</v>
      </c>
      <c r="R94" s="2">
        <v>81277.610000000015</v>
      </c>
      <c r="S94" s="2">
        <v>81277.610000000015</v>
      </c>
      <c r="T94" s="2">
        <v>81277.610000000015</v>
      </c>
      <c r="U94" s="2">
        <v>81277.610000000015</v>
      </c>
      <c r="V94" s="2">
        <v>81277.610000000015</v>
      </c>
      <c r="W94" s="2">
        <v>81277.610000000015</v>
      </c>
      <c r="X94" s="2">
        <v>81277.610000000015</v>
      </c>
      <c r="Y94" s="2">
        <v>81277.610000000015</v>
      </c>
      <c r="Z94" s="2">
        <v>81277.610000000015</v>
      </c>
      <c r="AA94" s="2">
        <v>81277.610000000015</v>
      </c>
      <c r="AB94" s="2">
        <v>81277.610000000015</v>
      </c>
      <c r="AC94" s="2">
        <v>81277.610000000015</v>
      </c>
      <c r="AD94" s="2">
        <v>81277.610000000015</v>
      </c>
      <c r="AE94" s="2">
        <v>81277.610000000015</v>
      </c>
      <c r="AF94" s="3"/>
      <c r="AG94" s="51">
        <f t="shared" si="2"/>
        <v>81277.610000000015</v>
      </c>
      <c r="AH94" s="44">
        <v>81277.61</v>
      </c>
    </row>
    <row r="95" spans="1:34" x14ac:dyDescent="0.35">
      <c r="A95" s="33" t="s">
        <v>101</v>
      </c>
      <c r="B95" s="10">
        <v>82285.569999999934</v>
      </c>
      <c r="C95" s="2">
        <v>82285.569999999934</v>
      </c>
      <c r="D95" s="2">
        <v>82285.569999999934</v>
      </c>
      <c r="E95" s="2">
        <v>82285.569999999934</v>
      </c>
      <c r="F95" s="2">
        <v>82285.569999999934</v>
      </c>
      <c r="G95" s="2">
        <v>82285.569999999934</v>
      </c>
      <c r="H95" s="2">
        <v>82285.569999999934</v>
      </c>
      <c r="I95" s="2">
        <v>82285.569999999934</v>
      </c>
      <c r="J95" s="2">
        <v>82285.569999999934</v>
      </c>
      <c r="K95" s="2">
        <v>82285.569999999934</v>
      </c>
      <c r="L95" s="2">
        <v>82285.569999999934</v>
      </c>
      <c r="M95" s="2">
        <v>82285.569999999934</v>
      </c>
      <c r="N95" s="2">
        <v>82285.569999999934</v>
      </c>
      <c r="O95" s="2">
        <v>82285.569999999934</v>
      </c>
      <c r="P95" s="2">
        <v>82285.569999999934</v>
      </c>
      <c r="Q95" s="2">
        <v>82285.569999999934</v>
      </c>
      <c r="R95" s="2">
        <v>82285.569999999934</v>
      </c>
      <c r="S95" s="2">
        <v>82285.569999999934</v>
      </c>
      <c r="T95" s="2">
        <v>82285.569999999934</v>
      </c>
      <c r="U95" s="2">
        <v>82285.569999999934</v>
      </c>
      <c r="V95" s="2">
        <v>82285.569999999934</v>
      </c>
      <c r="W95" s="2">
        <v>82285.569999999934</v>
      </c>
      <c r="X95" s="2">
        <v>82285.569999999934</v>
      </c>
      <c r="Y95" s="2">
        <v>82285.569999999934</v>
      </c>
      <c r="Z95" s="2">
        <v>82285.569999999934</v>
      </c>
      <c r="AA95" s="2">
        <v>82285.569999999934</v>
      </c>
      <c r="AB95" s="2">
        <v>82285.569999999934</v>
      </c>
      <c r="AC95" s="2">
        <v>82285.569999999934</v>
      </c>
      <c r="AD95" s="2">
        <v>82285.569999999934</v>
      </c>
      <c r="AE95" s="2">
        <v>82285.569999999934</v>
      </c>
      <c r="AF95" s="3"/>
      <c r="AG95" s="51">
        <f t="shared" si="2"/>
        <v>82285.569999999934</v>
      </c>
      <c r="AH95" s="44">
        <v>82285.570000000007</v>
      </c>
    </row>
    <row r="96" spans="1:34" x14ac:dyDescent="0.35">
      <c r="A96" s="33" t="s">
        <v>102</v>
      </c>
      <c r="B96" s="10">
        <v>82898.400000000154</v>
      </c>
      <c r="C96" s="2">
        <v>82915.080000000147</v>
      </c>
      <c r="D96" s="2">
        <v>82935.77000000015</v>
      </c>
      <c r="E96" s="2">
        <v>82954.950000000143</v>
      </c>
      <c r="F96" s="2">
        <v>82971.040000000139</v>
      </c>
      <c r="G96" s="2">
        <v>82991.050000000134</v>
      </c>
      <c r="H96" s="2">
        <v>83002.810000000129</v>
      </c>
      <c r="I96" s="2">
        <v>83022.610000000132</v>
      </c>
      <c r="J96" s="2">
        <v>83022.850000000137</v>
      </c>
      <c r="K96" s="2">
        <v>83042.03000000013</v>
      </c>
      <c r="L96" s="2">
        <v>83051.620000000126</v>
      </c>
      <c r="M96" s="2">
        <v>83051.620000000126</v>
      </c>
      <c r="N96" s="2">
        <v>83060.39000000013</v>
      </c>
      <c r="O96" s="2">
        <v>83080.860000000132</v>
      </c>
      <c r="P96" s="2">
        <v>83102.350000000137</v>
      </c>
      <c r="Q96" s="2">
        <v>83123.800000000134</v>
      </c>
      <c r="R96" s="2">
        <v>83144.690000000133</v>
      </c>
      <c r="S96" s="2">
        <v>83164.200000000128</v>
      </c>
      <c r="T96" s="2">
        <v>83184.970000000132</v>
      </c>
      <c r="U96" s="2">
        <v>83201.570000000138</v>
      </c>
      <c r="V96" s="2">
        <v>83217.970000000132</v>
      </c>
      <c r="W96" s="2">
        <v>83229.250000000131</v>
      </c>
      <c r="X96" s="2">
        <v>83251.580000000133</v>
      </c>
      <c r="Y96" s="2">
        <v>83271.340000000127</v>
      </c>
      <c r="Z96" s="2">
        <v>83292.050000000134</v>
      </c>
      <c r="AA96" s="2">
        <v>83310.410000000134</v>
      </c>
      <c r="AB96" s="2">
        <v>83317.570000000138</v>
      </c>
      <c r="AC96" s="2">
        <v>83331.710000000137</v>
      </c>
      <c r="AD96" s="2">
        <v>83333.360000000132</v>
      </c>
      <c r="AE96" s="2">
        <v>83343.590000000127</v>
      </c>
      <c r="AF96" s="3"/>
      <c r="AG96" s="51">
        <f t="shared" si="2"/>
        <v>83343.590000000127</v>
      </c>
      <c r="AH96" s="44">
        <v>82878.399999999994</v>
      </c>
    </row>
    <row r="97" spans="1:34" x14ac:dyDescent="0.35">
      <c r="A97" s="33" t="s">
        <v>103</v>
      </c>
      <c r="B97" s="10">
        <v>83666.689999999755</v>
      </c>
      <c r="C97" s="2">
        <v>83688.169999999751</v>
      </c>
      <c r="D97" s="2">
        <v>83697.229999999749</v>
      </c>
      <c r="E97" s="2">
        <v>83697.229999999749</v>
      </c>
      <c r="F97" s="2">
        <v>83697.229999999749</v>
      </c>
      <c r="G97" s="2">
        <v>83697.229999999749</v>
      </c>
      <c r="H97" s="2">
        <v>83703.429999999746</v>
      </c>
      <c r="I97" s="2">
        <v>83718.239999999743</v>
      </c>
      <c r="J97" s="2">
        <v>83718.239999999743</v>
      </c>
      <c r="K97" s="2">
        <v>83718.239999999743</v>
      </c>
      <c r="L97" s="2">
        <v>83728.379999999743</v>
      </c>
      <c r="M97" s="2">
        <v>83748.889999999737</v>
      </c>
      <c r="N97" s="2">
        <v>83768.959999999744</v>
      </c>
      <c r="O97" s="2">
        <v>83775.839999999749</v>
      </c>
      <c r="P97" s="2">
        <v>83775.839999999749</v>
      </c>
      <c r="Q97" s="2">
        <v>83792.789999999746</v>
      </c>
      <c r="R97" s="2">
        <v>83814.30999999975</v>
      </c>
      <c r="S97" s="2">
        <v>83828.509999999747</v>
      </c>
      <c r="T97" s="2">
        <v>83849.989999999743</v>
      </c>
      <c r="U97" s="2">
        <v>83871.119999999748</v>
      </c>
      <c r="V97" s="2">
        <v>83892.69999999975</v>
      </c>
      <c r="W97" s="2">
        <v>83914.30999999975</v>
      </c>
      <c r="X97" s="2">
        <v>83920.169999999751</v>
      </c>
      <c r="Y97" s="2">
        <v>83937.109999999753</v>
      </c>
      <c r="Z97" s="2">
        <v>83951.19999999975</v>
      </c>
      <c r="AA97" s="2">
        <v>83954.639999999752</v>
      </c>
      <c r="AB97" s="2">
        <v>83954.639999999752</v>
      </c>
      <c r="AC97" s="2">
        <v>83954.639999999752</v>
      </c>
      <c r="AD97" s="2">
        <v>83954.639999999752</v>
      </c>
      <c r="AE97" s="2">
        <v>83954.639999999752</v>
      </c>
      <c r="AF97" s="3"/>
      <c r="AG97" s="51">
        <f t="shared" si="2"/>
        <v>83954.639999999752</v>
      </c>
      <c r="AH97" s="44">
        <v>83645.45</v>
      </c>
    </row>
    <row r="98" spans="1:34" x14ac:dyDescent="0.35">
      <c r="A98" s="33" t="s">
        <v>104</v>
      </c>
      <c r="B98" s="10">
        <v>81597.030000000217</v>
      </c>
      <c r="C98" s="2">
        <v>81618.130000000223</v>
      </c>
      <c r="D98" s="2">
        <v>81637.33000000022</v>
      </c>
      <c r="E98" s="2">
        <v>81658.490000000224</v>
      </c>
      <c r="F98" s="2">
        <v>81670.230000000229</v>
      </c>
      <c r="G98" s="2">
        <v>81670.230000000229</v>
      </c>
      <c r="H98" s="2">
        <v>81686.390000000232</v>
      </c>
      <c r="I98" s="2">
        <v>81704.960000000239</v>
      </c>
      <c r="J98" s="2">
        <v>81726.090000000244</v>
      </c>
      <c r="K98" s="2">
        <v>81744.630000000237</v>
      </c>
      <c r="L98" s="2">
        <v>81766.020000000237</v>
      </c>
      <c r="M98" s="2">
        <v>81786.670000000231</v>
      </c>
      <c r="N98" s="2">
        <v>81808.190000000235</v>
      </c>
      <c r="O98" s="2">
        <v>81828.670000000231</v>
      </c>
      <c r="P98" s="2">
        <v>81849.480000000229</v>
      </c>
      <c r="Q98" s="2">
        <v>81870.680000000226</v>
      </c>
      <c r="R98" s="2">
        <v>81887.170000000231</v>
      </c>
      <c r="S98" s="2">
        <v>81904.910000000236</v>
      </c>
      <c r="T98" s="2">
        <v>81926.370000000243</v>
      </c>
      <c r="U98" s="2">
        <v>81947.130000000237</v>
      </c>
      <c r="V98" s="2">
        <v>81968.340000000244</v>
      </c>
      <c r="W98" s="2">
        <v>81990.19000000025</v>
      </c>
      <c r="X98" s="2">
        <v>82010.970000000249</v>
      </c>
      <c r="Y98" s="2">
        <v>82032.160000000251</v>
      </c>
      <c r="Z98" s="2">
        <v>82053.850000000253</v>
      </c>
      <c r="AA98" s="2">
        <v>82074.760000000257</v>
      </c>
      <c r="AB98" s="2">
        <v>82096.070000000254</v>
      </c>
      <c r="AC98" s="2">
        <v>82112.540000000256</v>
      </c>
      <c r="AD98" s="2">
        <v>82127.44000000025</v>
      </c>
      <c r="AE98" s="2">
        <v>82148.810000000245</v>
      </c>
      <c r="AF98" s="3"/>
      <c r="AG98" s="51">
        <f t="shared" si="2"/>
        <v>82148.810000000245</v>
      </c>
      <c r="AH98" s="44">
        <v>81575.39</v>
      </c>
    </row>
    <row r="99" spans="1:34" x14ac:dyDescent="0.35">
      <c r="A99" s="33" t="s">
        <v>105</v>
      </c>
      <c r="B99" s="10">
        <v>81395.640000000014</v>
      </c>
      <c r="C99" s="2">
        <v>81416.670000000013</v>
      </c>
      <c r="D99" s="2">
        <v>81434.540000000008</v>
      </c>
      <c r="E99" s="2">
        <v>81443.94</v>
      </c>
      <c r="F99" s="2">
        <v>81462.34</v>
      </c>
      <c r="G99" s="2">
        <v>81477.679999999993</v>
      </c>
      <c r="H99" s="2">
        <v>81481.289999999994</v>
      </c>
      <c r="I99" s="2">
        <v>81487.079999999987</v>
      </c>
      <c r="J99" s="2">
        <v>81503.469999999987</v>
      </c>
      <c r="K99" s="2">
        <v>81517.25999999998</v>
      </c>
      <c r="L99" s="2">
        <v>81532.459999999977</v>
      </c>
      <c r="M99" s="2">
        <v>81538.979999999981</v>
      </c>
      <c r="N99" s="2">
        <v>81544.949999999983</v>
      </c>
      <c r="O99" s="2">
        <v>81565.909999999989</v>
      </c>
      <c r="P99" s="2">
        <v>81586.989999999991</v>
      </c>
      <c r="Q99" s="2">
        <v>81607.009999999995</v>
      </c>
      <c r="R99" s="2">
        <v>81607.83</v>
      </c>
      <c r="S99" s="2">
        <v>81608.66</v>
      </c>
      <c r="T99" s="2">
        <v>81630.11</v>
      </c>
      <c r="U99" s="2">
        <v>81644.89</v>
      </c>
      <c r="V99" s="2">
        <v>81660.23</v>
      </c>
      <c r="W99" s="2">
        <v>81670.489999999991</v>
      </c>
      <c r="X99" s="2">
        <v>81692.079999999987</v>
      </c>
      <c r="Y99" s="2">
        <v>81704.899999999994</v>
      </c>
      <c r="Z99" s="2">
        <v>81720.899999999994</v>
      </c>
      <c r="AA99" s="2">
        <v>81742.399999999994</v>
      </c>
      <c r="AB99" s="2">
        <v>81758.06</v>
      </c>
      <c r="AC99" s="2">
        <v>81777.33</v>
      </c>
      <c r="AD99" s="2">
        <v>81798.600000000006</v>
      </c>
      <c r="AE99" s="2">
        <v>81817.170000000013</v>
      </c>
      <c r="AF99" s="3"/>
      <c r="AG99" s="51">
        <f t="shared" si="2"/>
        <v>81817.170000000013</v>
      </c>
      <c r="AH99" s="44">
        <v>81374.16</v>
      </c>
    </row>
    <row r="100" spans="1:34" x14ac:dyDescent="0.35">
      <c r="A100" s="33" t="s">
        <v>106</v>
      </c>
      <c r="B100" s="10">
        <v>78975.540000000139</v>
      </c>
      <c r="C100" s="2">
        <v>78982.530000000144</v>
      </c>
      <c r="D100" s="2">
        <v>78982.530000000144</v>
      </c>
      <c r="E100" s="2">
        <v>78995.180000000139</v>
      </c>
      <c r="F100" s="2">
        <v>79015.490000000136</v>
      </c>
      <c r="G100" s="2">
        <v>79029.870000000141</v>
      </c>
      <c r="H100" s="2">
        <v>79046.750000000146</v>
      </c>
      <c r="I100" s="2">
        <v>79066.63000000015</v>
      </c>
      <c r="J100" s="2">
        <v>79084.370000000155</v>
      </c>
      <c r="K100" s="2">
        <v>79099.340000000157</v>
      </c>
      <c r="L100" s="2">
        <v>79120.790000000154</v>
      </c>
      <c r="M100" s="2">
        <v>79141.240000000151</v>
      </c>
      <c r="N100" s="2">
        <v>79160.220000000147</v>
      </c>
      <c r="O100" s="2">
        <v>79179.140000000145</v>
      </c>
      <c r="P100" s="2">
        <v>79199.790000000139</v>
      </c>
      <c r="Q100" s="2">
        <v>79216.120000000141</v>
      </c>
      <c r="R100" s="2">
        <v>79237.800000000134</v>
      </c>
      <c r="S100" s="2">
        <v>79245.000000000131</v>
      </c>
      <c r="T100" s="2">
        <v>79265.520000000135</v>
      </c>
      <c r="U100" s="2">
        <v>79284.080000000133</v>
      </c>
      <c r="V100" s="2">
        <v>79292.89000000013</v>
      </c>
      <c r="W100" s="2">
        <v>79307.330000000133</v>
      </c>
      <c r="X100" s="2">
        <v>79324.370000000126</v>
      </c>
      <c r="Y100" s="2">
        <v>79341.570000000123</v>
      </c>
      <c r="Z100" s="2">
        <v>79363.130000000121</v>
      </c>
      <c r="AA100" s="2">
        <v>79382.300000000119</v>
      </c>
      <c r="AB100" s="2">
        <v>79394.980000000112</v>
      </c>
      <c r="AC100" s="2">
        <v>79409.250000000116</v>
      </c>
      <c r="AD100" s="2">
        <v>79418.060000000114</v>
      </c>
      <c r="AE100" s="2">
        <v>79438.400000000111</v>
      </c>
      <c r="AF100" s="3"/>
      <c r="AG100" s="51">
        <f t="shared" ref="AG100:AG106" si="3">MAX(B100:AF100)</f>
        <v>79438.400000000111</v>
      </c>
      <c r="AH100" s="44">
        <v>78958.490000000005</v>
      </c>
    </row>
    <row r="101" spans="1:34" x14ac:dyDescent="0.35">
      <c r="A101" s="33" t="s">
        <v>107</v>
      </c>
      <c r="B101" s="10">
        <v>81651.720000000045</v>
      </c>
      <c r="C101" s="2">
        <v>81673.160000000047</v>
      </c>
      <c r="D101" s="2">
        <v>81687.610000000044</v>
      </c>
      <c r="E101" s="2">
        <v>81709.060000000041</v>
      </c>
      <c r="F101" s="2">
        <v>81730.650000000038</v>
      </c>
      <c r="G101" s="2">
        <v>81748.270000000033</v>
      </c>
      <c r="H101" s="2">
        <v>81769.59000000004</v>
      </c>
      <c r="I101" s="2">
        <v>81783.740000000034</v>
      </c>
      <c r="J101" s="2">
        <v>81804.880000000034</v>
      </c>
      <c r="K101" s="2">
        <v>81824.47000000003</v>
      </c>
      <c r="L101" s="2">
        <v>81846.200000000026</v>
      </c>
      <c r="M101" s="2">
        <v>81858.520000000033</v>
      </c>
      <c r="N101" s="2">
        <v>81864.620000000039</v>
      </c>
      <c r="O101" s="2">
        <v>81864.620000000039</v>
      </c>
      <c r="P101" s="2">
        <v>81882.640000000043</v>
      </c>
      <c r="Q101" s="2">
        <v>81891.450000000041</v>
      </c>
      <c r="R101" s="2">
        <v>81913.400000000038</v>
      </c>
      <c r="S101" s="2">
        <v>81933.820000000036</v>
      </c>
      <c r="T101" s="2">
        <v>81948.160000000033</v>
      </c>
      <c r="U101" s="2">
        <v>81965.700000000026</v>
      </c>
      <c r="V101" s="2">
        <v>81987.310000000027</v>
      </c>
      <c r="W101" s="2">
        <v>81992.640000000029</v>
      </c>
      <c r="X101" s="2">
        <v>82014.61000000003</v>
      </c>
      <c r="Y101" s="2">
        <v>82036.150000000023</v>
      </c>
      <c r="Z101" s="2">
        <v>82057.030000000028</v>
      </c>
      <c r="AA101" s="2">
        <v>82078.600000000035</v>
      </c>
      <c r="AB101" s="2">
        <v>82097.350000000035</v>
      </c>
      <c r="AC101" s="2">
        <v>82116.600000000035</v>
      </c>
      <c r="AD101" s="2">
        <v>82138.010000000038</v>
      </c>
      <c r="AE101" s="2">
        <v>82150.760000000038</v>
      </c>
      <c r="AF101" s="3"/>
      <c r="AG101" s="51">
        <f t="shared" si="3"/>
        <v>82150.760000000038</v>
      </c>
      <c r="AH101" s="44">
        <v>81638.399999999994</v>
      </c>
    </row>
    <row r="102" spans="1:34" x14ac:dyDescent="0.35">
      <c r="A102" s="33" t="s">
        <v>108</v>
      </c>
      <c r="B102" s="10">
        <v>82158.499999999913</v>
      </c>
      <c r="C102" s="2">
        <v>82179.909999999916</v>
      </c>
      <c r="D102" s="2">
        <v>82200.839999999909</v>
      </c>
      <c r="E102" s="2">
        <v>82222.409999999916</v>
      </c>
      <c r="F102" s="2">
        <v>82243.419999999911</v>
      </c>
      <c r="G102" s="2">
        <v>82264.799999999916</v>
      </c>
      <c r="H102" s="2">
        <v>82281.799999999916</v>
      </c>
      <c r="I102" s="2">
        <v>82287.289999999921</v>
      </c>
      <c r="J102" s="2">
        <v>82304.059999999925</v>
      </c>
      <c r="K102" s="2">
        <v>82323.999999999927</v>
      </c>
      <c r="L102" s="2">
        <v>82338.699999999924</v>
      </c>
      <c r="M102" s="2">
        <v>82346.92999999992</v>
      </c>
      <c r="N102" s="2">
        <v>82367.739999999918</v>
      </c>
      <c r="O102" s="2">
        <v>82388.739999999918</v>
      </c>
      <c r="P102" s="2">
        <v>82410.189999999915</v>
      </c>
      <c r="Q102" s="2">
        <v>82431.359999999913</v>
      </c>
      <c r="R102" s="2">
        <v>82445.849999999919</v>
      </c>
      <c r="S102" s="2">
        <v>82466.879999999917</v>
      </c>
      <c r="T102" s="2">
        <v>82488.199999999924</v>
      </c>
      <c r="U102" s="2">
        <v>82507.17999999992</v>
      </c>
      <c r="V102" s="2">
        <v>82518.699999999924</v>
      </c>
      <c r="W102" s="2">
        <v>82539.909999999931</v>
      </c>
      <c r="X102" s="2">
        <v>82560.18999999993</v>
      </c>
      <c r="Y102" s="2">
        <v>82575.29999999993</v>
      </c>
      <c r="Z102" s="2">
        <v>82596.209999999934</v>
      </c>
      <c r="AA102" s="2">
        <v>82617.779999999941</v>
      </c>
      <c r="AB102" s="2">
        <v>82634.899999999936</v>
      </c>
      <c r="AC102" s="2">
        <v>82643.219999999943</v>
      </c>
      <c r="AD102" s="2">
        <v>82658.249999999942</v>
      </c>
      <c r="AE102" s="2">
        <v>82678.959999999948</v>
      </c>
      <c r="AF102" s="3"/>
      <c r="AG102" s="51">
        <f t="shared" si="3"/>
        <v>82678.959999999948</v>
      </c>
      <c r="AH102" s="44">
        <v>82136.649999999994</v>
      </c>
    </row>
    <row r="103" spans="1:34" x14ac:dyDescent="0.35">
      <c r="A103" s="33" t="s">
        <v>109</v>
      </c>
      <c r="B103" s="10">
        <v>81094.820000000109</v>
      </c>
      <c r="C103" s="2">
        <v>81116.070000000109</v>
      </c>
      <c r="D103" s="2">
        <v>81137.410000000105</v>
      </c>
      <c r="E103" s="2">
        <v>81155.130000000107</v>
      </c>
      <c r="F103" s="2">
        <v>81169.350000000108</v>
      </c>
      <c r="G103" s="2">
        <v>81191.04000000011</v>
      </c>
      <c r="H103" s="2">
        <v>81211.300000000105</v>
      </c>
      <c r="I103" s="2">
        <v>81231.650000000111</v>
      </c>
      <c r="J103" s="2">
        <v>81248.610000000117</v>
      </c>
      <c r="K103" s="2">
        <v>81269.960000000123</v>
      </c>
      <c r="L103" s="2">
        <v>81291.680000000124</v>
      </c>
      <c r="M103" s="2">
        <v>81306.860000000117</v>
      </c>
      <c r="N103" s="2">
        <v>81324.150000000111</v>
      </c>
      <c r="O103" s="2">
        <v>81341.29000000011</v>
      </c>
      <c r="P103" s="2">
        <v>81342.680000000109</v>
      </c>
      <c r="Q103" s="2">
        <v>81363.900000000111</v>
      </c>
      <c r="R103" s="2">
        <v>81385.090000000113</v>
      </c>
      <c r="S103" s="2">
        <v>81407.260000000111</v>
      </c>
      <c r="T103" s="2">
        <v>81425.380000000107</v>
      </c>
      <c r="U103" s="2">
        <v>81438.0600000001</v>
      </c>
      <c r="V103" s="2">
        <v>81459.250000000102</v>
      </c>
      <c r="W103" s="2">
        <v>81479.870000000097</v>
      </c>
      <c r="X103" s="2">
        <v>81499.020000000091</v>
      </c>
      <c r="Y103" s="2">
        <v>81509.160000000091</v>
      </c>
      <c r="Z103" s="2">
        <v>81530.660000000091</v>
      </c>
      <c r="AA103" s="2">
        <v>81542.120000000097</v>
      </c>
      <c r="AB103" s="2">
        <v>81561.780000000101</v>
      </c>
      <c r="AC103" s="2">
        <v>81583.250000000102</v>
      </c>
      <c r="AD103" s="2">
        <v>81590.340000000098</v>
      </c>
      <c r="AE103" s="2">
        <v>81603.050000000105</v>
      </c>
      <c r="AF103" s="3"/>
      <c r="AG103" s="51">
        <f t="shared" si="3"/>
        <v>81603.050000000105</v>
      </c>
      <c r="AH103" s="44">
        <v>81081.929999999993</v>
      </c>
    </row>
    <row r="104" spans="1:34" x14ac:dyDescent="0.35">
      <c r="A104" s="33" t="s">
        <v>110</v>
      </c>
      <c r="B104" s="10">
        <v>82383.490000000151</v>
      </c>
      <c r="C104" s="2">
        <v>82401.530000000144</v>
      </c>
      <c r="D104" s="2">
        <v>82422.580000000147</v>
      </c>
      <c r="E104" s="2">
        <v>82443.730000000141</v>
      </c>
      <c r="F104" s="2">
        <v>82461.26000000014</v>
      </c>
      <c r="G104" s="2">
        <v>82481.810000000143</v>
      </c>
      <c r="H104" s="2">
        <v>82500.170000000144</v>
      </c>
      <c r="I104" s="2">
        <v>82521.210000000137</v>
      </c>
      <c r="J104" s="2">
        <v>82542.480000000141</v>
      </c>
      <c r="K104" s="2">
        <v>82558.860000000146</v>
      </c>
      <c r="L104" s="2">
        <v>82580.51000000014</v>
      </c>
      <c r="M104" s="2">
        <v>82601.890000000145</v>
      </c>
      <c r="N104" s="2">
        <v>82614.750000000146</v>
      </c>
      <c r="O104" s="2">
        <v>82633.15000000014</v>
      </c>
      <c r="P104" s="2">
        <v>82633.220000000147</v>
      </c>
      <c r="Q104" s="2">
        <v>82633.220000000147</v>
      </c>
      <c r="R104" s="2">
        <v>82633.220000000147</v>
      </c>
      <c r="S104" s="2">
        <v>82633.220000000147</v>
      </c>
      <c r="T104" s="2">
        <v>82643.550000000148</v>
      </c>
      <c r="U104" s="2">
        <v>82658.350000000151</v>
      </c>
      <c r="V104" s="2">
        <v>82679.290000000154</v>
      </c>
      <c r="W104" s="2">
        <v>82696.650000000154</v>
      </c>
      <c r="X104" s="2">
        <v>82714.010000000155</v>
      </c>
      <c r="Y104" s="2">
        <v>82716.560000000158</v>
      </c>
      <c r="Z104" s="2">
        <v>82733.600000000151</v>
      </c>
      <c r="AA104" s="2">
        <v>82754.580000000147</v>
      </c>
      <c r="AB104" s="2">
        <v>82775.720000000147</v>
      </c>
      <c r="AC104" s="2">
        <v>82796.210000000152</v>
      </c>
      <c r="AD104" s="2">
        <v>82817.040000000154</v>
      </c>
      <c r="AE104" s="2">
        <v>82832.300000000148</v>
      </c>
      <c r="AF104" s="3"/>
      <c r="AG104" s="51">
        <f t="shared" si="3"/>
        <v>82832.300000000148</v>
      </c>
      <c r="AH104" s="44">
        <v>82383.490000000005</v>
      </c>
    </row>
    <row r="105" spans="1:34" x14ac:dyDescent="0.35">
      <c r="A105" s="33" t="s">
        <v>111</v>
      </c>
      <c r="B105" s="10">
        <v>74712.350000000049</v>
      </c>
      <c r="C105" s="2">
        <v>74733.850000000049</v>
      </c>
      <c r="D105" s="2">
        <v>74755.230000000054</v>
      </c>
      <c r="E105" s="2">
        <v>74776.880000000048</v>
      </c>
      <c r="F105" s="2">
        <v>74782.820000000051</v>
      </c>
      <c r="G105" s="2">
        <v>74782.820000000051</v>
      </c>
      <c r="H105" s="2">
        <v>74802.130000000048</v>
      </c>
      <c r="I105" s="2">
        <v>74811.070000000051</v>
      </c>
      <c r="J105" s="2">
        <v>74811.080000000045</v>
      </c>
      <c r="K105" s="2">
        <v>74811.080000000045</v>
      </c>
      <c r="L105" s="2">
        <v>74811.080000000045</v>
      </c>
      <c r="M105" s="2">
        <v>74832.21000000005</v>
      </c>
      <c r="N105" s="2">
        <v>74832.21000000005</v>
      </c>
      <c r="O105" s="2">
        <v>74834.21000000005</v>
      </c>
      <c r="P105" s="2">
        <v>74846.290000000052</v>
      </c>
      <c r="Q105" s="2">
        <v>74864.720000000045</v>
      </c>
      <c r="R105" s="2">
        <v>74881.600000000049</v>
      </c>
      <c r="S105" s="2">
        <v>74886.450000000055</v>
      </c>
      <c r="T105" s="2">
        <v>74886.450000000055</v>
      </c>
      <c r="U105" s="2">
        <v>74886.450000000055</v>
      </c>
      <c r="V105" s="2">
        <v>74886.450000000055</v>
      </c>
      <c r="W105" s="2">
        <v>74886.450000000055</v>
      </c>
      <c r="X105" s="2">
        <v>74886.450000000055</v>
      </c>
      <c r="Y105" s="2">
        <v>74886.450000000055</v>
      </c>
      <c r="Z105" s="2">
        <v>74886.450000000055</v>
      </c>
      <c r="AA105" s="2">
        <v>74886.450000000055</v>
      </c>
      <c r="AB105" s="2">
        <v>74886.450000000055</v>
      </c>
      <c r="AC105" s="2">
        <v>74886.450000000055</v>
      </c>
      <c r="AD105" s="2">
        <v>74886.450000000055</v>
      </c>
      <c r="AE105" s="2">
        <v>74886.450000000055</v>
      </c>
      <c r="AF105" s="3"/>
      <c r="AG105" s="51">
        <f t="shared" si="3"/>
        <v>74886.450000000055</v>
      </c>
      <c r="AH105" s="44">
        <v>74690.22</v>
      </c>
    </row>
    <row r="106" spans="1:34" ht="15" thickBot="1" x14ac:dyDescent="0.4">
      <c r="A106" s="34" t="s">
        <v>112</v>
      </c>
      <c r="B106" s="11">
        <v>81908.499999999927</v>
      </c>
      <c r="C106" s="4">
        <v>81920.539999999921</v>
      </c>
      <c r="D106" s="4">
        <v>81941.859999999928</v>
      </c>
      <c r="E106" s="4">
        <v>81958.43999999993</v>
      </c>
      <c r="F106" s="4">
        <v>81973.449999999924</v>
      </c>
      <c r="G106" s="4">
        <v>81990.81999999992</v>
      </c>
      <c r="H106" s="4">
        <v>81992.839999999924</v>
      </c>
      <c r="I106" s="4">
        <v>82014.479999999923</v>
      </c>
      <c r="J106" s="4">
        <v>82036.099999999919</v>
      </c>
      <c r="K106" s="4">
        <v>82057.269999999917</v>
      </c>
      <c r="L106" s="4">
        <v>82078.969999999914</v>
      </c>
      <c r="M106" s="4">
        <v>82100.839999999909</v>
      </c>
      <c r="N106" s="4">
        <v>82122.689999999915</v>
      </c>
      <c r="O106" s="4">
        <v>82144.379999999917</v>
      </c>
      <c r="P106" s="4">
        <v>82163.229999999923</v>
      </c>
      <c r="Q106" s="4">
        <v>82185.18999999993</v>
      </c>
      <c r="R106" s="4">
        <v>82207.569999999934</v>
      </c>
      <c r="S106" s="4">
        <v>82221.41999999994</v>
      </c>
      <c r="T106" s="4">
        <v>82242.999999999942</v>
      </c>
      <c r="U106" s="4">
        <v>82260.989999999947</v>
      </c>
      <c r="V106" s="4">
        <v>82274.809999999954</v>
      </c>
      <c r="W106" s="4">
        <v>82276.329999999958</v>
      </c>
      <c r="X106" s="4">
        <v>82297.099999999962</v>
      </c>
      <c r="Y106" s="4">
        <v>82297.51999999996</v>
      </c>
      <c r="Z106" s="4">
        <v>82297.51999999996</v>
      </c>
      <c r="AA106" s="4">
        <v>82297.51999999996</v>
      </c>
      <c r="AB106" s="4">
        <v>82297.51999999996</v>
      </c>
      <c r="AC106" s="4">
        <v>82298.569999999963</v>
      </c>
      <c r="AD106" s="4">
        <v>82319.869999999966</v>
      </c>
      <c r="AE106" s="4">
        <v>82341.259999999966</v>
      </c>
      <c r="AF106" s="5"/>
      <c r="AG106" s="52">
        <f t="shared" si="3"/>
        <v>82341.259999999966</v>
      </c>
      <c r="AH106" s="44">
        <v>81891.960000000006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45383</v>
      </c>
      <c r="C108" s="46">
        <v>45384</v>
      </c>
      <c r="D108" s="46">
        <v>45385</v>
      </c>
      <c r="E108" s="46">
        <v>45386</v>
      </c>
      <c r="F108" s="46">
        <v>45387</v>
      </c>
      <c r="G108" s="46">
        <v>45388</v>
      </c>
      <c r="H108" s="46">
        <v>45389</v>
      </c>
      <c r="I108" s="46">
        <v>45390</v>
      </c>
      <c r="J108" s="46">
        <v>45391</v>
      </c>
      <c r="K108" s="46">
        <v>45392</v>
      </c>
      <c r="L108" s="46">
        <v>45393</v>
      </c>
      <c r="M108" s="46">
        <v>45394</v>
      </c>
      <c r="N108" s="46">
        <v>45395</v>
      </c>
      <c r="O108" s="46">
        <v>45396</v>
      </c>
      <c r="P108" s="46">
        <v>45397</v>
      </c>
      <c r="Q108" s="46">
        <v>45398</v>
      </c>
      <c r="R108" s="46">
        <v>45399</v>
      </c>
      <c r="S108" s="46">
        <v>45400</v>
      </c>
      <c r="T108" s="46">
        <v>45401</v>
      </c>
      <c r="U108" s="46">
        <v>45402</v>
      </c>
      <c r="V108" s="46">
        <v>45403</v>
      </c>
      <c r="W108" s="46">
        <v>45404</v>
      </c>
      <c r="X108" s="46">
        <v>45405</v>
      </c>
      <c r="Y108" s="46">
        <v>45406</v>
      </c>
      <c r="Z108" s="46">
        <v>45407</v>
      </c>
      <c r="AA108" s="46">
        <v>45408</v>
      </c>
      <c r="AB108" s="46">
        <v>45409</v>
      </c>
      <c r="AC108" s="46">
        <v>45410</v>
      </c>
      <c r="AD108" s="46">
        <v>45411</v>
      </c>
      <c r="AE108" s="46">
        <v>45412</v>
      </c>
      <c r="AF108" s="49"/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18">
        <v>38494.149999999994</v>
      </c>
      <c r="C109" s="14">
        <v>38515.069999999992</v>
      </c>
      <c r="D109" s="14">
        <v>38525.599999999991</v>
      </c>
      <c r="E109" s="14">
        <v>38536.339999999989</v>
      </c>
      <c r="F109" s="14">
        <v>38552.589999999989</v>
      </c>
      <c r="G109" s="14">
        <v>38563.51999999999</v>
      </c>
      <c r="H109" s="14">
        <v>38573.089999999989</v>
      </c>
      <c r="I109" s="14">
        <v>38589.939999999988</v>
      </c>
      <c r="J109" s="14">
        <v>38607.889999999985</v>
      </c>
      <c r="K109" s="14">
        <v>38629.759999999987</v>
      </c>
      <c r="L109" s="14">
        <v>38651.339999999989</v>
      </c>
      <c r="M109" s="14">
        <v>38668.76999999999</v>
      </c>
      <c r="N109" s="14">
        <v>38689.049999999988</v>
      </c>
      <c r="O109" s="14">
        <v>38709.679999999986</v>
      </c>
      <c r="P109" s="14">
        <v>38731.279999999984</v>
      </c>
      <c r="Q109" s="14">
        <v>38752.529999999984</v>
      </c>
      <c r="R109" s="14">
        <v>38766.899999999987</v>
      </c>
      <c r="S109" s="14">
        <v>38787.969999999987</v>
      </c>
      <c r="T109" s="14">
        <v>38789.189999999988</v>
      </c>
      <c r="U109" s="14">
        <v>38789.189999999988</v>
      </c>
      <c r="V109" s="14">
        <v>38789.189999999988</v>
      </c>
      <c r="W109" s="14">
        <v>38789.189999999988</v>
      </c>
      <c r="X109" s="14">
        <v>38808.989999999991</v>
      </c>
      <c r="Y109" s="14">
        <v>38831.01999999999</v>
      </c>
      <c r="Z109" s="14">
        <v>38847.05999999999</v>
      </c>
      <c r="AA109" s="14">
        <v>38868.619999999988</v>
      </c>
      <c r="AB109" s="14">
        <v>38885.959999999985</v>
      </c>
      <c r="AC109" s="14">
        <v>38887.429999999986</v>
      </c>
      <c r="AD109" s="14">
        <v>38909.239999999983</v>
      </c>
      <c r="AE109" s="14">
        <v>38930.539999999986</v>
      </c>
      <c r="AF109" s="22"/>
      <c r="AG109" s="51">
        <f t="shared" ref="AG109:AG124" si="4">MAX(B109:AF109)</f>
        <v>38930.539999999986</v>
      </c>
      <c r="AH109" s="44">
        <v>38473.51</v>
      </c>
    </row>
    <row r="110" spans="1:34" x14ac:dyDescent="0.35">
      <c r="A110" s="26" t="s">
        <v>114</v>
      </c>
      <c r="B110" s="19">
        <v>38507.160000000025</v>
      </c>
      <c r="C110" s="2">
        <v>38518.660000000025</v>
      </c>
      <c r="D110" s="2">
        <v>38539.060000000027</v>
      </c>
      <c r="E110" s="2">
        <v>38550.47000000003</v>
      </c>
      <c r="F110" s="2">
        <v>38572.340000000033</v>
      </c>
      <c r="G110" s="2">
        <v>38591.030000000035</v>
      </c>
      <c r="H110" s="2">
        <v>38604.740000000034</v>
      </c>
      <c r="I110" s="2">
        <v>38623.940000000031</v>
      </c>
      <c r="J110" s="2">
        <v>38642.350000000035</v>
      </c>
      <c r="K110" s="2">
        <v>38659.790000000037</v>
      </c>
      <c r="L110" s="2">
        <v>38681.750000000036</v>
      </c>
      <c r="M110" s="2">
        <v>38700.510000000038</v>
      </c>
      <c r="N110" s="2">
        <v>38722.460000000036</v>
      </c>
      <c r="O110" s="2">
        <v>38742.960000000036</v>
      </c>
      <c r="P110" s="2">
        <v>38764.690000000039</v>
      </c>
      <c r="Q110" s="2">
        <v>38769.850000000042</v>
      </c>
      <c r="R110" s="2">
        <v>38778.080000000045</v>
      </c>
      <c r="S110" s="2">
        <v>38799.690000000046</v>
      </c>
      <c r="T110" s="2">
        <v>38821.000000000044</v>
      </c>
      <c r="U110" s="2">
        <v>38839.510000000046</v>
      </c>
      <c r="V110" s="2">
        <v>38861.230000000047</v>
      </c>
      <c r="W110" s="2">
        <v>38879.89000000005</v>
      </c>
      <c r="X110" s="2">
        <v>38901.650000000052</v>
      </c>
      <c r="Y110" s="2">
        <v>38920.250000000051</v>
      </c>
      <c r="Z110" s="2">
        <v>38941.850000000049</v>
      </c>
      <c r="AA110" s="2">
        <v>38963.150000000052</v>
      </c>
      <c r="AB110" s="2">
        <v>38980.770000000055</v>
      </c>
      <c r="AC110" s="2">
        <v>38996.210000000057</v>
      </c>
      <c r="AD110" s="2">
        <v>39018.120000000061</v>
      </c>
      <c r="AE110" s="2">
        <v>39018.680000000058</v>
      </c>
      <c r="AF110" s="7"/>
      <c r="AG110" s="51">
        <f t="shared" si="4"/>
        <v>39018.680000000058</v>
      </c>
      <c r="AH110" s="44">
        <v>38485.629999999997</v>
      </c>
    </row>
    <row r="111" spans="1:34" x14ac:dyDescent="0.35">
      <c r="A111" s="26" t="s">
        <v>115</v>
      </c>
      <c r="B111" s="19">
        <v>34463.910000000011</v>
      </c>
      <c r="C111" s="2">
        <v>34484.700000000012</v>
      </c>
      <c r="D111" s="2">
        <v>34487.680000000015</v>
      </c>
      <c r="E111" s="2">
        <v>34497.030000000013</v>
      </c>
      <c r="F111" s="2">
        <v>34508.900000000016</v>
      </c>
      <c r="G111" s="2">
        <v>34517.740000000013</v>
      </c>
      <c r="H111" s="2">
        <v>34528.340000000011</v>
      </c>
      <c r="I111" s="2">
        <v>34537.670000000013</v>
      </c>
      <c r="J111" s="2">
        <v>34559.220000000016</v>
      </c>
      <c r="K111" s="2">
        <v>34580.870000000017</v>
      </c>
      <c r="L111" s="2">
        <v>34590.480000000018</v>
      </c>
      <c r="M111" s="2">
        <v>34611.960000000021</v>
      </c>
      <c r="N111" s="2">
        <v>34632.320000000022</v>
      </c>
      <c r="O111" s="2">
        <v>34651.74000000002</v>
      </c>
      <c r="P111" s="2">
        <v>34663.35000000002</v>
      </c>
      <c r="Q111" s="2">
        <v>34663.35000000002</v>
      </c>
      <c r="R111" s="2">
        <v>34663.35000000002</v>
      </c>
      <c r="S111" s="2">
        <v>34668.520000000019</v>
      </c>
      <c r="T111" s="2">
        <v>34684.550000000017</v>
      </c>
      <c r="U111" s="2">
        <v>34699.590000000018</v>
      </c>
      <c r="V111" s="2">
        <v>34709.190000000017</v>
      </c>
      <c r="W111" s="2">
        <v>34717.380000000019</v>
      </c>
      <c r="X111" s="2">
        <v>34727.410000000018</v>
      </c>
      <c r="Y111" s="2">
        <v>34727.410000000018</v>
      </c>
      <c r="Z111" s="2">
        <v>34727.410000000018</v>
      </c>
      <c r="AA111" s="2">
        <v>34727.410000000018</v>
      </c>
      <c r="AB111" s="2">
        <v>34727.410000000018</v>
      </c>
      <c r="AC111" s="2">
        <v>34727.410000000018</v>
      </c>
      <c r="AD111" s="2">
        <v>34727.410000000018</v>
      </c>
      <c r="AE111" s="2">
        <v>34727.410000000018</v>
      </c>
      <c r="AF111" s="7"/>
      <c r="AG111" s="51">
        <f t="shared" si="4"/>
        <v>34727.410000000018</v>
      </c>
      <c r="AH111" s="44">
        <v>34442.129999999997</v>
      </c>
    </row>
    <row r="112" spans="1:34" x14ac:dyDescent="0.35">
      <c r="A112" s="26" t="s">
        <v>116</v>
      </c>
      <c r="B112" s="19">
        <v>33818.079999999936</v>
      </c>
      <c r="C112" s="2">
        <v>33827.579999999936</v>
      </c>
      <c r="D112" s="2">
        <v>33837.369999999937</v>
      </c>
      <c r="E112" s="2">
        <v>33843.749999999935</v>
      </c>
      <c r="F112" s="2">
        <v>33856.679999999935</v>
      </c>
      <c r="G112" s="2">
        <v>33861.009999999937</v>
      </c>
      <c r="H112" s="2">
        <v>33882.499999999935</v>
      </c>
      <c r="I112" s="2">
        <v>33893.369999999937</v>
      </c>
      <c r="J112" s="2">
        <v>33902.98999999994</v>
      </c>
      <c r="K112" s="2">
        <v>33904.659999999938</v>
      </c>
      <c r="L112" s="2">
        <v>33926.519999999939</v>
      </c>
      <c r="M112" s="2">
        <v>33948.539999999935</v>
      </c>
      <c r="N112" s="2">
        <v>33970.389999999934</v>
      </c>
      <c r="O112" s="2">
        <v>33981.909999999931</v>
      </c>
      <c r="P112" s="2">
        <v>34003.709999999934</v>
      </c>
      <c r="Q112" s="2">
        <v>34024.359999999935</v>
      </c>
      <c r="R112" s="2">
        <v>34046.009999999937</v>
      </c>
      <c r="S112" s="2">
        <v>34060.679999999935</v>
      </c>
      <c r="T112" s="2">
        <v>34082.279999999933</v>
      </c>
      <c r="U112" s="2">
        <v>34103.779999999933</v>
      </c>
      <c r="V112" s="2">
        <v>34118.749999999935</v>
      </c>
      <c r="W112" s="2">
        <v>34139.749999999935</v>
      </c>
      <c r="X112" s="2">
        <v>34141.689999999937</v>
      </c>
      <c r="Y112" s="2">
        <v>34154.16999999994</v>
      </c>
      <c r="Z112" s="2">
        <v>34176.019999999939</v>
      </c>
      <c r="AA112" s="2">
        <v>34197.509999999937</v>
      </c>
      <c r="AB112" s="2">
        <v>34219.089999999938</v>
      </c>
      <c r="AC112" s="2">
        <v>34240.939999999937</v>
      </c>
      <c r="AD112" s="2">
        <v>34261.459999999934</v>
      </c>
      <c r="AE112" s="2">
        <v>34281.989999999932</v>
      </c>
      <c r="AF112" s="7"/>
      <c r="AG112" s="51">
        <f t="shared" si="4"/>
        <v>34281.989999999932</v>
      </c>
      <c r="AH112" s="44">
        <v>33796.19</v>
      </c>
    </row>
    <row r="113" spans="1:34" x14ac:dyDescent="0.35">
      <c r="A113" s="26" t="s">
        <v>117</v>
      </c>
      <c r="B113" s="19">
        <v>32835.889999999963</v>
      </c>
      <c r="C113" s="2">
        <v>32857.359999999964</v>
      </c>
      <c r="D113" s="2">
        <v>32866.279999999962</v>
      </c>
      <c r="E113" s="2">
        <v>32886.949999999961</v>
      </c>
      <c r="F113" s="2">
        <v>32908.329999999958</v>
      </c>
      <c r="G113" s="2">
        <v>32929.059999999961</v>
      </c>
      <c r="H113" s="2">
        <v>32949.15999999996</v>
      </c>
      <c r="I113" s="2">
        <v>32970.509999999958</v>
      </c>
      <c r="J113" s="2">
        <v>32992.189999999959</v>
      </c>
      <c r="K113" s="2">
        <v>33012.919999999962</v>
      </c>
      <c r="L113" s="2">
        <v>33033.309999999961</v>
      </c>
      <c r="M113" s="2">
        <v>33054.879999999961</v>
      </c>
      <c r="N113" s="2">
        <v>33076.039999999964</v>
      </c>
      <c r="O113" s="2">
        <v>33089.729999999967</v>
      </c>
      <c r="P113" s="2">
        <v>33089.729999999967</v>
      </c>
      <c r="Q113" s="2">
        <v>33111.439999999966</v>
      </c>
      <c r="R113" s="2">
        <v>33132.559999999969</v>
      </c>
      <c r="S113" s="2">
        <v>33151.449999999968</v>
      </c>
      <c r="T113" s="2">
        <v>33173.13999999997</v>
      </c>
      <c r="U113" s="2">
        <v>33193.189999999973</v>
      </c>
      <c r="V113" s="2">
        <v>33214.77999999997</v>
      </c>
      <c r="W113" s="2">
        <v>33236.20999999997</v>
      </c>
      <c r="X113" s="2">
        <v>33257.539999999972</v>
      </c>
      <c r="Y113" s="2">
        <v>33279.069999999971</v>
      </c>
      <c r="Z113" s="2">
        <v>33299.499999999971</v>
      </c>
      <c r="AA113" s="2">
        <v>33320.839999999967</v>
      </c>
      <c r="AB113" s="2">
        <v>33342.309999999969</v>
      </c>
      <c r="AC113" s="2">
        <v>33363.77999999997</v>
      </c>
      <c r="AD113" s="2">
        <v>33385.659999999967</v>
      </c>
      <c r="AE113" s="2">
        <v>33407.38999999997</v>
      </c>
      <c r="AF113" s="7"/>
      <c r="AG113" s="51">
        <f t="shared" si="4"/>
        <v>33407.38999999997</v>
      </c>
      <c r="AH113" s="44">
        <v>32816.69</v>
      </c>
    </row>
    <row r="114" spans="1:34" x14ac:dyDescent="0.35">
      <c r="A114" s="26" t="s">
        <v>118</v>
      </c>
      <c r="B114" s="19">
        <v>24477.60000000002</v>
      </c>
      <c r="C114" s="2">
        <v>24477.60000000002</v>
      </c>
      <c r="D114" s="2">
        <v>24477.60000000002</v>
      </c>
      <c r="E114" s="2">
        <v>24477.60000000002</v>
      </c>
      <c r="F114" s="2">
        <v>24477.60000000002</v>
      </c>
      <c r="G114" s="2">
        <v>24481.050000000021</v>
      </c>
      <c r="H114" s="2">
        <v>24494.35000000002</v>
      </c>
      <c r="I114" s="2">
        <v>24505.640000000021</v>
      </c>
      <c r="J114" s="2">
        <v>24527.310000000019</v>
      </c>
      <c r="K114" s="2">
        <v>24549.10000000002</v>
      </c>
      <c r="L114" s="2">
        <v>24570.950000000019</v>
      </c>
      <c r="M114" s="2">
        <v>24586.700000000019</v>
      </c>
      <c r="N114" s="2">
        <v>24603.730000000018</v>
      </c>
      <c r="O114" s="2">
        <v>24624.770000000019</v>
      </c>
      <c r="P114" s="2">
        <v>24646.550000000017</v>
      </c>
      <c r="Q114" s="2">
        <v>24668.200000000019</v>
      </c>
      <c r="R114" s="2">
        <v>24682.540000000019</v>
      </c>
      <c r="S114" s="2">
        <v>24704.120000000021</v>
      </c>
      <c r="T114" s="2">
        <v>24725.17000000002</v>
      </c>
      <c r="U114" s="2">
        <v>24745.590000000018</v>
      </c>
      <c r="V114" s="2">
        <v>24765.410000000018</v>
      </c>
      <c r="W114" s="2">
        <v>24787.210000000017</v>
      </c>
      <c r="X114" s="2">
        <v>24808.820000000018</v>
      </c>
      <c r="Y114" s="2">
        <v>24830.600000000017</v>
      </c>
      <c r="Z114" s="2">
        <v>24852.430000000018</v>
      </c>
      <c r="AA114" s="2">
        <v>24874.08000000002</v>
      </c>
      <c r="AB114" s="2">
        <v>24895.540000000019</v>
      </c>
      <c r="AC114" s="2">
        <v>24917.08000000002</v>
      </c>
      <c r="AD114" s="2">
        <v>24938.970000000019</v>
      </c>
      <c r="AE114" s="2">
        <v>24960.110000000019</v>
      </c>
      <c r="AF114" s="7"/>
      <c r="AG114" s="51">
        <f t="shared" si="4"/>
        <v>24960.110000000019</v>
      </c>
      <c r="AH114" s="44">
        <v>24477.599999999999</v>
      </c>
    </row>
    <row r="115" spans="1:34" x14ac:dyDescent="0.35">
      <c r="A115" s="26" t="s">
        <v>119</v>
      </c>
      <c r="B115" s="19">
        <v>23706.899999999994</v>
      </c>
      <c r="C115" s="2">
        <v>23706.899999999994</v>
      </c>
      <c r="D115" s="2">
        <v>23706.899999999994</v>
      </c>
      <c r="E115" s="2">
        <v>23706.899999999994</v>
      </c>
      <c r="F115" s="2">
        <v>23706.899999999994</v>
      </c>
      <c r="G115" s="2">
        <v>23706.899999999994</v>
      </c>
      <c r="H115" s="2">
        <v>23706.899999999994</v>
      </c>
      <c r="I115" s="2">
        <v>23706.899999999994</v>
      </c>
      <c r="J115" s="2">
        <v>23706.899999999994</v>
      </c>
      <c r="K115" s="2">
        <v>23706.899999999994</v>
      </c>
      <c r="L115" s="2">
        <v>23706.899999999994</v>
      </c>
      <c r="M115" s="2">
        <v>23706.899999999994</v>
      </c>
      <c r="N115" s="2">
        <v>23706.899999999994</v>
      </c>
      <c r="O115" s="2">
        <v>23706.899999999994</v>
      </c>
      <c r="P115" s="2">
        <v>23706.899999999994</v>
      </c>
      <c r="Q115" s="2">
        <v>23706.899999999994</v>
      </c>
      <c r="R115" s="2">
        <v>23706.899999999994</v>
      </c>
      <c r="S115" s="2">
        <v>23706.899999999994</v>
      </c>
      <c r="T115" s="2">
        <v>23706.899999999994</v>
      </c>
      <c r="U115" s="2">
        <v>23706.899999999994</v>
      </c>
      <c r="V115" s="2">
        <v>23706.899999999994</v>
      </c>
      <c r="W115" s="2">
        <v>23706.899999999994</v>
      </c>
      <c r="X115" s="2">
        <v>23727.219999999994</v>
      </c>
      <c r="Y115" s="2">
        <v>23748.879999999994</v>
      </c>
      <c r="Z115" s="2">
        <v>23768.419999999995</v>
      </c>
      <c r="AA115" s="2">
        <v>23789.119999999995</v>
      </c>
      <c r="AB115" s="2">
        <v>23804.629999999994</v>
      </c>
      <c r="AC115" s="2">
        <v>23826.039999999994</v>
      </c>
      <c r="AD115" s="2">
        <v>23846.299999999992</v>
      </c>
      <c r="AE115" s="2">
        <v>23866.109999999993</v>
      </c>
      <c r="AF115" s="7"/>
      <c r="AG115" s="51">
        <f t="shared" si="4"/>
        <v>23866.109999999993</v>
      </c>
      <c r="AH115" s="44">
        <v>23706.9</v>
      </c>
    </row>
    <row r="116" spans="1:34" x14ac:dyDescent="0.35">
      <c r="A116" s="26" t="s">
        <v>120</v>
      </c>
      <c r="B116" s="19">
        <v>23596.460000000025</v>
      </c>
      <c r="C116" s="2">
        <v>23617.690000000024</v>
      </c>
      <c r="D116" s="2">
        <v>23638.240000000023</v>
      </c>
      <c r="E116" s="2">
        <v>23659.710000000025</v>
      </c>
      <c r="F116" s="2">
        <v>23666.030000000024</v>
      </c>
      <c r="G116" s="2">
        <v>23687.050000000025</v>
      </c>
      <c r="H116" s="2">
        <v>23706.430000000026</v>
      </c>
      <c r="I116" s="2">
        <v>23728.300000000025</v>
      </c>
      <c r="J116" s="2">
        <v>23749.970000000023</v>
      </c>
      <c r="K116" s="2">
        <v>23771.820000000022</v>
      </c>
      <c r="L116" s="2">
        <v>23793.450000000023</v>
      </c>
      <c r="M116" s="2">
        <v>23815.530000000024</v>
      </c>
      <c r="N116" s="2">
        <v>23837.280000000024</v>
      </c>
      <c r="O116" s="2">
        <v>23857.980000000025</v>
      </c>
      <c r="P116" s="2">
        <v>23879.220000000027</v>
      </c>
      <c r="Q116" s="2">
        <v>23896.940000000028</v>
      </c>
      <c r="R116" s="2">
        <v>23918.700000000026</v>
      </c>
      <c r="S116" s="2">
        <v>23939.990000000027</v>
      </c>
      <c r="T116" s="2">
        <v>23961.200000000026</v>
      </c>
      <c r="U116" s="2">
        <v>23982.110000000026</v>
      </c>
      <c r="V116" s="2">
        <v>24003.420000000027</v>
      </c>
      <c r="W116" s="2">
        <v>24024.160000000029</v>
      </c>
      <c r="X116" s="2">
        <v>24045.840000000029</v>
      </c>
      <c r="Y116" s="2">
        <v>24067.320000000029</v>
      </c>
      <c r="Z116" s="2">
        <v>24088.88000000003</v>
      </c>
      <c r="AA116" s="2">
        <v>24110.620000000032</v>
      </c>
      <c r="AB116" s="2">
        <v>24130.410000000033</v>
      </c>
      <c r="AC116" s="2">
        <v>24152.120000000032</v>
      </c>
      <c r="AD116" s="2">
        <v>24173.860000000033</v>
      </c>
      <c r="AE116" s="2">
        <v>24193.390000000032</v>
      </c>
      <c r="AF116" s="7"/>
      <c r="AG116" s="51">
        <f t="shared" si="4"/>
        <v>24193.390000000032</v>
      </c>
      <c r="AH116" s="44">
        <v>23585.43</v>
      </c>
    </row>
    <row r="117" spans="1:34" x14ac:dyDescent="0.35">
      <c r="A117" s="26" t="s">
        <v>121</v>
      </c>
      <c r="B117" s="19">
        <v>23150.299999999996</v>
      </c>
      <c r="C117" s="2">
        <v>23161.209999999995</v>
      </c>
      <c r="D117" s="2">
        <v>23181.109999999997</v>
      </c>
      <c r="E117" s="2">
        <v>23202.539999999997</v>
      </c>
      <c r="F117" s="2">
        <v>23223.799999999996</v>
      </c>
      <c r="G117" s="2">
        <v>23244.979999999996</v>
      </c>
      <c r="H117" s="2">
        <v>23266.429999999997</v>
      </c>
      <c r="I117" s="2">
        <v>23287.489999999998</v>
      </c>
      <c r="J117" s="2">
        <v>23294.12</v>
      </c>
      <c r="K117" s="2">
        <v>23304.09</v>
      </c>
      <c r="L117" s="2">
        <v>23308.14</v>
      </c>
      <c r="M117" s="2">
        <v>23315.82</v>
      </c>
      <c r="N117" s="2">
        <v>23336.739999999998</v>
      </c>
      <c r="O117" s="2">
        <v>23352.73</v>
      </c>
      <c r="P117" s="2">
        <v>23374.68</v>
      </c>
      <c r="Q117" s="2">
        <v>23389.32</v>
      </c>
      <c r="R117" s="2">
        <v>23411.16</v>
      </c>
      <c r="S117" s="2">
        <v>23433.13</v>
      </c>
      <c r="T117" s="2">
        <v>23447.670000000002</v>
      </c>
      <c r="U117" s="2">
        <v>23469.070000000003</v>
      </c>
      <c r="V117" s="2">
        <v>23490.760000000002</v>
      </c>
      <c r="W117" s="2">
        <v>23512.52</v>
      </c>
      <c r="X117" s="2">
        <v>23533.14</v>
      </c>
      <c r="Y117" s="2">
        <v>23551.22</v>
      </c>
      <c r="Z117" s="2">
        <v>23572.23</v>
      </c>
      <c r="AA117" s="2">
        <v>23593.739999999998</v>
      </c>
      <c r="AB117" s="2">
        <v>23614.98</v>
      </c>
      <c r="AC117" s="2">
        <v>23636.54</v>
      </c>
      <c r="AD117" s="2">
        <v>23656.52</v>
      </c>
      <c r="AE117" s="2">
        <v>23678.29</v>
      </c>
      <c r="AF117" s="7"/>
      <c r="AG117" s="51">
        <f t="shared" si="4"/>
        <v>23678.29</v>
      </c>
      <c r="AH117" s="44">
        <v>23128.37</v>
      </c>
    </row>
    <row r="118" spans="1:34" x14ac:dyDescent="0.35">
      <c r="A118" s="26" t="s">
        <v>122</v>
      </c>
      <c r="B118" s="19">
        <v>4912.619999999999</v>
      </c>
      <c r="C118" s="2">
        <v>4922.4099999999989</v>
      </c>
      <c r="D118" s="2">
        <v>4942.8599999999988</v>
      </c>
      <c r="E118" s="2">
        <v>4964.1599999999989</v>
      </c>
      <c r="F118" s="2">
        <v>4985.0099999999993</v>
      </c>
      <c r="G118" s="2">
        <v>5006.329999999999</v>
      </c>
      <c r="H118" s="2">
        <v>5027.9899999999989</v>
      </c>
      <c r="I118" s="2">
        <v>5049.6999999999989</v>
      </c>
      <c r="J118" s="2">
        <v>5071.5599999999986</v>
      </c>
      <c r="K118" s="2">
        <v>5091.0499999999984</v>
      </c>
      <c r="L118" s="2">
        <v>5106.2199999999984</v>
      </c>
      <c r="M118" s="2">
        <v>5106.2199999999984</v>
      </c>
      <c r="N118" s="2">
        <v>5106.2199999999984</v>
      </c>
      <c r="O118" s="2">
        <v>5122.4999999999982</v>
      </c>
      <c r="P118" s="2">
        <v>5144.5399999999981</v>
      </c>
      <c r="Q118" s="2">
        <v>5165.8599999999979</v>
      </c>
      <c r="R118" s="2">
        <v>5187.1899999999978</v>
      </c>
      <c r="S118" s="2">
        <v>5208.5099999999975</v>
      </c>
      <c r="T118" s="2">
        <v>5229.9599999999973</v>
      </c>
      <c r="U118" s="2">
        <v>5248.9199999999973</v>
      </c>
      <c r="V118" s="2">
        <v>5270.3699999999972</v>
      </c>
      <c r="W118" s="2">
        <v>5292.2299999999968</v>
      </c>
      <c r="X118" s="2">
        <v>5313.5999999999967</v>
      </c>
      <c r="Y118" s="2">
        <v>5335.2299999999968</v>
      </c>
      <c r="Z118" s="2">
        <v>5346.8099999999968</v>
      </c>
      <c r="AA118" s="2">
        <v>5368.6899999999969</v>
      </c>
      <c r="AB118" s="2">
        <v>5390.8299999999972</v>
      </c>
      <c r="AC118" s="2">
        <v>5412.6599999999971</v>
      </c>
      <c r="AD118" s="2">
        <v>5423.8799999999974</v>
      </c>
      <c r="AE118" s="2">
        <v>5445.2599999999975</v>
      </c>
      <c r="AF118" s="7"/>
      <c r="AG118" s="51">
        <f t="shared" si="4"/>
        <v>5445.2599999999975</v>
      </c>
      <c r="AH118" s="44">
        <v>4892.26</v>
      </c>
    </row>
    <row r="119" spans="1:34" x14ac:dyDescent="0.35">
      <c r="A119" s="26" t="s">
        <v>123</v>
      </c>
      <c r="B119" s="19">
        <v>5189.1400000000012</v>
      </c>
      <c r="C119" s="2">
        <v>5205.2600000000011</v>
      </c>
      <c r="D119" s="2">
        <v>5227.0000000000009</v>
      </c>
      <c r="E119" s="2">
        <v>5248.4300000000012</v>
      </c>
      <c r="F119" s="2">
        <v>5262.6400000000012</v>
      </c>
      <c r="G119" s="2">
        <v>5283.8600000000015</v>
      </c>
      <c r="H119" s="2">
        <v>5305.6800000000012</v>
      </c>
      <c r="I119" s="2">
        <v>5327.3900000000012</v>
      </c>
      <c r="J119" s="2">
        <v>5349.2500000000009</v>
      </c>
      <c r="K119" s="2">
        <v>5370.9300000000012</v>
      </c>
      <c r="L119" s="2">
        <v>5392.8000000000011</v>
      </c>
      <c r="M119" s="2">
        <v>5414.6600000000008</v>
      </c>
      <c r="N119" s="2">
        <v>5436.3700000000008</v>
      </c>
      <c r="O119" s="2">
        <v>5457.5800000000008</v>
      </c>
      <c r="P119" s="2">
        <v>5479.4900000000007</v>
      </c>
      <c r="Q119" s="2">
        <v>5501.3400000000011</v>
      </c>
      <c r="R119" s="2">
        <v>5522.8300000000008</v>
      </c>
      <c r="S119" s="2">
        <v>5544.5000000000009</v>
      </c>
      <c r="T119" s="2">
        <v>5566.3100000000013</v>
      </c>
      <c r="U119" s="2">
        <v>5586.1500000000015</v>
      </c>
      <c r="V119" s="2">
        <v>5607.2300000000014</v>
      </c>
      <c r="W119" s="2">
        <v>5629.0900000000011</v>
      </c>
      <c r="X119" s="2">
        <v>5650.6400000000012</v>
      </c>
      <c r="Y119" s="2">
        <v>5670.9400000000014</v>
      </c>
      <c r="Z119" s="2">
        <v>5692.6200000000017</v>
      </c>
      <c r="AA119" s="2">
        <v>5714.6800000000021</v>
      </c>
      <c r="AB119" s="2">
        <v>5717.8600000000024</v>
      </c>
      <c r="AC119" s="2">
        <v>5717.8600000000024</v>
      </c>
      <c r="AD119" s="2">
        <v>5732.1200000000026</v>
      </c>
      <c r="AE119" s="2">
        <v>5752.4800000000023</v>
      </c>
      <c r="AF119" s="7"/>
      <c r="AG119" s="51">
        <f t="shared" si="4"/>
        <v>5752.4800000000023</v>
      </c>
      <c r="AH119" s="44">
        <v>5167.28</v>
      </c>
    </row>
    <row r="120" spans="1:34" x14ac:dyDescent="0.35">
      <c r="A120" s="26" t="s">
        <v>124</v>
      </c>
      <c r="B120" s="19">
        <v>4690.7299999999987</v>
      </c>
      <c r="C120" s="2">
        <v>4709.1099999999988</v>
      </c>
      <c r="D120" s="2">
        <v>4730.4999999999991</v>
      </c>
      <c r="E120" s="2">
        <v>4752.1599999999989</v>
      </c>
      <c r="F120" s="2">
        <v>4773.4599999999991</v>
      </c>
      <c r="G120" s="2">
        <v>4791.6599999999989</v>
      </c>
      <c r="H120" s="2">
        <v>4791.6599999999989</v>
      </c>
      <c r="I120" s="2">
        <v>4794.9299999999994</v>
      </c>
      <c r="J120" s="2">
        <v>4810.869999999999</v>
      </c>
      <c r="K120" s="2">
        <v>4832.119999999999</v>
      </c>
      <c r="L120" s="2">
        <v>4853.5499999999993</v>
      </c>
      <c r="M120" s="2">
        <v>4871.829999999999</v>
      </c>
      <c r="N120" s="2">
        <v>4891.829999999999</v>
      </c>
      <c r="O120" s="2">
        <v>4908.3099999999986</v>
      </c>
      <c r="P120" s="2">
        <v>4930.1699999999983</v>
      </c>
      <c r="Q120" s="2">
        <v>4951.7199999999984</v>
      </c>
      <c r="R120" s="2">
        <v>4973.0799999999981</v>
      </c>
      <c r="S120" s="2">
        <v>4994.6899999999978</v>
      </c>
      <c r="T120" s="2">
        <v>5016.2899999999981</v>
      </c>
      <c r="U120" s="2">
        <v>5037.3399999999983</v>
      </c>
      <c r="V120" s="2">
        <v>5053.9399999999987</v>
      </c>
      <c r="W120" s="2">
        <v>5075.3099999999986</v>
      </c>
      <c r="X120" s="2">
        <v>5096.5499999999984</v>
      </c>
      <c r="Y120" s="2">
        <v>5118.2299999999987</v>
      </c>
      <c r="Z120" s="2">
        <v>5139.9099999999989</v>
      </c>
      <c r="AA120" s="2">
        <v>5161.2899999999991</v>
      </c>
      <c r="AB120" s="2">
        <v>5183.2499999999991</v>
      </c>
      <c r="AC120" s="2">
        <v>5203.8599999999988</v>
      </c>
      <c r="AD120" s="2">
        <v>5217.6599999999989</v>
      </c>
      <c r="AE120" s="2">
        <v>5238.6099999999988</v>
      </c>
      <c r="AF120" s="7"/>
      <c r="AG120" s="51">
        <f t="shared" si="4"/>
        <v>5238.6099999999988</v>
      </c>
      <c r="AH120" s="44">
        <v>4670.34</v>
      </c>
    </row>
    <row r="121" spans="1:34" x14ac:dyDescent="0.35">
      <c r="A121" s="26" t="s">
        <v>125</v>
      </c>
      <c r="B121" s="19">
        <v>2989.1500000000015</v>
      </c>
      <c r="C121" s="2">
        <v>3006.1100000000015</v>
      </c>
      <c r="D121" s="2">
        <v>3026.5800000000013</v>
      </c>
      <c r="E121" s="2">
        <v>3030.1600000000012</v>
      </c>
      <c r="F121" s="2">
        <v>3050.0200000000013</v>
      </c>
      <c r="G121" s="2">
        <v>3070.7500000000014</v>
      </c>
      <c r="H121" s="2">
        <v>3087.8700000000013</v>
      </c>
      <c r="I121" s="2">
        <v>3109.0900000000011</v>
      </c>
      <c r="J121" s="2">
        <v>3130.4100000000012</v>
      </c>
      <c r="K121" s="2">
        <v>3151.9800000000014</v>
      </c>
      <c r="L121" s="2">
        <v>3173.4800000000014</v>
      </c>
      <c r="M121" s="2">
        <v>3195.1500000000015</v>
      </c>
      <c r="N121" s="2">
        <v>3211.7300000000014</v>
      </c>
      <c r="O121" s="2">
        <v>3211.7300000000014</v>
      </c>
      <c r="P121" s="2">
        <v>3222.2700000000013</v>
      </c>
      <c r="Q121" s="2">
        <v>3243.1900000000014</v>
      </c>
      <c r="R121" s="2">
        <v>3264.9100000000012</v>
      </c>
      <c r="S121" s="2">
        <v>3286.8700000000013</v>
      </c>
      <c r="T121" s="2">
        <v>3307.8800000000015</v>
      </c>
      <c r="U121" s="2">
        <v>3316.0200000000013</v>
      </c>
      <c r="V121" s="2">
        <v>3325.6300000000015</v>
      </c>
      <c r="W121" s="2">
        <v>3345.1400000000017</v>
      </c>
      <c r="X121" s="2">
        <v>3366.7300000000018</v>
      </c>
      <c r="Y121" s="2">
        <v>3388.530000000002</v>
      </c>
      <c r="Z121" s="2">
        <v>3410.3600000000019</v>
      </c>
      <c r="AA121" s="2">
        <v>3431.9900000000021</v>
      </c>
      <c r="AB121" s="2">
        <v>3453.550000000002</v>
      </c>
      <c r="AC121" s="2">
        <v>3475.4800000000018</v>
      </c>
      <c r="AD121" s="2">
        <v>3496.6100000000019</v>
      </c>
      <c r="AE121" s="2">
        <v>3511.7900000000018</v>
      </c>
      <c r="AF121" s="7"/>
      <c r="AG121" s="51">
        <f t="shared" si="4"/>
        <v>3511.7900000000018</v>
      </c>
      <c r="AH121" s="44">
        <v>2968.56</v>
      </c>
    </row>
    <row r="122" spans="1:34" x14ac:dyDescent="0.35">
      <c r="A122" s="26" t="s">
        <v>126</v>
      </c>
      <c r="B122" s="19">
        <v>4121.2099999999973</v>
      </c>
      <c r="C122" s="2">
        <v>4134.0199999999977</v>
      </c>
      <c r="D122" s="2">
        <v>4144.239999999998</v>
      </c>
      <c r="E122" s="2">
        <v>4165.5699999999979</v>
      </c>
      <c r="F122" s="2">
        <v>4187.0999999999976</v>
      </c>
      <c r="G122" s="2">
        <v>4208.5199999999977</v>
      </c>
      <c r="H122" s="2">
        <v>4227.0199999999977</v>
      </c>
      <c r="I122" s="2">
        <v>4248.8299999999981</v>
      </c>
      <c r="J122" s="2">
        <v>4270.7899999999981</v>
      </c>
      <c r="K122" s="2">
        <v>4292.7199999999984</v>
      </c>
      <c r="L122" s="2">
        <v>4314.4199999999983</v>
      </c>
      <c r="M122" s="2">
        <v>4335.8299999999981</v>
      </c>
      <c r="N122" s="2">
        <v>4357.5499999999984</v>
      </c>
      <c r="O122" s="2">
        <v>4377.8699999999981</v>
      </c>
      <c r="P122" s="2">
        <v>4398.4999999999982</v>
      </c>
      <c r="Q122" s="2">
        <v>4420.3099999999986</v>
      </c>
      <c r="R122" s="2">
        <v>4441.8199999999988</v>
      </c>
      <c r="S122" s="2">
        <v>4463.5299999999988</v>
      </c>
      <c r="T122" s="2">
        <v>4484.8199999999988</v>
      </c>
      <c r="U122" s="2">
        <v>4506.4099999999989</v>
      </c>
      <c r="V122" s="2">
        <v>4528.3499999999985</v>
      </c>
      <c r="W122" s="2">
        <v>4550.2199999999984</v>
      </c>
      <c r="X122" s="2">
        <v>4570.6299999999983</v>
      </c>
      <c r="Y122" s="2">
        <v>4592.409999999998</v>
      </c>
      <c r="Z122" s="2">
        <v>4614.3899999999976</v>
      </c>
      <c r="AA122" s="2">
        <v>4635.0799999999972</v>
      </c>
      <c r="AB122" s="2">
        <v>4639.5099999999975</v>
      </c>
      <c r="AC122" s="2">
        <v>4661.2199999999975</v>
      </c>
      <c r="AD122" s="2">
        <v>4682.7499999999973</v>
      </c>
      <c r="AE122" s="2">
        <v>4704.3399999999974</v>
      </c>
      <c r="AF122" s="7"/>
      <c r="AG122" s="51">
        <f t="shared" si="4"/>
        <v>4704.3399999999974</v>
      </c>
      <c r="AH122" s="44">
        <v>4100.45</v>
      </c>
    </row>
    <row r="123" spans="1:34" x14ac:dyDescent="0.35">
      <c r="A123" s="26" t="s">
        <v>127</v>
      </c>
      <c r="B123" s="19">
        <v>4335.7599999999993</v>
      </c>
      <c r="C123" s="2">
        <v>4357.0599999999995</v>
      </c>
      <c r="D123" s="2">
        <v>4377.78</v>
      </c>
      <c r="E123" s="2">
        <v>4399.0099999999993</v>
      </c>
      <c r="F123" s="2">
        <v>4415.1899999999996</v>
      </c>
      <c r="G123" s="2">
        <v>4435.53</v>
      </c>
      <c r="H123" s="2">
        <v>4456.9299999999994</v>
      </c>
      <c r="I123" s="2">
        <v>4478.0599999999995</v>
      </c>
      <c r="J123" s="2">
        <v>4499.5399999999991</v>
      </c>
      <c r="K123" s="2">
        <v>4521.2299999999987</v>
      </c>
      <c r="L123" s="2">
        <v>4542.8399999999983</v>
      </c>
      <c r="M123" s="2">
        <v>4557.5199999999986</v>
      </c>
      <c r="N123" s="2">
        <v>4568.6899999999987</v>
      </c>
      <c r="O123" s="2">
        <v>4589.1399999999985</v>
      </c>
      <c r="P123" s="2">
        <v>4596.8699999999981</v>
      </c>
      <c r="Q123" s="2">
        <v>4614.5899999999983</v>
      </c>
      <c r="R123" s="2">
        <v>4631.2899999999981</v>
      </c>
      <c r="S123" s="2">
        <v>4646.8599999999979</v>
      </c>
      <c r="T123" s="2">
        <v>4666.7799999999979</v>
      </c>
      <c r="U123" s="2">
        <v>4689.0499999999984</v>
      </c>
      <c r="V123" s="2">
        <v>4710.2499999999982</v>
      </c>
      <c r="W123" s="2">
        <v>4732.2299999999977</v>
      </c>
      <c r="X123" s="2">
        <v>4754.1899999999978</v>
      </c>
      <c r="Y123" s="2">
        <v>4776.4399999999978</v>
      </c>
      <c r="Z123" s="2">
        <v>4796.8599999999979</v>
      </c>
      <c r="AA123" s="2">
        <v>4818.7299999999977</v>
      </c>
      <c r="AB123" s="2">
        <v>4840.6899999999978</v>
      </c>
      <c r="AC123" s="2">
        <v>4862.6299999999974</v>
      </c>
      <c r="AD123" s="2">
        <v>4864.4799999999977</v>
      </c>
      <c r="AE123" s="2">
        <v>4867.1499999999978</v>
      </c>
      <c r="AF123" s="7"/>
      <c r="AG123" s="51">
        <f t="shared" si="4"/>
        <v>4867.1499999999978</v>
      </c>
      <c r="AH123" s="44">
        <v>4313.6099999999997</v>
      </c>
    </row>
    <row r="124" spans="1:34" ht="15" thickBot="1" x14ac:dyDescent="0.4">
      <c r="A124" s="36" t="s">
        <v>128</v>
      </c>
      <c r="B124" s="20">
        <v>4151.7099999999982</v>
      </c>
      <c r="C124" s="4">
        <v>4167.5599999999986</v>
      </c>
      <c r="D124" s="4">
        <v>4188.5299999999988</v>
      </c>
      <c r="E124" s="4">
        <v>4209.9399999999987</v>
      </c>
      <c r="F124" s="4">
        <v>4230.9599999999991</v>
      </c>
      <c r="G124" s="4">
        <v>4247.3099999999995</v>
      </c>
      <c r="H124" s="4">
        <v>4265.0099999999993</v>
      </c>
      <c r="I124" s="4">
        <v>4271.6599999999989</v>
      </c>
      <c r="J124" s="4">
        <v>4290.2799999999988</v>
      </c>
      <c r="K124" s="4">
        <v>4312.0199999999986</v>
      </c>
      <c r="L124" s="4">
        <v>4333.9599999999982</v>
      </c>
      <c r="M124" s="4">
        <v>4355.8699999999981</v>
      </c>
      <c r="N124" s="4">
        <v>4377.5099999999984</v>
      </c>
      <c r="O124" s="4">
        <v>4398.9199999999983</v>
      </c>
      <c r="P124" s="4">
        <v>4420.4799999999987</v>
      </c>
      <c r="Q124" s="4">
        <v>4441.9799999999987</v>
      </c>
      <c r="R124" s="4">
        <v>4454.2699999999986</v>
      </c>
      <c r="S124" s="4">
        <v>4473.6099999999988</v>
      </c>
      <c r="T124" s="4">
        <v>4495.5499999999984</v>
      </c>
      <c r="U124" s="4">
        <v>4517.1799999999985</v>
      </c>
      <c r="V124" s="4">
        <v>4537.7499999999982</v>
      </c>
      <c r="W124" s="4">
        <v>4559.3299999999981</v>
      </c>
      <c r="X124" s="4">
        <v>4581.2499999999982</v>
      </c>
      <c r="Y124" s="4">
        <v>4603.1499999999978</v>
      </c>
      <c r="Z124" s="4">
        <v>4625.3799999999974</v>
      </c>
      <c r="AA124" s="4">
        <v>4647.4899999999971</v>
      </c>
      <c r="AB124" s="4">
        <v>4669.4499999999971</v>
      </c>
      <c r="AC124" s="4">
        <v>4691.5999999999967</v>
      </c>
      <c r="AD124" s="4">
        <v>4712.6799999999967</v>
      </c>
      <c r="AE124" s="4">
        <v>4734.4299999999967</v>
      </c>
      <c r="AF124" s="8"/>
      <c r="AG124" s="52">
        <f t="shared" si="4"/>
        <v>4734.4299999999967</v>
      </c>
      <c r="AH124" s="44">
        <v>4129.4399999999996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45383</v>
      </c>
      <c r="C126" s="46">
        <v>45384</v>
      </c>
      <c r="D126" s="46">
        <v>45385</v>
      </c>
      <c r="E126" s="46">
        <v>45386</v>
      </c>
      <c r="F126" s="46">
        <v>45387</v>
      </c>
      <c r="G126" s="46">
        <v>45388</v>
      </c>
      <c r="H126" s="46">
        <v>45389</v>
      </c>
      <c r="I126" s="46">
        <v>45390</v>
      </c>
      <c r="J126" s="46">
        <v>45391</v>
      </c>
      <c r="K126" s="46">
        <v>45392</v>
      </c>
      <c r="L126" s="46">
        <v>45393</v>
      </c>
      <c r="M126" s="46">
        <v>45394</v>
      </c>
      <c r="N126" s="46">
        <v>45395</v>
      </c>
      <c r="O126" s="46">
        <v>45396</v>
      </c>
      <c r="P126" s="46">
        <v>45397</v>
      </c>
      <c r="Q126" s="46">
        <v>45398</v>
      </c>
      <c r="R126" s="46">
        <v>45399</v>
      </c>
      <c r="S126" s="46">
        <v>45400</v>
      </c>
      <c r="T126" s="46">
        <v>45401</v>
      </c>
      <c r="U126" s="46">
        <v>45402</v>
      </c>
      <c r="V126" s="46">
        <v>45403</v>
      </c>
      <c r="W126" s="46">
        <v>45404</v>
      </c>
      <c r="X126" s="46">
        <v>45405</v>
      </c>
      <c r="Y126" s="46">
        <v>45406</v>
      </c>
      <c r="Z126" s="46">
        <v>45407</v>
      </c>
      <c r="AA126" s="46">
        <v>45408</v>
      </c>
      <c r="AB126" s="46">
        <v>45409</v>
      </c>
      <c r="AC126" s="46">
        <v>45410</v>
      </c>
      <c r="AD126" s="46">
        <v>45411</v>
      </c>
      <c r="AE126" s="46">
        <v>45412</v>
      </c>
      <c r="AF126" s="46"/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19">
        <v>87482</v>
      </c>
      <c r="C127" s="2">
        <v>87482</v>
      </c>
      <c r="D127" s="2">
        <v>87482</v>
      </c>
      <c r="E127" s="2">
        <v>87482</v>
      </c>
      <c r="F127" s="2">
        <v>87482</v>
      </c>
      <c r="G127" s="2">
        <v>87482</v>
      </c>
      <c r="H127" s="2">
        <v>87482</v>
      </c>
      <c r="I127" s="2">
        <v>87482</v>
      </c>
      <c r="J127" s="2">
        <v>87482</v>
      </c>
      <c r="K127" s="2">
        <v>87482</v>
      </c>
      <c r="L127" s="2">
        <v>87482</v>
      </c>
      <c r="M127" s="2">
        <v>87482</v>
      </c>
      <c r="N127" s="2">
        <v>87482</v>
      </c>
      <c r="O127" s="2">
        <v>87482</v>
      </c>
      <c r="P127" s="2">
        <v>87482</v>
      </c>
      <c r="Q127" s="2">
        <v>87482</v>
      </c>
      <c r="R127" s="2">
        <v>87482</v>
      </c>
      <c r="S127" s="2">
        <v>87482</v>
      </c>
      <c r="T127" s="2">
        <v>87482</v>
      </c>
      <c r="U127" s="2">
        <v>87482</v>
      </c>
      <c r="V127" s="2">
        <v>87482</v>
      </c>
      <c r="W127" s="2">
        <v>87482</v>
      </c>
      <c r="X127" s="2">
        <v>87482</v>
      </c>
      <c r="Y127" s="2">
        <v>87482</v>
      </c>
      <c r="Z127" s="2">
        <v>87482</v>
      </c>
      <c r="AA127" s="2">
        <v>87482</v>
      </c>
      <c r="AB127" s="2">
        <v>87482</v>
      </c>
      <c r="AC127" s="2">
        <v>87482</v>
      </c>
      <c r="AD127" s="2">
        <v>87482</v>
      </c>
      <c r="AE127" s="2">
        <v>87482</v>
      </c>
      <c r="AF127" s="7"/>
      <c r="AG127" s="54">
        <f t="shared" ref="AG127:AG163" si="5">MAX(B127:AF127)</f>
        <v>87482</v>
      </c>
      <c r="AH127" s="44">
        <v>87482</v>
      </c>
    </row>
    <row r="128" spans="1:34" x14ac:dyDescent="0.35">
      <c r="A128" s="40" t="s">
        <v>297</v>
      </c>
      <c r="B128" s="18">
        <v>111455</v>
      </c>
      <c r="C128" s="14">
        <v>111455</v>
      </c>
      <c r="D128" s="14">
        <v>111455</v>
      </c>
      <c r="E128" s="14">
        <v>111455</v>
      </c>
      <c r="F128" s="14">
        <v>111455</v>
      </c>
      <c r="G128" s="14">
        <v>111455</v>
      </c>
      <c r="H128" s="14">
        <v>111455</v>
      </c>
      <c r="I128" s="14">
        <v>111455</v>
      </c>
      <c r="J128" s="14">
        <v>111461</v>
      </c>
      <c r="K128" s="14">
        <v>111462</v>
      </c>
      <c r="L128" s="14">
        <v>111473</v>
      </c>
      <c r="M128" s="14">
        <v>111473</v>
      </c>
      <c r="N128" s="14">
        <v>111473</v>
      </c>
      <c r="O128" s="14">
        <v>111482</v>
      </c>
      <c r="P128" s="14">
        <v>111498.9</v>
      </c>
      <c r="Q128" s="14">
        <v>111506.5</v>
      </c>
      <c r="R128" s="14">
        <v>111510.2</v>
      </c>
      <c r="S128" s="14">
        <v>111514.9</v>
      </c>
      <c r="T128" s="14">
        <v>111514.9</v>
      </c>
      <c r="U128" s="14">
        <v>111514.9</v>
      </c>
      <c r="V128" s="14">
        <v>111519.09999999999</v>
      </c>
      <c r="W128" s="14">
        <v>111519.09999999999</v>
      </c>
      <c r="X128" s="14">
        <v>111520.7</v>
      </c>
      <c r="Y128" s="14">
        <v>111520.7</v>
      </c>
      <c r="Z128" s="14">
        <v>111540.5</v>
      </c>
      <c r="AA128" s="14">
        <v>111540.5</v>
      </c>
      <c r="AB128" s="14">
        <v>111540.5</v>
      </c>
      <c r="AC128" s="14">
        <v>111565.2</v>
      </c>
      <c r="AD128" s="14">
        <v>111574.59999999999</v>
      </c>
      <c r="AE128" s="14">
        <v>111598</v>
      </c>
      <c r="AF128" s="22"/>
      <c r="AG128" s="53">
        <f t="shared" si="5"/>
        <v>111598</v>
      </c>
      <c r="AH128" s="44">
        <v>111397</v>
      </c>
    </row>
    <row r="129" spans="1:34" x14ac:dyDescent="0.35">
      <c r="A129" s="27" t="s">
        <v>271</v>
      </c>
      <c r="B129" s="19">
        <v>104167.2</v>
      </c>
      <c r="C129" s="2">
        <v>104167.2</v>
      </c>
      <c r="D129" s="2">
        <v>104167.2</v>
      </c>
      <c r="E129" s="2">
        <v>104167.2</v>
      </c>
      <c r="F129" s="2">
        <v>104167.2</v>
      </c>
      <c r="G129" s="2">
        <v>104167.2</v>
      </c>
      <c r="H129" s="2">
        <v>104167.2</v>
      </c>
      <c r="I129" s="2">
        <v>104167.2</v>
      </c>
      <c r="J129" s="2">
        <v>104167.2</v>
      </c>
      <c r="K129" s="2">
        <v>104167.2</v>
      </c>
      <c r="L129" s="2">
        <v>104167.2</v>
      </c>
      <c r="M129" s="2">
        <v>104167.2</v>
      </c>
      <c r="N129" s="2">
        <v>104167.2</v>
      </c>
      <c r="O129" s="2">
        <v>104167.2</v>
      </c>
      <c r="P129" s="2">
        <v>104167.2</v>
      </c>
      <c r="Q129" s="2">
        <v>104167.2</v>
      </c>
      <c r="R129" s="2">
        <v>104167.2</v>
      </c>
      <c r="S129" s="2">
        <v>104167.2</v>
      </c>
      <c r="T129" s="2">
        <v>104167.2</v>
      </c>
      <c r="U129" s="2">
        <v>104167.2</v>
      </c>
      <c r="V129" s="2">
        <v>104167.2</v>
      </c>
      <c r="W129" s="2">
        <v>104167.2</v>
      </c>
      <c r="X129" s="2">
        <v>104167.2</v>
      </c>
      <c r="Y129" s="2">
        <v>104167.2</v>
      </c>
      <c r="Z129" s="2">
        <v>104167.2</v>
      </c>
      <c r="AA129" s="2">
        <v>104167.2</v>
      </c>
      <c r="AB129" s="2">
        <v>104167.2</v>
      </c>
      <c r="AC129" s="2">
        <v>104167.2</v>
      </c>
      <c r="AD129" s="2">
        <v>104167.2</v>
      </c>
      <c r="AE129" s="2">
        <v>104167.2</v>
      </c>
      <c r="AF129" s="7"/>
      <c r="AG129" s="9">
        <f t="shared" si="5"/>
        <v>104167.2</v>
      </c>
      <c r="AH129" s="44">
        <v>104167.2</v>
      </c>
    </row>
    <row r="130" spans="1:34" x14ac:dyDescent="0.35">
      <c r="A130" s="27" t="s">
        <v>274</v>
      </c>
      <c r="B130" s="19">
        <v>102824.7</v>
      </c>
      <c r="C130" s="19">
        <v>102824.7</v>
      </c>
      <c r="D130" s="19">
        <v>102824.7</v>
      </c>
      <c r="E130" s="19">
        <v>102824.7</v>
      </c>
      <c r="F130" s="19">
        <v>102824.7</v>
      </c>
      <c r="G130" s="19">
        <v>102824.7</v>
      </c>
      <c r="H130" s="19">
        <v>102824.7</v>
      </c>
      <c r="I130" s="19">
        <v>102824.7</v>
      </c>
      <c r="J130" s="19">
        <v>102824.7</v>
      </c>
      <c r="K130" s="19">
        <v>102824.7</v>
      </c>
      <c r="L130" s="19">
        <v>102824.7</v>
      </c>
      <c r="M130" s="19">
        <v>102824.7</v>
      </c>
      <c r="N130" s="19">
        <v>102824.7</v>
      </c>
      <c r="O130" s="19">
        <v>102824.7</v>
      </c>
      <c r="P130" s="19">
        <v>102824.7</v>
      </c>
      <c r="Q130" s="19">
        <v>102824.7</v>
      </c>
      <c r="R130" s="19">
        <v>102824.7</v>
      </c>
      <c r="S130" s="19">
        <v>102824.7</v>
      </c>
      <c r="T130" s="19">
        <v>102824.7</v>
      </c>
      <c r="U130" s="19">
        <v>102824.7</v>
      </c>
      <c r="V130" s="19">
        <v>102824.7</v>
      </c>
      <c r="W130" s="19">
        <v>102824.7</v>
      </c>
      <c r="X130" s="19">
        <v>102824.7</v>
      </c>
      <c r="Y130" s="19">
        <v>102824.7</v>
      </c>
      <c r="Z130" s="19">
        <v>102824.7</v>
      </c>
      <c r="AA130" s="19">
        <v>102824.7</v>
      </c>
      <c r="AB130" s="19">
        <v>102824.7</v>
      </c>
      <c r="AC130" s="19">
        <v>102824.7</v>
      </c>
      <c r="AD130" s="19">
        <v>102824.7</v>
      </c>
      <c r="AE130" s="19">
        <v>102824.7</v>
      </c>
      <c r="AF130" s="7"/>
      <c r="AG130" s="9">
        <f t="shared" si="5"/>
        <v>102824.7</v>
      </c>
      <c r="AH130" s="44">
        <v>102819.54</v>
      </c>
    </row>
    <row r="131" spans="1:34" x14ac:dyDescent="0.35">
      <c r="A131" s="27" t="s">
        <v>272</v>
      </c>
      <c r="B131" s="19">
        <v>102048.18999999999</v>
      </c>
      <c r="C131" s="2">
        <v>102048.18999999999</v>
      </c>
      <c r="D131" s="2">
        <v>102048.18999999999</v>
      </c>
      <c r="E131" s="2">
        <v>102048.18999999999</v>
      </c>
      <c r="F131" s="2">
        <v>102048.18999999999</v>
      </c>
      <c r="G131" s="2">
        <v>102048.18999999999</v>
      </c>
      <c r="H131" s="2">
        <v>102048.18999999999</v>
      </c>
      <c r="I131" s="2">
        <v>102048.18999999999</v>
      </c>
      <c r="J131" s="2">
        <v>102048.18999999999</v>
      </c>
      <c r="K131" s="2">
        <v>102048.18999999999</v>
      </c>
      <c r="L131" s="2">
        <v>102048.18999999999</v>
      </c>
      <c r="M131" s="2">
        <v>102048.18999999999</v>
      </c>
      <c r="N131" s="2">
        <v>102048.18999999999</v>
      </c>
      <c r="O131" s="2">
        <v>102048.18999999999</v>
      </c>
      <c r="P131" s="2">
        <v>102048.18999999999</v>
      </c>
      <c r="Q131" s="2">
        <v>102048.18999999999</v>
      </c>
      <c r="R131" s="2">
        <v>102048.18999999999</v>
      </c>
      <c r="S131" s="2">
        <v>102048.18999999999</v>
      </c>
      <c r="T131" s="2">
        <v>102048.18999999999</v>
      </c>
      <c r="U131" s="2">
        <v>102048.18999999999</v>
      </c>
      <c r="V131" s="2">
        <v>102048.18999999999</v>
      </c>
      <c r="W131" s="2">
        <v>102048.18999999999</v>
      </c>
      <c r="X131" s="2">
        <v>102048.18999999999</v>
      </c>
      <c r="Y131" s="2">
        <v>102048.18999999999</v>
      </c>
      <c r="Z131" s="2">
        <v>102048.18999999999</v>
      </c>
      <c r="AA131" s="2">
        <v>102048.18999999999</v>
      </c>
      <c r="AB131" s="2">
        <v>102048.18999999999</v>
      </c>
      <c r="AC131" s="2">
        <v>102048.18999999999</v>
      </c>
      <c r="AD131" s="2">
        <v>102048.18999999999</v>
      </c>
      <c r="AE131" s="2">
        <v>102048.18999999999</v>
      </c>
      <c r="AF131" s="2"/>
      <c r="AG131" s="9">
        <f t="shared" si="5"/>
        <v>102048.18999999999</v>
      </c>
      <c r="AH131" s="44">
        <v>102048.19</v>
      </c>
    </row>
    <row r="132" spans="1:34" x14ac:dyDescent="0.35">
      <c r="A132" s="27" t="s">
        <v>285</v>
      </c>
      <c r="B132" s="19">
        <v>101476.09999999999</v>
      </c>
      <c r="C132" s="2">
        <v>101476.09999999999</v>
      </c>
      <c r="D132" s="2">
        <v>101476.09999999999</v>
      </c>
      <c r="E132" s="2">
        <v>101476.09999999999</v>
      </c>
      <c r="F132" s="2">
        <v>101476.09999999999</v>
      </c>
      <c r="G132" s="2">
        <v>101476.09999999999</v>
      </c>
      <c r="H132" s="2">
        <v>101476.09999999999</v>
      </c>
      <c r="I132" s="2">
        <v>101476.09999999999</v>
      </c>
      <c r="J132" s="2">
        <v>101476.09999999999</v>
      </c>
      <c r="K132" s="2">
        <v>101476.09999999999</v>
      </c>
      <c r="L132" s="2">
        <v>101476.09999999999</v>
      </c>
      <c r="M132" s="2">
        <v>101476.09999999999</v>
      </c>
      <c r="N132" s="2">
        <v>101476.09999999999</v>
      </c>
      <c r="O132" s="2">
        <v>101476.09999999999</v>
      </c>
      <c r="P132" s="2">
        <v>101476.09999999999</v>
      </c>
      <c r="Q132" s="2">
        <v>101476.09999999999</v>
      </c>
      <c r="R132" s="2">
        <v>101476.09999999999</v>
      </c>
      <c r="S132" s="2">
        <v>101476.09999999999</v>
      </c>
      <c r="T132" s="2">
        <v>101476.09999999999</v>
      </c>
      <c r="U132" s="2">
        <v>101476.09999999999</v>
      </c>
      <c r="V132" s="2">
        <v>101476.09999999999</v>
      </c>
      <c r="W132" s="2">
        <v>101476.09999999999</v>
      </c>
      <c r="X132" s="2">
        <v>101476.09999999999</v>
      </c>
      <c r="Y132" s="2">
        <v>101476.09999999999</v>
      </c>
      <c r="Z132" s="2">
        <v>101476.09999999999</v>
      </c>
      <c r="AA132" s="2">
        <v>101476.09999999999</v>
      </c>
      <c r="AB132" s="2">
        <v>101476.09999999999</v>
      </c>
      <c r="AC132" s="2">
        <v>101476.09999999999</v>
      </c>
      <c r="AD132" s="2">
        <v>101476.09999999999</v>
      </c>
      <c r="AE132" s="2">
        <v>101476.09999999999</v>
      </c>
      <c r="AF132" s="7"/>
      <c r="AG132" s="9">
        <f t="shared" si="5"/>
        <v>101476.09999999999</v>
      </c>
      <c r="AH132" s="44">
        <v>101476.1</v>
      </c>
    </row>
    <row r="133" spans="1:34" x14ac:dyDescent="0.35">
      <c r="A133" s="27" t="s">
        <v>306</v>
      </c>
      <c r="B133" s="19">
        <v>100866.39000000003</v>
      </c>
      <c r="C133" s="2">
        <v>100866.39000000003</v>
      </c>
      <c r="D133" s="2">
        <v>100866.39000000003</v>
      </c>
      <c r="E133" s="2">
        <v>100866.39000000003</v>
      </c>
      <c r="F133" s="2">
        <v>100866.39000000003</v>
      </c>
      <c r="G133" s="2">
        <v>100866.39000000003</v>
      </c>
      <c r="H133" s="2">
        <v>100866.39000000003</v>
      </c>
      <c r="I133" s="2">
        <v>100866.39000000003</v>
      </c>
      <c r="J133" s="2">
        <v>100866.39000000003</v>
      </c>
      <c r="K133" s="2">
        <v>100866.39000000003</v>
      </c>
      <c r="L133" s="2">
        <v>100866.39000000003</v>
      </c>
      <c r="M133" s="2">
        <v>100866.39000000003</v>
      </c>
      <c r="N133" s="2">
        <v>100866.39000000003</v>
      </c>
      <c r="O133" s="2">
        <v>100866.39000000003</v>
      </c>
      <c r="P133" s="2">
        <v>100866.39000000003</v>
      </c>
      <c r="Q133" s="2">
        <v>100866.39000000003</v>
      </c>
      <c r="R133" s="2">
        <v>100866.39000000003</v>
      </c>
      <c r="S133" s="2">
        <v>100866.39000000003</v>
      </c>
      <c r="T133" s="2">
        <v>100866.39000000003</v>
      </c>
      <c r="U133" s="2">
        <v>100866.39000000003</v>
      </c>
      <c r="V133" s="2">
        <v>100866.39000000003</v>
      </c>
      <c r="W133" s="2">
        <v>100866.39000000003</v>
      </c>
      <c r="X133" s="2">
        <v>100866.39000000003</v>
      </c>
      <c r="Y133" s="2">
        <v>100866.39000000003</v>
      </c>
      <c r="Z133" s="2">
        <v>100866.39000000003</v>
      </c>
      <c r="AA133" s="2">
        <v>100866.39000000003</v>
      </c>
      <c r="AB133" s="2">
        <v>100866.39000000003</v>
      </c>
      <c r="AC133" s="2">
        <v>100866.39000000003</v>
      </c>
      <c r="AD133" s="2">
        <v>100866.39000000003</v>
      </c>
      <c r="AE133" s="2">
        <v>100866.39000000003</v>
      </c>
      <c r="AF133" s="7"/>
      <c r="AG133" s="9">
        <f t="shared" si="5"/>
        <v>100866.39000000003</v>
      </c>
      <c r="AH133" s="44">
        <v>100866.39</v>
      </c>
    </row>
    <row r="134" spans="1:34" x14ac:dyDescent="0.35">
      <c r="A134" s="28" t="s">
        <v>308</v>
      </c>
      <c r="B134" s="23">
        <v>101852.22</v>
      </c>
      <c r="C134" s="24">
        <v>101852.22</v>
      </c>
      <c r="D134" s="24">
        <v>101852.22</v>
      </c>
      <c r="E134" s="24">
        <v>101852.22</v>
      </c>
      <c r="F134" s="24">
        <v>101852.22</v>
      </c>
      <c r="G134" s="24">
        <v>101852.22</v>
      </c>
      <c r="H134" s="24">
        <v>101852.22</v>
      </c>
      <c r="I134" s="24">
        <v>101852.22</v>
      </c>
      <c r="J134" s="24">
        <v>101852.22</v>
      </c>
      <c r="K134" s="24">
        <v>101852.22</v>
      </c>
      <c r="L134" s="24">
        <v>101852.22</v>
      </c>
      <c r="M134" s="24">
        <v>101852.22</v>
      </c>
      <c r="N134" s="24">
        <v>101852.22</v>
      </c>
      <c r="O134" s="24">
        <v>101852.22</v>
      </c>
      <c r="P134" s="24">
        <v>101852.22</v>
      </c>
      <c r="Q134" s="24">
        <v>101852.22</v>
      </c>
      <c r="R134" s="24">
        <v>101852.22</v>
      </c>
      <c r="S134" s="24">
        <v>101852.22</v>
      </c>
      <c r="T134" s="24">
        <v>101852.22</v>
      </c>
      <c r="U134" s="24">
        <v>101852.22</v>
      </c>
      <c r="V134" s="24">
        <v>101852.22</v>
      </c>
      <c r="W134" s="24">
        <v>101852.22</v>
      </c>
      <c r="X134" s="24">
        <v>101852.22</v>
      </c>
      <c r="Y134" s="24">
        <v>101852.22</v>
      </c>
      <c r="Z134" s="24">
        <v>101852.22</v>
      </c>
      <c r="AA134" s="24">
        <v>101852.22</v>
      </c>
      <c r="AB134" s="24">
        <v>101852.22</v>
      </c>
      <c r="AC134" s="24">
        <v>101852.22</v>
      </c>
      <c r="AD134" s="24">
        <v>101852.22</v>
      </c>
      <c r="AE134" s="24">
        <v>101852.22</v>
      </c>
      <c r="AF134" s="25"/>
      <c r="AG134" s="9">
        <f t="shared" si="5"/>
        <v>101852.22</v>
      </c>
      <c r="AH134" s="44">
        <v>101852.22</v>
      </c>
    </row>
    <row r="135" spans="1:34" ht="15" thickBot="1" x14ac:dyDescent="0.4">
      <c r="A135" s="27" t="s">
        <v>307</v>
      </c>
      <c r="B135" s="19">
        <v>102275.73000000001</v>
      </c>
      <c r="C135" s="2">
        <v>102275.73000000001</v>
      </c>
      <c r="D135" s="2">
        <v>102275.73000000001</v>
      </c>
      <c r="E135" s="2">
        <v>102275.73000000001</v>
      </c>
      <c r="F135" s="2">
        <v>102275.73000000001</v>
      </c>
      <c r="G135" s="2">
        <v>102275.73000000001</v>
      </c>
      <c r="H135" s="2">
        <v>102275.73000000001</v>
      </c>
      <c r="I135" s="2">
        <v>102275.73000000001</v>
      </c>
      <c r="J135" s="2">
        <v>102275.73000000001</v>
      </c>
      <c r="K135" s="2">
        <v>102275.73000000001</v>
      </c>
      <c r="L135" s="2">
        <v>102275.73000000001</v>
      </c>
      <c r="M135" s="2">
        <v>102275.73000000001</v>
      </c>
      <c r="N135" s="2">
        <v>102275.73000000001</v>
      </c>
      <c r="O135" s="2">
        <v>102275.73000000001</v>
      </c>
      <c r="P135" s="2">
        <v>102275.73000000001</v>
      </c>
      <c r="Q135" s="2">
        <v>102275.73000000001</v>
      </c>
      <c r="R135" s="2">
        <v>102275.73000000001</v>
      </c>
      <c r="S135" s="2">
        <v>102275.73000000001</v>
      </c>
      <c r="T135" s="2">
        <v>102275.73000000001</v>
      </c>
      <c r="U135" s="2">
        <v>102275.73000000001</v>
      </c>
      <c r="V135" s="2">
        <v>102275.73000000001</v>
      </c>
      <c r="W135" s="2">
        <v>102275.73000000001</v>
      </c>
      <c r="X135" s="2">
        <v>102275.73000000001</v>
      </c>
      <c r="Y135" s="2">
        <v>102275.73000000001</v>
      </c>
      <c r="Z135" s="2">
        <v>102275.73000000001</v>
      </c>
      <c r="AA135" s="2">
        <v>102275.73000000001</v>
      </c>
      <c r="AB135" s="2">
        <v>102275.73000000001</v>
      </c>
      <c r="AC135" s="2">
        <v>102275.73000000001</v>
      </c>
      <c r="AD135" s="2">
        <v>102275.73000000001</v>
      </c>
      <c r="AE135" s="2">
        <v>102275.73000000001</v>
      </c>
      <c r="AF135" s="2"/>
      <c r="AG135" s="16">
        <f t="shared" si="5"/>
        <v>102275.73000000001</v>
      </c>
      <c r="AH135" s="44">
        <v>102275.73</v>
      </c>
    </row>
    <row r="136" spans="1:34" x14ac:dyDescent="0.35">
      <c r="A136" s="29" t="s">
        <v>273</v>
      </c>
      <c r="B136" s="267">
        <v>112344.72</v>
      </c>
      <c r="C136" s="268">
        <v>112344.72</v>
      </c>
      <c r="D136" s="268">
        <v>112344.72</v>
      </c>
      <c r="E136" s="268">
        <v>112344.72</v>
      </c>
      <c r="F136" s="268">
        <v>112344.72</v>
      </c>
      <c r="G136" s="268">
        <v>112344.72</v>
      </c>
      <c r="H136" s="268">
        <v>112344.72</v>
      </c>
      <c r="I136" s="268">
        <v>112344.72</v>
      </c>
      <c r="J136" s="268">
        <v>112344.72</v>
      </c>
      <c r="K136" s="268">
        <v>112344.72</v>
      </c>
      <c r="L136" s="268">
        <v>112344.72</v>
      </c>
      <c r="M136" s="268">
        <v>112344.72</v>
      </c>
      <c r="N136" s="268">
        <v>112344.72</v>
      </c>
      <c r="O136" s="268">
        <v>112344.72</v>
      </c>
      <c r="P136" s="268">
        <v>112344.72</v>
      </c>
      <c r="Q136" s="268">
        <v>112344.72</v>
      </c>
      <c r="R136" s="268">
        <v>112344.72</v>
      </c>
      <c r="S136" s="268">
        <v>112344.72</v>
      </c>
      <c r="T136" s="268">
        <v>112344.72</v>
      </c>
      <c r="U136" s="268">
        <v>112344.72</v>
      </c>
      <c r="V136" s="268">
        <v>112344.72</v>
      </c>
      <c r="W136" s="268">
        <v>112344.72</v>
      </c>
      <c r="X136" s="268">
        <v>112344.72</v>
      </c>
      <c r="Y136" s="268">
        <v>112344.72</v>
      </c>
      <c r="Z136" s="268">
        <v>112344.72</v>
      </c>
      <c r="AA136" s="268">
        <v>112344.72</v>
      </c>
      <c r="AB136" s="268">
        <v>112344.72</v>
      </c>
      <c r="AC136" s="268">
        <v>112344.72</v>
      </c>
      <c r="AD136" s="268">
        <v>112344.72</v>
      </c>
      <c r="AE136" s="268">
        <v>112344.72</v>
      </c>
      <c r="AF136" s="269"/>
      <c r="AG136" s="254">
        <f t="shared" si="5"/>
        <v>112344.72</v>
      </c>
      <c r="AH136" s="44">
        <v>112344.72</v>
      </c>
    </row>
    <row r="137" spans="1:34" x14ac:dyDescent="0.35">
      <c r="A137" s="30" t="s">
        <v>275</v>
      </c>
      <c r="B137" s="270">
        <v>106250.8</v>
      </c>
      <c r="C137" s="271">
        <v>106250.8</v>
      </c>
      <c r="D137" s="271">
        <v>106250.8</v>
      </c>
      <c r="E137" s="271">
        <v>106250.8</v>
      </c>
      <c r="F137" s="271">
        <v>106250.8</v>
      </c>
      <c r="G137" s="271">
        <v>106250.8</v>
      </c>
      <c r="H137" s="271">
        <v>106250.8</v>
      </c>
      <c r="I137" s="271">
        <v>106250.8</v>
      </c>
      <c r="J137" s="271">
        <v>106250.8</v>
      </c>
      <c r="K137" s="271">
        <v>106250.8</v>
      </c>
      <c r="L137" s="271">
        <v>106250.8</v>
      </c>
      <c r="M137" s="271">
        <v>106250.8</v>
      </c>
      <c r="N137" s="271">
        <v>106250.8</v>
      </c>
      <c r="O137" s="271">
        <v>106250.8</v>
      </c>
      <c r="P137" s="271">
        <v>106250.8</v>
      </c>
      <c r="Q137" s="271">
        <v>106250.8</v>
      </c>
      <c r="R137" s="271">
        <v>106250.8</v>
      </c>
      <c r="S137" s="271">
        <v>106250.8</v>
      </c>
      <c r="T137" s="271">
        <v>106250.8</v>
      </c>
      <c r="U137" s="271">
        <v>106250.8</v>
      </c>
      <c r="V137" s="271">
        <v>106250.8</v>
      </c>
      <c r="W137" s="271">
        <v>106250.8</v>
      </c>
      <c r="X137" s="271">
        <v>106250.8</v>
      </c>
      <c r="Y137" s="271">
        <v>106250.8</v>
      </c>
      <c r="Z137" s="271">
        <v>106250.8</v>
      </c>
      <c r="AA137" s="271">
        <v>106250.8</v>
      </c>
      <c r="AB137" s="271">
        <v>106250.8</v>
      </c>
      <c r="AC137" s="271">
        <v>106250.8</v>
      </c>
      <c r="AD137" s="271">
        <v>106250.8</v>
      </c>
      <c r="AE137" s="271">
        <v>106250.8</v>
      </c>
      <c r="AF137" s="272"/>
      <c r="AG137" s="257">
        <f t="shared" si="5"/>
        <v>106250.8</v>
      </c>
      <c r="AH137" s="44">
        <v>106250.8</v>
      </c>
    </row>
    <row r="138" spans="1:34" x14ac:dyDescent="0.35">
      <c r="A138" s="30" t="s">
        <v>276</v>
      </c>
      <c r="B138" s="270">
        <v>440284</v>
      </c>
      <c r="C138" s="271">
        <v>440284</v>
      </c>
      <c r="D138" s="271">
        <v>440284</v>
      </c>
      <c r="E138" s="271">
        <v>440284</v>
      </c>
      <c r="F138" s="271">
        <v>440284</v>
      </c>
      <c r="G138" s="271">
        <v>440284</v>
      </c>
      <c r="H138" s="271">
        <v>440284</v>
      </c>
      <c r="I138" s="271">
        <v>440284</v>
      </c>
      <c r="J138" s="271">
        <v>440284</v>
      </c>
      <c r="K138" s="271">
        <v>440284</v>
      </c>
      <c r="L138" s="271">
        <v>440284</v>
      </c>
      <c r="M138" s="271">
        <v>440284</v>
      </c>
      <c r="N138" s="271">
        <v>440284</v>
      </c>
      <c r="O138" s="271">
        <v>440284</v>
      </c>
      <c r="P138" s="271">
        <v>440284</v>
      </c>
      <c r="Q138" s="271">
        <v>440284</v>
      </c>
      <c r="R138" s="271">
        <v>440284</v>
      </c>
      <c r="S138" s="271">
        <v>440284</v>
      </c>
      <c r="T138" s="271">
        <v>440284</v>
      </c>
      <c r="U138" s="271">
        <v>440284</v>
      </c>
      <c r="V138" s="271">
        <v>440284</v>
      </c>
      <c r="W138" s="271">
        <v>440284</v>
      </c>
      <c r="X138" s="271">
        <v>440284</v>
      </c>
      <c r="Y138" s="271">
        <v>440284</v>
      </c>
      <c r="Z138" s="271">
        <v>440284</v>
      </c>
      <c r="AA138" s="271">
        <v>440284</v>
      </c>
      <c r="AB138" s="271">
        <v>440284</v>
      </c>
      <c r="AC138" s="271">
        <v>440284</v>
      </c>
      <c r="AD138" s="271">
        <v>440284</v>
      </c>
      <c r="AE138" s="271">
        <v>440284</v>
      </c>
      <c r="AF138" s="272"/>
      <c r="AG138" s="257">
        <f t="shared" si="5"/>
        <v>440284</v>
      </c>
      <c r="AH138" s="44">
        <v>440284</v>
      </c>
    </row>
    <row r="139" spans="1:34" x14ac:dyDescent="0.35">
      <c r="A139" s="30" t="s">
        <v>277</v>
      </c>
      <c r="B139" s="270">
        <v>439431.32</v>
      </c>
      <c r="C139" s="271">
        <v>439431.32</v>
      </c>
      <c r="D139" s="271">
        <v>439431.32</v>
      </c>
      <c r="E139" s="271">
        <v>439431.32</v>
      </c>
      <c r="F139" s="271">
        <v>439431.32</v>
      </c>
      <c r="G139" s="271">
        <v>439431.32</v>
      </c>
      <c r="H139" s="271">
        <v>439431.32</v>
      </c>
      <c r="I139" s="271">
        <v>439431.32</v>
      </c>
      <c r="J139" s="271">
        <v>439431.32</v>
      </c>
      <c r="K139" s="271">
        <v>439431.32</v>
      </c>
      <c r="L139" s="271">
        <v>439431.32</v>
      </c>
      <c r="M139" s="271">
        <v>439431.32</v>
      </c>
      <c r="N139" s="271">
        <v>439431.32</v>
      </c>
      <c r="O139" s="271">
        <v>439431.32</v>
      </c>
      <c r="P139" s="271">
        <v>439431.32</v>
      </c>
      <c r="Q139" s="271">
        <v>439431.32</v>
      </c>
      <c r="R139" s="271">
        <v>439431.32</v>
      </c>
      <c r="S139" s="271">
        <v>439431.32</v>
      </c>
      <c r="T139" s="271">
        <v>439431.32</v>
      </c>
      <c r="U139" s="271">
        <v>439431.32</v>
      </c>
      <c r="V139" s="271">
        <v>439431.32</v>
      </c>
      <c r="W139" s="271">
        <v>439431.32</v>
      </c>
      <c r="X139" s="271">
        <v>439431.32</v>
      </c>
      <c r="Y139" s="271">
        <v>439431.32</v>
      </c>
      <c r="Z139" s="271">
        <v>439431.32</v>
      </c>
      <c r="AA139" s="271">
        <v>439431.32</v>
      </c>
      <c r="AB139" s="271">
        <v>439431.32</v>
      </c>
      <c r="AC139" s="271">
        <v>439431.32</v>
      </c>
      <c r="AD139" s="271">
        <v>439431.32</v>
      </c>
      <c r="AE139" s="271">
        <v>439431.32</v>
      </c>
      <c r="AF139" s="272"/>
      <c r="AG139" s="257">
        <f t="shared" si="5"/>
        <v>439431.32</v>
      </c>
      <c r="AH139" s="44">
        <v>439431.32</v>
      </c>
    </row>
    <row r="140" spans="1:34" x14ac:dyDescent="0.35">
      <c r="A140" s="30" t="s">
        <v>278</v>
      </c>
      <c r="B140" s="270">
        <v>413696</v>
      </c>
      <c r="C140" s="271">
        <v>413696</v>
      </c>
      <c r="D140" s="271">
        <v>413696</v>
      </c>
      <c r="E140" s="271">
        <v>413696</v>
      </c>
      <c r="F140" s="271">
        <v>413696</v>
      </c>
      <c r="G140" s="271">
        <v>413696</v>
      </c>
      <c r="H140" s="271">
        <v>413696</v>
      </c>
      <c r="I140" s="271">
        <v>413696</v>
      </c>
      <c r="J140" s="271">
        <v>413696</v>
      </c>
      <c r="K140" s="271">
        <v>413696</v>
      </c>
      <c r="L140" s="271">
        <v>413696</v>
      </c>
      <c r="M140" s="271">
        <v>413696</v>
      </c>
      <c r="N140" s="271">
        <v>413696</v>
      </c>
      <c r="O140" s="271">
        <v>413696</v>
      </c>
      <c r="P140" s="271">
        <v>413696</v>
      </c>
      <c r="Q140" s="271">
        <v>413696</v>
      </c>
      <c r="R140" s="271">
        <v>413696</v>
      </c>
      <c r="S140" s="271">
        <v>413696</v>
      </c>
      <c r="T140" s="271">
        <v>413696</v>
      </c>
      <c r="U140" s="271">
        <v>413696</v>
      </c>
      <c r="V140" s="271">
        <v>413696</v>
      </c>
      <c r="W140" s="271">
        <v>413696</v>
      </c>
      <c r="X140" s="271">
        <v>413696</v>
      </c>
      <c r="Y140" s="271">
        <v>413696</v>
      </c>
      <c r="Z140" s="271">
        <v>413696</v>
      </c>
      <c r="AA140" s="271">
        <v>413696</v>
      </c>
      <c r="AB140" s="271">
        <v>413696</v>
      </c>
      <c r="AC140" s="271">
        <v>413696</v>
      </c>
      <c r="AD140" s="271">
        <v>413696</v>
      </c>
      <c r="AE140" s="271">
        <v>413696</v>
      </c>
      <c r="AF140" s="272"/>
      <c r="AG140" s="257">
        <f t="shared" si="5"/>
        <v>413696</v>
      </c>
      <c r="AH140" s="44">
        <v>413696</v>
      </c>
    </row>
    <row r="141" spans="1:34" x14ac:dyDescent="0.35">
      <c r="A141" s="30" t="s">
        <v>279</v>
      </c>
      <c r="B141" s="270">
        <v>427433.6</v>
      </c>
      <c r="C141" s="271">
        <v>427433.6</v>
      </c>
      <c r="D141" s="271">
        <v>427433.6</v>
      </c>
      <c r="E141" s="271">
        <v>427433.6</v>
      </c>
      <c r="F141" s="271">
        <v>427433.6</v>
      </c>
      <c r="G141" s="271">
        <v>427433.6</v>
      </c>
      <c r="H141" s="271">
        <v>427433.6</v>
      </c>
      <c r="I141" s="271">
        <v>427433.6</v>
      </c>
      <c r="J141" s="271">
        <v>427433.6</v>
      </c>
      <c r="K141" s="271">
        <v>427433.6</v>
      </c>
      <c r="L141" s="271">
        <v>427433.6</v>
      </c>
      <c r="M141" s="271">
        <v>427433.6</v>
      </c>
      <c r="N141" s="271">
        <v>427433.6</v>
      </c>
      <c r="O141" s="271">
        <v>427433.6</v>
      </c>
      <c r="P141" s="271">
        <v>427433.6</v>
      </c>
      <c r="Q141" s="271">
        <v>427433.6</v>
      </c>
      <c r="R141" s="271">
        <v>427433.6</v>
      </c>
      <c r="S141" s="271">
        <v>427433.6</v>
      </c>
      <c r="T141" s="271">
        <v>427433.6</v>
      </c>
      <c r="U141" s="271">
        <v>427433.6</v>
      </c>
      <c r="V141" s="271">
        <v>427433.6</v>
      </c>
      <c r="W141" s="271">
        <v>427433.6</v>
      </c>
      <c r="X141" s="271">
        <v>427433.6</v>
      </c>
      <c r="Y141" s="271">
        <v>427433.6</v>
      </c>
      <c r="Z141" s="271">
        <v>427433.6</v>
      </c>
      <c r="AA141" s="271">
        <v>427433.6</v>
      </c>
      <c r="AB141" s="271">
        <v>427433.6</v>
      </c>
      <c r="AC141" s="271">
        <v>427433.6</v>
      </c>
      <c r="AD141" s="271">
        <v>427433.6</v>
      </c>
      <c r="AE141" s="271">
        <v>427433.6</v>
      </c>
      <c r="AF141" s="272"/>
      <c r="AG141" s="257">
        <f t="shared" si="5"/>
        <v>427433.6</v>
      </c>
      <c r="AH141" s="44">
        <v>427433.6</v>
      </c>
    </row>
    <row r="142" spans="1:34" x14ac:dyDescent="0.35">
      <c r="A142" s="30" t="s">
        <v>280</v>
      </c>
      <c r="B142" s="270">
        <v>417240</v>
      </c>
      <c r="C142" s="271">
        <v>417240</v>
      </c>
      <c r="D142" s="271">
        <v>417240</v>
      </c>
      <c r="E142" s="271">
        <v>417240</v>
      </c>
      <c r="F142" s="271">
        <v>417240</v>
      </c>
      <c r="G142" s="271">
        <v>417240</v>
      </c>
      <c r="H142" s="271">
        <v>417240</v>
      </c>
      <c r="I142" s="271">
        <v>417240</v>
      </c>
      <c r="J142" s="271">
        <v>417240</v>
      </c>
      <c r="K142" s="271">
        <v>417240</v>
      </c>
      <c r="L142" s="271">
        <v>417240</v>
      </c>
      <c r="M142" s="271">
        <v>417240</v>
      </c>
      <c r="N142" s="271">
        <v>417240</v>
      </c>
      <c r="O142" s="271">
        <v>417240</v>
      </c>
      <c r="P142" s="271">
        <v>417240</v>
      </c>
      <c r="Q142" s="271">
        <v>417240</v>
      </c>
      <c r="R142" s="271">
        <v>417240</v>
      </c>
      <c r="S142" s="271">
        <v>417240</v>
      </c>
      <c r="T142" s="271">
        <v>417240</v>
      </c>
      <c r="U142" s="271">
        <v>417240</v>
      </c>
      <c r="V142" s="271">
        <v>417240</v>
      </c>
      <c r="W142" s="271">
        <v>417240</v>
      </c>
      <c r="X142" s="271">
        <v>417240</v>
      </c>
      <c r="Y142" s="271">
        <v>417240</v>
      </c>
      <c r="Z142" s="271">
        <v>417240</v>
      </c>
      <c r="AA142" s="271">
        <v>417240</v>
      </c>
      <c r="AB142" s="271">
        <v>417240</v>
      </c>
      <c r="AC142" s="271">
        <v>417240</v>
      </c>
      <c r="AD142" s="271">
        <v>417240</v>
      </c>
      <c r="AE142" s="271">
        <v>417240</v>
      </c>
      <c r="AF142" s="272"/>
      <c r="AG142" s="257">
        <f t="shared" si="5"/>
        <v>417240</v>
      </c>
      <c r="AH142" s="44">
        <v>417240</v>
      </c>
    </row>
    <row r="143" spans="1:34" x14ac:dyDescent="0.35">
      <c r="A143" s="30" t="s">
        <v>281</v>
      </c>
      <c r="B143" s="270">
        <v>415256</v>
      </c>
      <c r="C143" s="271">
        <v>415256</v>
      </c>
      <c r="D143" s="271">
        <v>415256</v>
      </c>
      <c r="E143" s="271">
        <v>415256</v>
      </c>
      <c r="F143" s="271">
        <v>415256</v>
      </c>
      <c r="G143" s="271">
        <v>415256</v>
      </c>
      <c r="H143" s="271">
        <v>415256</v>
      </c>
      <c r="I143" s="271">
        <v>415256</v>
      </c>
      <c r="J143" s="271">
        <v>415256</v>
      </c>
      <c r="K143" s="271">
        <v>415256</v>
      </c>
      <c r="L143" s="271">
        <v>415256</v>
      </c>
      <c r="M143" s="271">
        <v>415256</v>
      </c>
      <c r="N143" s="271">
        <v>415256</v>
      </c>
      <c r="O143" s="271">
        <v>415256</v>
      </c>
      <c r="P143" s="271">
        <v>415256</v>
      </c>
      <c r="Q143" s="271">
        <v>415256</v>
      </c>
      <c r="R143" s="271">
        <v>415256</v>
      </c>
      <c r="S143" s="271">
        <v>415256</v>
      </c>
      <c r="T143" s="271">
        <v>415256</v>
      </c>
      <c r="U143" s="271">
        <v>415256</v>
      </c>
      <c r="V143" s="271">
        <v>415256</v>
      </c>
      <c r="W143" s="271">
        <v>415256</v>
      </c>
      <c r="X143" s="271">
        <v>415256</v>
      </c>
      <c r="Y143" s="271">
        <v>415256</v>
      </c>
      <c r="Z143" s="271">
        <v>415256</v>
      </c>
      <c r="AA143" s="271">
        <v>415256</v>
      </c>
      <c r="AB143" s="271">
        <v>415256</v>
      </c>
      <c r="AC143" s="271">
        <v>415256</v>
      </c>
      <c r="AD143" s="271">
        <v>415256</v>
      </c>
      <c r="AE143" s="271">
        <v>415256</v>
      </c>
      <c r="AF143" s="272"/>
      <c r="AG143" s="257">
        <f t="shared" si="5"/>
        <v>415256</v>
      </c>
      <c r="AH143" s="44">
        <v>415256</v>
      </c>
    </row>
    <row r="144" spans="1:34" x14ac:dyDescent="0.35">
      <c r="A144" s="30" t="s">
        <v>282</v>
      </c>
      <c r="B144" s="270">
        <v>398196.04</v>
      </c>
      <c r="C144" s="271">
        <v>398196.04</v>
      </c>
      <c r="D144" s="271">
        <v>398196.04</v>
      </c>
      <c r="E144" s="271">
        <v>398196.04</v>
      </c>
      <c r="F144" s="271">
        <v>398196.04</v>
      </c>
      <c r="G144" s="271">
        <v>398196.04</v>
      </c>
      <c r="H144" s="271">
        <v>398196.04</v>
      </c>
      <c r="I144" s="271">
        <v>398196.04</v>
      </c>
      <c r="J144" s="271">
        <v>398196.04</v>
      </c>
      <c r="K144" s="271">
        <v>398196.04</v>
      </c>
      <c r="L144" s="271">
        <v>398196.04</v>
      </c>
      <c r="M144" s="271">
        <v>398196.04</v>
      </c>
      <c r="N144" s="271">
        <v>398196.04</v>
      </c>
      <c r="O144" s="271">
        <v>398196.04</v>
      </c>
      <c r="P144" s="271">
        <v>398196.04</v>
      </c>
      <c r="Q144" s="271">
        <v>398196.04</v>
      </c>
      <c r="R144" s="271">
        <v>398196.04</v>
      </c>
      <c r="S144" s="271">
        <v>398196.04</v>
      </c>
      <c r="T144" s="271">
        <v>398196.04</v>
      </c>
      <c r="U144" s="271">
        <v>398196.04</v>
      </c>
      <c r="V144" s="271">
        <v>398196.04</v>
      </c>
      <c r="W144" s="271">
        <v>398196.04</v>
      </c>
      <c r="X144" s="271">
        <v>398196.04</v>
      </c>
      <c r="Y144" s="271">
        <v>398196.04</v>
      </c>
      <c r="Z144" s="271">
        <v>398196.04</v>
      </c>
      <c r="AA144" s="271">
        <v>398196.04</v>
      </c>
      <c r="AB144" s="271">
        <v>398196.04</v>
      </c>
      <c r="AC144" s="271">
        <v>398196.04</v>
      </c>
      <c r="AD144" s="271">
        <v>398196.04</v>
      </c>
      <c r="AE144" s="271">
        <v>398196.04</v>
      </c>
      <c r="AF144" s="272"/>
      <c r="AG144" s="257">
        <f t="shared" si="5"/>
        <v>398196.04</v>
      </c>
      <c r="AH144" s="44">
        <v>398196.04</v>
      </c>
    </row>
    <row r="145" spans="1:34" x14ac:dyDescent="0.35">
      <c r="A145" s="30" t="s">
        <v>283</v>
      </c>
      <c r="B145" s="270">
        <v>433469</v>
      </c>
      <c r="C145" s="271">
        <v>433469</v>
      </c>
      <c r="D145" s="271">
        <v>433469</v>
      </c>
      <c r="E145" s="271">
        <v>433469</v>
      </c>
      <c r="F145" s="271">
        <v>433469</v>
      </c>
      <c r="G145" s="271">
        <v>433469</v>
      </c>
      <c r="H145" s="271">
        <v>433469</v>
      </c>
      <c r="I145" s="271">
        <v>433469</v>
      </c>
      <c r="J145" s="271">
        <v>433469</v>
      </c>
      <c r="K145" s="271">
        <v>433469</v>
      </c>
      <c r="L145" s="271">
        <v>433469</v>
      </c>
      <c r="M145" s="271">
        <v>433469</v>
      </c>
      <c r="N145" s="271">
        <v>433469</v>
      </c>
      <c r="O145" s="271">
        <v>433469</v>
      </c>
      <c r="P145" s="271">
        <v>433469</v>
      </c>
      <c r="Q145" s="271">
        <v>433469</v>
      </c>
      <c r="R145" s="271">
        <v>433469</v>
      </c>
      <c r="S145" s="271">
        <v>433469</v>
      </c>
      <c r="T145" s="271">
        <v>433469</v>
      </c>
      <c r="U145" s="271">
        <v>433469</v>
      </c>
      <c r="V145" s="271">
        <v>433469</v>
      </c>
      <c r="W145" s="271">
        <v>433469</v>
      </c>
      <c r="X145" s="271">
        <v>433469</v>
      </c>
      <c r="Y145" s="271">
        <v>433469</v>
      </c>
      <c r="Z145" s="271">
        <v>433469</v>
      </c>
      <c r="AA145" s="271">
        <v>433469</v>
      </c>
      <c r="AB145" s="271">
        <v>433469</v>
      </c>
      <c r="AC145" s="271">
        <v>433469</v>
      </c>
      <c r="AD145" s="271">
        <v>433469</v>
      </c>
      <c r="AE145" s="271">
        <v>433469</v>
      </c>
      <c r="AF145" s="272"/>
      <c r="AG145" s="257">
        <f t="shared" si="5"/>
        <v>433469</v>
      </c>
      <c r="AH145" s="44">
        <v>433469</v>
      </c>
    </row>
    <row r="146" spans="1:34" x14ac:dyDescent="0.35">
      <c r="A146" s="30" t="s">
        <v>284</v>
      </c>
      <c r="B146" s="270">
        <v>416804</v>
      </c>
      <c r="C146" s="271">
        <v>416804</v>
      </c>
      <c r="D146" s="271">
        <v>416804</v>
      </c>
      <c r="E146" s="271">
        <v>416804</v>
      </c>
      <c r="F146" s="271">
        <v>416804</v>
      </c>
      <c r="G146" s="271">
        <v>416804</v>
      </c>
      <c r="H146" s="271">
        <v>416804</v>
      </c>
      <c r="I146" s="271">
        <v>416804</v>
      </c>
      <c r="J146" s="271">
        <v>416804</v>
      </c>
      <c r="K146" s="271">
        <v>416804</v>
      </c>
      <c r="L146" s="271">
        <v>416804</v>
      </c>
      <c r="M146" s="271">
        <v>416804</v>
      </c>
      <c r="N146" s="271">
        <v>416804</v>
      </c>
      <c r="O146" s="271">
        <v>416804</v>
      </c>
      <c r="P146" s="271">
        <v>416804</v>
      </c>
      <c r="Q146" s="271">
        <v>416804</v>
      </c>
      <c r="R146" s="271">
        <v>416804</v>
      </c>
      <c r="S146" s="271">
        <v>416804</v>
      </c>
      <c r="T146" s="271">
        <v>416804</v>
      </c>
      <c r="U146" s="271">
        <v>416804</v>
      </c>
      <c r="V146" s="271">
        <v>416804</v>
      </c>
      <c r="W146" s="271">
        <v>416804</v>
      </c>
      <c r="X146" s="271">
        <v>416804</v>
      </c>
      <c r="Y146" s="271">
        <v>416804</v>
      </c>
      <c r="Z146" s="271">
        <v>416804</v>
      </c>
      <c r="AA146" s="271">
        <v>416804</v>
      </c>
      <c r="AB146" s="271">
        <v>416804</v>
      </c>
      <c r="AC146" s="271">
        <v>416804</v>
      </c>
      <c r="AD146" s="271">
        <v>416804</v>
      </c>
      <c r="AE146" s="271">
        <v>416804</v>
      </c>
      <c r="AF146" s="272"/>
      <c r="AG146" s="257">
        <f t="shared" si="5"/>
        <v>416804</v>
      </c>
      <c r="AH146" s="44">
        <v>416804</v>
      </c>
    </row>
    <row r="147" spans="1:34" x14ac:dyDescent="0.35">
      <c r="A147" s="30" t="s">
        <v>286</v>
      </c>
      <c r="B147" s="270">
        <v>407088</v>
      </c>
      <c r="C147" s="271">
        <v>407088</v>
      </c>
      <c r="D147" s="271">
        <v>407088</v>
      </c>
      <c r="E147" s="271">
        <v>407088</v>
      </c>
      <c r="F147" s="271">
        <v>407088</v>
      </c>
      <c r="G147" s="271">
        <v>407088</v>
      </c>
      <c r="H147" s="271">
        <v>407088</v>
      </c>
      <c r="I147" s="271">
        <v>407088</v>
      </c>
      <c r="J147" s="271">
        <v>407088</v>
      </c>
      <c r="K147" s="271">
        <v>407088</v>
      </c>
      <c r="L147" s="271">
        <v>407088</v>
      </c>
      <c r="M147" s="271">
        <v>407088</v>
      </c>
      <c r="N147" s="271">
        <v>407088</v>
      </c>
      <c r="O147" s="271">
        <v>407088</v>
      </c>
      <c r="P147" s="271">
        <v>407088</v>
      </c>
      <c r="Q147" s="271">
        <v>407088</v>
      </c>
      <c r="R147" s="271">
        <v>407088</v>
      </c>
      <c r="S147" s="271">
        <v>407088</v>
      </c>
      <c r="T147" s="271">
        <v>407088</v>
      </c>
      <c r="U147" s="271">
        <v>407088</v>
      </c>
      <c r="V147" s="271">
        <v>407088</v>
      </c>
      <c r="W147" s="271">
        <v>407088</v>
      </c>
      <c r="X147" s="271">
        <v>407088</v>
      </c>
      <c r="Y147" s="271">
        <v>407088</v>
      </c>
      <c r="Z147" s="271">
        <v>407088</v>
      </c>
      <c r="AA147" s="271">
        <v>407088</v>
      </c>
      <c r="AB147" s="271">
        <v>407088</v>
      </c>
      <c r="AC147" s="271">
        <v>407088</v>
      </c>
      <c r="AD147" s="271">
        <v>407088</v>
      </c>
      <c r="AE147" s="271">
        <v>407088</v>
      </c>
      <c r="AF147" s="272"/>
      <c r="AG147" s="257">
        <f t="shared" si="5"/>
        <v>407088</v>
      </c>
      <c r="AH147" s="44">
        <v>407088</v>
      </c>
    </row>
    <row r="148" spans="1:34" x14ac:dyDescent="0.35">
      <c r="A148" s="30" t="s">
        <v>287</v>
      </c>
      <c r="B148" s="270">
        <v>415152</v>
      </c>
      <c r="C148" s="271">
        <v>415152</v>
      </c>
      <c r="D148" s="271">
        <v>415152</v>
      </c>
      <c r="E148" s="271">
        <v>415152</v>
      </c>
      <c r="F148" s="271">
        <v>415152</v>
      </c>
      <c r="G148" s="271">
        <v>415152</v>
      </c>
      <c r="H148" s="271">
        <v>415152</v>
      </c>
      <c r="I148" s="271">
        <v>415152</v>
      </c>
      <c r="J148" s="271">
        <v>415152</v>
      </c>
      <c r="K148" s="271">
        <v>415152</v>
      </c>
      <c r="L148" s="271">
        <v>415152</v>
      </c>
      <c r="M148" s="271">
        <v>415152</v>
      </c>
      <c r="N148" s="271">
        <v>415152</v>
      </c>
      <c r="O148" s="271">
        <v>415152</v>
      </c>
      <c r="P148" s="271">
        <v>415152</v>
      </c>
      <c r="Q148" s="271">
        <v>415152</v>
      </c>
      <c r="R148" s="271">
        <v>415152</v>
      </c>
      <c r="S148" s="271">
        <v>415152</v>
      </c>
      <c r="T148" s="271">
        <v>415152</v>
      </c>
      <c r="U148" s="271">
        <v>415152</v>
      </c>
      <c r="V148" s="271">
        <v>415152</v>
      </c>
      <c r="W148" s="271">
        <v>415152</v>
      </c>
      <c r="X148" s="271">
        <v>415152</v>
      </c>
      <c r="Y148" s="271">
        <v>415152</v>
      </c>
      <c r="Z148" s="271">
        <v>415152</v>
      </c>
      <c r="AA148" s="271">
        <v>415152</v>
      </c>
      <c r="AB148" s="271">
        <v>415152</v>
      </c>
      <c r="AC148" s="271">
        <v>415152</v>
      </c>
      <c r="AD148" s="271">
        <v>415152</v>
      </c>
      <c r="AE148" s="271">
        <v>415152</v>
      </c>
      <c r="AF148" s="272"/>
      <c r="AG148" s="257">
        <f t="shared" si="5"/>
        <v>415152</v>
      </c>
      <c r="AH148" s="44">
        <v>415152</v>
      </c>
    </row>
    <row r="149" spans="1:34" x14ac:dyDescent="0.35">
      <c r="A149" s="30" t="s">
        <v>288</v>
      </c>
      <c r="B149" s="270">
        <v>410628</v>
      </c>
      <c r="C149" s="271">
        <v>410628</v>
      </c>
      <c r="D149" s="271">
        <v>410628</v>
      </c>
      <c r="E149" s="271">
        <v>410628</v>
      </c>
      <c r="F149" s="271">
        <v>410628</v>
      </c>
      <c r="G149" s="271">
        <v>410628</v>
      </c>
      <c r="H149" s="271">
        <v>410628</v>
      </c>
      <c r="I149" s="271">
        <v>410628</v>
      </c>
      <c r="J149" s="271">
        <v>410628</v>
      </c>
      <c r="K149" s="271">
        <v>410628</v>
      </c>
      <c r="L149" s="271">
        <v>410628</v>
      </c>
      <c r="M149" s="271">
        <v>410628</v>
      </c>
      <c r="N149" s="271">
        <v>410628</v>
      </c>
      <c r="O149" s="271">
        <v>410628</v>
      </c>
      <c r="P149" s="271">
        <v>410628</v>
      </c>
      <c r="Q149" s="271">
        <v>410628</v>
      </c>
      <c r="R149" s="271">
        <v>410628</v>
      </c>
      <c r="S149" s="271">
        <v>410628</v>
      </c>
      <c r="T149" s="271">
        <v>410628</v>
      </c>
      <c r="U149" s="271">
        <v>410628</v>
      </c>
      <c r="V149" s="271">
        <v>410628</v>
      </c>
      <c r="W149" s="271">
        <v>410628</v>
      </c>
      <c r="X149" s="271">
        <v>410628</v>
      </c>
      <c r="Y149" s="271">
        <v>410628</v>
      </c>
      <c r="Z149" s="271">
        <v>410628</v>
      </c>
      <c r="AA149" s="271">
        <v>410628</v>
      </c>
      <c r="AB149" s="271">
        <v>410628</v>
      </c>
      <c r="AC149" s="271">
        <v>410628</v>
      </c>
      <c r="AD149" s="271">
        <v>410628</v>
      </c>
      <c r="AE149" s="271">
        <v>410628</v>
      </c>
      <c r="AF149" s="272"/>
      <c r="AG149" s="257">
        <f t="shared" si="5"/>
        <v>410628</v>
      </c>
      <c r="AH149" s="44">
        <v>410628</v>
      </c>
    </row>
    <row r="150" spans="1:34" x14ac:dyDescent="0.35">
      <c r="A150" s="30" t="s">
        <v>289</v>
      </c>
      <c r="B150" s="270">
        <v>430174.36</v>
      </c>
      <c r="C150" s="271">
        <v>430174.36</v>
      </c>
      <c r="D150" s="271">
        <v>430174.36</v>
      </c>
      <c r="E150" s="271">
        <v>430174.36</v>
      </c>
      <c r="F150" s="271">
        <v>430174.36</v>
      </c>
      <c r="G150" s="271">
        <v>430174.36</v>
      </c>
      <c r="H150" s="271">
        <v>430174.36</v>
      </c>
      <c r="I150" s="271">
        <v>430174.36</v>
      </c>
      <c r="J150" s="271">
        <v>430174.36</v>
      </c>
      <c r="K150" s="271">
        <v>430174.36</v>
      </c>
      <c r="L150" s="271">
        <v>430174.36</v>
      </c>
      <c r="M150" s="271">
        <v>430174.36</v>
      </c>
      <c r="N150" s="271">
        <v>430174.36</v>
      </c>
      <c r="O150" s="271">
        <v>430174.36</v>
      </c>
      <c r="P150" s="271">
        <v>430174.36</v>
      </c>
      <c r="Q150" s="271">
        <v>430174.36</v>
      </c>
      <c r="R150" s="271">
        <v>430174.36</v>
      </c>
      <c r="S150" s="271">
        <v>430174.36</v>
      </c>
      <c r="T150" s="271">
        <v>430174.36</v>
      </c>
      <c r="U150" s="271">
        <v>430174.36</v>
      </c>
      <c r="V150" s="271">
        <v>430174.36</v>
      </c>
      <c r="W150" s="271">
        <v>430174.36</v>
      </c>
      <c r="X150" s="271">
        <v>430174.36</v>
      </c>
      <c r="Y150" s="271">
        <v>430174.36</v>
      </c>
      <c r="Z150" s="271">
        <v>430174.36</v>
      </c>
      <c r="AA150" s="271">
        <v>430174.36</v>
      </c>
      <c r="AB150" s="271">
        <v>430174.36</v>
      </c>
      <c r="AC150" s="271">
        <v>430174.36</v>
      </c>
      <c r="AD150" s="271">
        <v>430174.36</v>
      </c>
      <c r="AE150" s="271">
        <v>430174.36</v>
      </c>
      <c r="AF150" s="272"/>
      <c r="AG150" s="257">
        <f t="shared" si="5"/>
        <v>430174.36</v>
      </c>
      <c r="AH150" s="44">
        <v>430174.36</v>
      </c>
    </row>
    <row r="151" spans="1:34" x14ac:dyDescent="0.35">
      <c r="A151" s="30" t="s">
        <v>290</v>
      </c>
      <c r="B151" s="270">
        <v>410516</v>
      </c>
      <c r="C151" s="271">
        <v>410516</v>
      </c>
      <c r="D151" s="271">
        <v>410516</v>
      </c>
      <c r="E151" s="271">
        <v>410516</v>
      </c>
      <c r="F151" s="271">
        <v>410516</v>
      </c>
      <c r="G151" s="271">
        <v>410516</v>
      </c>
      <c r="H151" s="271">
        <v>410516</v>
      </c>
      <c r="I151" s="271">
        <v>410516</v>
      </c>
      <c r="J151" s="271">
        <v>410516</v>
      </c>
      <c r="K151" s="271">
        <v>410516</v>
      </c>
      <c r="L151" s="271">
        <v>410516</v>
      </c>
      <c r="M151" s="271">
        <v>410516</v>
      </c>
      <c r="N151" s="271">
        <v>410516</v>
      </c>
      <c r="O151" s="271">
        <v>410516</v>
      </c>
      <c r="P151" s="271">
        <v>410516</v>
      </c>
      <c r="Q151" s="271">
        <v>410516</v>
      </c>
      <c r="R151" s="271">
        <v>410516</v>
      </c>
      <c r="S151" s="271">
        <v>410516</v>
      </c>
      <c r="T151" s="271">
        <v>410516</v>
      </c>
      <c r="U151" s="271">
        <v>410516</v>
      </c>
      <c r="V151" s="271">
        <v>410516</v>
      </c>
      <c r="W151" s="271">
        <v>410516</v>
      </c>
      <c r="X151" s="271">
        <v>410516</v>
      </c>
      <c r="Y151" s="271">
        <v>410516</v>
      </c>
      <c r="Z151" s="271">
        <v>410516</v>
      </c>
      <c r="AA151" s="271">
        <v>410516</v>
      </c>
      <c r="AB151" s="271">
        <v>410516</v>
      </c>
      <c r="AC151" s="271">
        <v>410516</v>
      </c>
      <c r="AD151" s="271">
        <v>410516</v>
      </c>
      <c r="AE151" s="271">
        <v>410516</v>
      </c>
      <c r="AF151" s="272"/>
      <c r="AG151" s="257">
        <f t="shared" si="5"/>
        <v>410516</v>
      </c>
      <c r="AH151" s="44">
        <v>410516</v>
      </c>
    </row>
    <row r="152" spans="1:34" x14ac:dyDescent="0.35">
      <c r="A152" s="30" t="s">
        <v>291</v>
      </c>
      <c r="B152" s="270">
        <v>404897.6</v>
      </c>
      <c r="C152" s="271">
        <v>404897.6</v>
      </c>
      <c r="D152" s="271">
        <v>404897.6</v>
      </c>
      <c r="E152" s="271">
        <v>404897.6</v>
      </c>
      <c r="F152" s="271">
        <v>404897.6</v>
      </c>
      <c r="G152" s="271">
        <v>404897.6</v>
      </c>
      <c r="H152" s="271">
        <v>404897.6</v>
      </c>
      <c r="I152" s="271">
        <v>404897.6</v>
      </c>
      <c r="J152" s="271">
        <v>404897.6</v>
      </c>
      <c r="K152" s="271">
        <v>404897.6</v>
      </c>
      <c r="L152" s="271">
        <v>404897.6</v>
      </c>
      <c r="M152" s="271">
        <v>404897.6</v>
      </c>
      <c r="N152" s="271">
        <v>404897.6</v>
      </c>
      <c r="O152" s="271">
        <v>404897.6</v>
      </c>
      <c r="P152" s="271">
        <v>404897.6</v>
      </c>
      <c r="Q152" s="271">
        <v>404897.6</v>
      </c>
      <c r="R152" s="271">
        <v>404897.6</v>
      </c>
      <c r="S152" s="271">
        <v>404897.6</v>
      </c>
      <c r="T152" s="271">
        <v>404897.6</v>
      </c>
      <c r="U152" s="271">
        <v>404897.6</v>
      </c>
      <c r="V152" s="271">
        <v>404897.6</v>
      </c>
      <c r="W152" s="271">
        <v>404897.6</v>
      </c>
      <c r="X152" s="271">
        <v>404897.6</v>
      </c>
      <c r="Y152" s="271">
        <v>404897.6</v>
      </c>
      <c r="Z152" s="271">
        <v>404897.6</v>
      </c>
      <c r="AA152" s="271">
        <v>404897.6</v>
      </c>
      <c r="AB152" s="271">
        <v>404897.6</v>
      </c>
      <c r="AC152" s="271">
        <v>404897.6</v>
      </c>
      <c r="AD152" s="271">
        <v>404897.6</v>
      </c>
      <c r="AE152" s="271">
        <v>404897.6</v>
      </c>
      <c r="AF152" s="272"/>
      <c r="AG152" s="257">
        <f t="shared" si="5"/>
        <v>404897.6</v>
      </c>
      <c r="AH152" s="44">
        <v>404897.6</v>
      </c>
    </row>
    <row r="153" spans="1:34" x14ac:dyDescent="0.35">
      <c r="A153" s="30" t="s">
        <v>292</v>
      </c>
      <c r="B153" s="270">
        <v>427666.8</v>
      </c>
      <c r="C153" s="271">
        <v>427666.8</v>
      </c>
      <c r="D153" s="271">
        <v>427666.8</v>
      </c>
      <c r="E153" s="271">
        <v>427666.8</v>
      </c>
      <c r="F153" s="271">
        <v>427666.8</v>
      </c>
      <c r="G153" s="271">
        <v>427666.8</v>
      </c>
      <c r="H153" s="271">
        <v>427666.8</v>
      </c>
      <c r="I153" s="271">
        <v>427666.8</v>
      </c>
      <c r="J153" s="271">
        <v>427666.8</v>
      </c>
      <c r="K153" s="271">
        <v>427666.8</v>
      </c>
      <c r="L153" s="271">
        <v>427666.8</v>
      </c>
      <c r="M153" s="271">
        <v>427666.8</v>
      </c>
      <c r="N153" s="271">
        <v>427666.8</v>
      </c>
      <c r="O153" s="271">
        <v>427666.8</v>
      </c>
      <c r="P153" s="271">
        <v>427666.8</v>
      </c>
      <c r="Q153" s="271">
        <v>427666.8</v>
      </c>
      <c r="R153" s="271">
        <v>427666.8</v>
      </c>
      <c r="S153" s="271">
        <v>427666.8</v>
      </c>
      <c r="T153" s="271">
        <v>427666.8</v>
      </c>
      <c r="U153" s="271">
        <v>427666.8</v>
      </c>
      <c r="V153" s="271">
        <v>427666.8</v>
      </c>
      <c r="W153" s="271">
        <v>427666.8</v>
      </c>
      <c r="X153" s="271">
        <v>427666.8</v>
      </c>
      <c r="Y153" s="271">
        <v>427666.8</v>
      </c>
      <c r="Z153" s="271">
        <v>427666.8</v>
      </c>
      <c r="AA153" s="271">
        <v>427666.8</v>
      </c>
      <c r="AB153" s="271">
        <v>427666.8</v>
      </c>
      <c r="AC153" s="271">
        <v>427666.8</v>
      </c>
      <c r="AD153" s="271">
        <v>427666.8</v>
      </c>
      <c r="AE153" s="271">
        <v>427666.8</v>
      </c>
      <c r="AF153" s="272"/>
      <c r="AG153" s="257">
        <f t="shared" si="5"/>
        <v>427666.8</v>
      </c>
      <c r="AH153" s="44">
        <v>427666.8</v>
      </c>
    </row>
    <row r="154" spans="1:34" x14ac:dyDescent="0.35">
      <c r="A154" s="30" t="s">
        <v>293</v>
      </c>
      <c r="B154" s="270">
        <v>425478.95999999996</v>
      </c>
      <c r="C154" s="271">
        <v>425478.95999999996</v>
      </c>
      <c r="D154" s="271">
        <v>425478.95999999996</v>
      </c>
      <c r="E154" s="271">
        <v>425478.95999999996</v>
      </c>
      <c r="F154" s="271">
        <v>425478.95999999996</v>
      </c>
      <c r="G154" s="271">
        <v>425478.95999999996</v>
      </c>
      <c r="H154" s="271">
        <v>425478.95999999996</v>
      </c>
      <c r="I154" s="271">
        <v>425478.95999999996</v>
      </c>
      <c r="J154" s="271">
        <v>425478.95999999996</v>
      </c>
      <c r="K154" s="271">
        <v>425478.95999999996</v>
      </c>
      <c r="L154" s="271">
        <v>425478.95999999996</v>
      </c>
      <c r="M154" s="271">
        <v>425478.95999999996</v>
      </c>
      <c r="N154" s="271">
        <v>425478.95999999996</v>
      </c>
      <c r="O154" s="271">
        <v>425478.95999999996</v>
      </c>
      <c r="P154" s="271">
        <v>425478.95999999996</v>
      </c>
      <c r="Q154" s="271">
        <v>425478.95999999996</v>
      </c>
      <c r="R154" s="271">
        <v>425478.95999999996</v>
      </c>
      <c r="S154" s="271">
        <v>425478.95999999996</v>
      </c>
      <c r="T154" s="271">
        <v>425478.95999999996</v>
      </c>
      <c r="U154" s="271">
        <v>425478.95999999996</v>
      </c>
      <c r="V154" s="271">
        <v>425478.95999999996</v>
      </c>
      <c r="W154" s="271">
        <v>425478.95999999996</v>
      </c>
      <c r="X154" s="271">
        <v>425478.95999999996</v>
      </c>
      <c r="Y154" s="271">
        <v>425478.95999999996</v>
      </c>
      <c r="Z154" s="271">
        <v>425478.95999999996</v>
      </c>
      <c r="AA154" s="271">
        <v>425478.95999999996</v>
      </c>
      <c r="AB154" s="271">
        <v>425478.95999999996</v>
      </c>
      <c r="AC154" s="271">
        <v>425478.95999999996</v>
      </c>
      <c r="AD154" s="271">
        <v>425478.95999999996</v>
      </c>
      <c r="AE154" s="271">
        <v>425478.95999999996</v>
      </c>
      <c r="AF154" s="272"/>
      <c r="AG154" s="257">
        <f t="shared" si="5"/>
        <v>425478.95999999996</v>
      </c>
      <c r="AH154" s="44">
        <v>425478.96</v>
      </c>
    </row>
    <row r="155" spans="1:34" x14ac:dyDescent="0.35">
      <c r="A155" s="30" t="s">
        <v>294</v>
      </c>
      <c r="B155" s="270">
        <v>394108</v>
      </c>
      <c r="C155" s="271">
        <v>394108</v>
      </c>
      <c r="D155" s="271">
        <v>394108</v>
      </c>
      <c r="E155" s="271">
        <v>394108</v>
      </c>
      <c r="F155" s="271">
        <v>394108</v>
      </c>
      <c r="G155" s="271">
        <v>394108</v>
      </c>
      <c r="H155" s="271">
        <v>394108</v>
      </c>
      <c r="I155" s="271">
        <v>394108</v>
      </c>
      <c r="J155" s="271">
        <v>394108</v>
      </c>
      <c r="K155" s="271">
        <v>394108</v>
      </c>
      <c r="L155" s="271">
        <v>394108</v>
      </c>
      <c r="M155" s="271">
        <v>394108</v>
      </c>
      <c r="N155" s="271">
        <v>394108</v>
      </c>
      <c r="O155" s="271">
        <v>394108</v>
      </c>
      <c r="P155" s="271">
        <v>394108</v>
      </c>
      <c r="Q155" s="271">
        <v>394108</v>
      </c>
      <c r="R155" s="271">
        <v>394108</v>
      </c>
      <c r="S155" s="271">
        <v>394108</v>
      </c>
      <c r="T155" s="271">
        <v>394108</v>
      </c>
      <c r="U155" s="271">
        <v>394108</v>
      </c>
      <c r="V155" s="271">
        <v>394108</v>
      </c>
      <c r="W155" s="271">
        <v>394108</v>
      </c>
      <c r="X155" s="271">
        <v>394108</v>
      </c>
      <c r="Y155" s="271">
        <v>394108</v>
      </c>
      <c r="Z155" s="271">
        <v>394108</v>
      </c>
      <c r="AA155" s="271">
        <v>394108</v>
      </c>
      <c r="AB155" s="271">
        <v>394108</v>
      </c>
      <c r="AC155" s="271">
        <v>394108</v>
      </c>
      <c r="AD155" s="271">
        <v>394108</v>
      </c>
      <c r="AE155" s="271">
        <v>394108</v>
      </c>
      <c r="AF155" s="272"/>
      <c r="AG155" s="257">
        <f t="shared" si="5"/>
        <v>394108</v>
      </c>
      <c r="AH155" s="44">
        <v>394108</v>
      </c>
    </row>
    <row r="156" spans="1:34" x14ac:dyDescent="0.35">
      <c r="A156" s="30" t="s">
        <v>295</v>
      </c>
      <c r="B156" s="270">
        <v>406138.17</v>
      </c>
      <c r="C156" s="271">
        <v>406138.17</v>
      </c>
      <c r="D156" s="271">
        <v>406138.17</v>
      </c>
      <c r="E156" s="271">
        <v>406138.17</v>
      </c>
      <c r="F156" s="271">
        <v>406138.17</v>
      </c>
      <c r="G156" s="271">
        <v>406138.17</v>
      </c>
      <c r="H156" s="271">
        <v>406138.17</v>
      </c>
      <c r="I156" s="271">
        <v>406138.17</v>
      </c>
      <c r="J156" s="271">
        <v>406138.17</v>
      </c>
      <c r="K156" s="271">
        <v>406138.17</v>
      </c>
      <c r="L156" s="271">
        <v>406138.17</v>
      </c>
      <c r="M156" s="271">
        <v>406138.17</v>
      </c>
      <c r="N156" s="271">
        <v>406138.17</v>
      </c>
      <c r="O156" s="271">
        <v>406138.17</v>
      </c>
      <c r="P156" s="271">
        <v>406138.17</v>
      </c>
      <c r="Q156" s="271">
        <v>406138.17</v>
      </c>
      <c r="R156" s="271">
        <v>406138.17</v>
      </c>
      <c r="S156" s="271">
        <v>406138.17</v>
      </c>
      <c r="T156" s="271">
        <v>406138.17</v>
      </c>
      <c r="U156" s="271">
        <v>406138.17</v>
      </c>
      <c r="V156" s="271">
        <v>406138.17</v>
      </c>
      <c r="W156" s="271">
        <v>406138.17</v>
      </c>
      <c r="X156" s="271">
        <v>406138.17</v>
      </c>
      <c r="Y156" s="271">
        <v>406138.17</v>
      </c>
      <c r="Z156" s="271">
        <v>406138.17</v>
      </c>
      <c r="AA156" s="271">
        <v>406138.17</v>
      </c>
      <c r="AB156" s="271">
        <v>406138.17</v>
      </c>
      <c r="AC156" s="271">
        <v>406138.17</v>
      </c>
      <c r="AD156" s="271">
        <v>406138.17</v>
      </c>
      <c r="AE156" s="271">
        <v>406138.17</v>
      </c>
      <c r="AF156" s="272"/>
      <c r="AG156" s="257">
        <f t="shared" si="5"/>
        <v>406138.17</v>
      </c>
      <c r="AH156" s="44">
        <v>406138.17</v>
      </c>
    </row>
    <row r="157" spans="1:34" x14ac:dyDescent="0.35">
      <c r="A157" s="30" t="s">
        <v>296</v>
      </c>
      <c r="B157" s="270">
        <v>403044</v>
      </c>
      <c r="C157" s="271">
        <v>403044</v>
      </c>
      <c r="D157" s="271">
        <v>403044</v>
      </c>
      <c r="E157" s="271">
        <v>403044</v>
      </c>
      <c r="F157" s="271">
        <v>403044</v>
      </c>
      <c r="G157" s="271">
        <v>403044</v>
      </c>
      <c r="H157" s="271">
        <v>403044</v>
      </c>
      <c r="I157" s="271">
        <v>403044</v>
      </c>
      <c r="J157" s="271">
        <v>403044</v>
      </c>
      <c r="K157" s="271">
        <v>403044</v>
      </c>
      <c r="L157" s="271">
        <v>403044</v>
      </c>
      <c r="M157" s="271">
        <v>403044</v>
      </c>
      <c r="N157" s="271">
        <v>403044</v>
      </c>
      <c r="O157" s="271">
        <v>403044</v>
      </c>
      <c r="P157" s="271">
        <v>403044</v>
      </c>
      <c r="Q157" s="271">
        <v>403044</v>
      </c>
      <c r="R157" s="271">
        <v>403044</v>
      </c>
      <c r="S157" s="271">
        <v>403044</v>
      </c>
      <c r="T157" s="271">
        <v>403044</v>
      </c>
      <c r="U157" s="271">
        <v>403044</v>
      </c>
      <c r="V157" s="271">
        <v>403044</v>
      </c>
      <c r="W157" s="271">
        <v>403044</v>
      </c>
      <c r="X157" s="271">
        <v>403044</v>
      </c>
      <c r="Y157" s="271">
        <v>403044</v>
      </c>
      <c r="Z157" s="271">
        <v>403044</v>
      </c>
      <c r="AA157" s="271">
        <v>403044</v>
      </c>
      <c r="AB157" s="271">
        <v>403044</v>
      </c>
      <c r="AC157" s="271">
        <v>403044</v>
      </c>
      <c r="AD157" s="271">
        <v>403044</v>
      </c>
      <c r="AE157" s="271">
        <v>403044</v>
      </c>
      <c r="AF157" s="272"/>
      <c r="AG157" s="257">
        <f t="shared" si="5"/>
        <v>403044</v>
      </c>
      <c r="AH157" s="44">
        <v>403044</v>
      </c>
    </row>
    <row r="158" spans="1:34" x14ac:dyDescent="0.35">
      <c r="A158" s="30" t="s">
        <v>298</v>
      </c>
      <c r="B158" s="270">
        <v>292029.59999999998</v>
      </c>
      <c r="C158" s="271">
        <v>292029.59999999998</v>
      </c>
      <c r="D158" s="271">
        <v>292029.59999999998</v>
      </c>
      <c r="E158" s="271">
        <v>292029.59999999998</v>
      </c>
      <c r="F158" s="271">
        <v>292029.59999999998</v>
      </c>
      <c r="G158" s="271">
        <v>292029.59999999998</v>
      </c>
      <c r="H158" s="271">
        <v>292029.59999999998</v>
      </c>
      <c r="I158" s="271">
        <v>292029.59999999998</v>
      </c>
      <c r="J158" s="271">
        <v>292029.59999999998</v>
      </c>
      <c r="K158" s="271">
        <v>292029.59999999998</v>
      </c>
      <c r="L158" s="271">
        <v>292029.59999999998</v>
      </c>
      <c r="M158" s="271">
        <v>292029.59999999998</v>
      </c>
      <c r="N158" s="271">
        <v>292029.59999999998</v>
      </c>
      <c r="O158" s="271">
        <v>292029.59999999998</v>
      </c>
      <c r="P158" s="271">
        <v>292029.59999999998</v>
      </c>
      <c r="Q158" s="271">
        <v>292029.59999999998</v>
      </c>
      <c r="R158" s="271">
        <v>292029.59999999998</v>
      </c>
      <c r="S158" s="271">
        <v>292029.59999999998</v>
      </c>
      <c r="T158" s="271">
        <v>292029.59999999998</v>
      </c>
      <c r="U158" s="271">
        <v>292029.59999999998</v>
      </c>
      <c r="V158" s="271">
        <v>292029.59999999998</v>
      </c>
      <c r="W158" s="271">
        <v>292029.59999999998</v>
      </c>
      <c r="X158" s="271">
        <v>292029.59999999998</v>
      </c>
      <c r="Y158" s="271">
        <v>292029.59999999998</v>
      </c>
      <c r="Z158" s="271">
        <v>292029.59999999998</v>
      </c>
      <c r="AA158" s="271">
        <v>292029.59999999998</v>
      </c>
      <c r="AB158" s="271">
        <v>292029.59999999998</v>
      </c>
      <c r="AC158" s="271">
        <v>292029.59999999998</v>
      </c>
      <c r="AD158" s="271">
        <v>292029.59999999998</v>
      </c>
      <c r="AE158" s="271">
        <v>292029.59999999998</v>
      </c>
      <c r="AF158" s="272"/>
      <c r="AG158" s="257">
        <f t="shared" si="5"/>
        <v>292029.59999999998</v>
      </c>
      <c r="AH158" s="44">
        <v>292029.59999999998</v>
      </c>
    </row>
    <row r="159" spans="1:34" x14ac:dyDescent="0.35">
      <c r="A159" s="30" t="s">
        <v>299</v>
      </c>
      <c r="B159" s="270">
        <v>389484</v>
      </c>
      <c r="C159" s="271">
        <v>389484</v>
      </c>
      <c r="D159" s="271">
        <v>389484</v>
      </c>
      <c r="E159" s="271">
        <v>389484</v>
      </c>
      <c r="F159" s="271">
        <v>389484</v>
      </c>
      <c r="G159" s="271">
        <v>389484</v>
      </c>
      <c r="H159" s="271">
        <v>389484</v>
      </c>
      <c r="I159" s="271">
        <v>389484</v>
      </c>
      <c r="J159" s="271">
        <v>389484</v>
      </c>
      <c r="K159" s="271">
        <v>389484</v>
      </c>
      <c r="L159" s="271">
        <v>389484</v>
      </c>
      <c r="M159" s="271">
        <v>389484</v>
      </c>
      <c r="N159" s="271">
        <v>389484</v>
      </c>
      <c r="O159" s="271">
        <v>389484</v>
      </c>
      <c r="P159" s="271">
        <v>389484</v>
      </c>
      <c r="Q159" s="271">
        <v>389484</v>
      </c>
      <c r="R159" s="271">
        <v>389484</v>
      </c>
      <c r="S159" s="271">
        <v>389484</v>
      </c>
      <c r="T159" s="271">
        <v>389484</v>
      </c>
      <c r="U159" s="271">
        <v>389484</v>
      </c>
      <c r="V159" s="271">
        <v>389484</v>
      </c>
      <c r="W159" s="271">
        <v>389484</v>
      </c>
      <c r="X159" s="271">
        <v>389484</v>
      </c>
      <c r="Y159" s="271">
        <v>389484</v>
      </c>
      <c r="Z159" s="271">
        <v>389484</v>
      </c>
      <c r="AA159" s="271">
        <v>389484</v>
      </c>
      <c r="AB159" s="271">
        <v>389484</v>
      </c>
      <c r="AC159" s="271">
        <v>389484</v>
      </c>
      <c r="AD159" s="271">
        <v>389484</v>
      </c>
      <c r="AE159" s="271">
        <v>389484</v>
      </c>
      <c r="AF159" s="272"/>
      <c r="AG159" s="257">
        <f t="shared" si="5"/>
        <v>389484</v>
      </c>
      <c r="AH159" s="44">
        <v>389484</v>
      </c>
    </row>
    <row r="160" spans="1:34" x14ac:dyDescent="0.35">
      <c r="A160" s="30" t="s">
        <v>300</v>
      </c>
      <c r="B160" s="270">
        <v>336559.6</v>
      </c>
      <c r="C160" s="271">
        <v>336559.6</v>
      </c>
      <c r="D160" s="271">
        <v>336559.6</v>
      </c>
      <c r="E160" s="271">
        <v>336559.6</v>
      </c>
      <c r="F160" s="271">
        <v>336559.6</v>
      </c>
      <c r="G160" s="271">
        <v>336559.6</v>
      </c>
      <c r="H160" s="271">
        <v>336559.6</v>
      </c>
      <c r="I160" s="271">
        <v>336559.6</v>
      </c>
      <c r="J160" s="271">
        <v>336559.6</v>
      </c>
      <c r="K160" s="271">
        <v>336559.6</v>
      </c>
      <c r="L160" s="271">
        <v>336559.6</v>
      </c>
      <c r="M160" s="271">
        <v>336559.6</v>
      </c>
      <c r="N160" s="271">
        <v>336559.6</v>
      </c>
      <c r="O160" s="271">
        <v>336559.6</v>
      </c>
      <c r="P160" s="271">
        <v>336559.6</v>
      </c>
      <c r="Q160" s="271">
        <v>336559.6</v>
      </c>
      <c r="R160" s="271">
        <v>336559.6</v>
      </c>
      <c r="S160" s="271">
        <v>336559.6</v>
      </c>
      <c r="T160" s="271">
        <v>336559.6</v>
      </c>
      <c r="U160" s="271">
        <v>336559.6</v>
      </c>
      <c r="V160" s="271">
        <v>336559.6</v>
      </c>
      <c r="W160" s="271">
        <v>336559.6</v>
      </c>
      <c r="X160" s="271">
        <v>336559.6</v>
      </c>
      <c r="Y160" s="271">
        <v>336559.6</v>
      </c>
      <c r="Z160" s="271">
        <v>336559.6</v>
      </c>
      <c r="AA160" s="271">
        <v>336559.6</v>
      </c>
      <c r="AB160" s="271">
        <v>336559.6</v>
      </c>
      <c r="AC160" s="271">
        <v>336559.6</v>
      </c>
      <c r="AD160" s="271">
        <v>336559.6</v>
      </c>
      <c r="AE160" s="271">
        <v>336559.6</v>
      </c>
      <c r="AF160" s="272"/>
      <c r="AG160" s="257">
        <f t="shared" si="5"/>
        <v>336559.6</v>
      </c>
      <c r="AH160" s="44">
        <v>336559.6</v>
      </c>
    </row>
    <row r="161" spans="1:34" x14ac:dyDescent="0.35">
      <c r="A161" s="30" t="s">
        <v>301</v>
      </c>
      <c r="B161" s="270">
        <v>374428</v>
      </c>
      <c r="C161" s="271">
        <v>374428</v>
      </c>
      <c r="D161" s="271">
        <v>374428</v>
      </c>
      <c r="E161" s="271">
        <v>374428</v>
      </c>
      <c r="F161" s="271">
        <v>374428</v>
      </c>
      <c r="G161" s="271">
        <v>374428</v>
      </c>
      <c r="H161" s="271">
        <v>374428</v>
      </c>
      <c r="I161" s="271">
        <v>374428</v>
      </c>
      <c r="J161" s="271">
        <v>374428</v>
      </c>
      <c r="K161" s="271">
        <v>374428</v>
      </c>
      <c r="L161" s="271">
        <v>374428</v>
      </c>
      <c r="M161" s="271">
        <v>374428</v>
      </c>
      <c r="N161" s="271">
        <v>374428</v>
      </c>
      <c r="O161" s="271">
        <v>374428</v>
      </c>
      <c r="P161" s="271">
        <v>374428</v>
      </c>
      <c r="Q161" s="271">
        <v>374428</v>
      </c>
      <c r="R161" s="271">
        <v>374428</v>
      </c>
      <c r="S161" s="271">
        <v>374428</v>
      </c>
      <c r="T161" s="271">
        <v>374428</v>
      </c>
      <c r="U161" s="271">
        <v>374428</v>
      </c>
      <c r="V161" s="271">
        <v>374428</v>
      </c>
      <c r="W161" s="271">
        <v>374428</v>
      </c>
      <c r="X161" s="271">
        <v>374428</v>
      </c>
      <c r="Y161" s="271">
        <v>374428</v>
      </c>
      <c r="Z161" s="271">
        <v>374428</v>
      </c>
      <c r="AA161" s="271">
        <v>374428</v>
      </c>
      <c r="AB161" s="271">
        <v>374428</v>
      </c>
      <c r="AC161" s="271">
        <v>374428</v>
      </c>
      <c r="AD161" s="271">
        <v>374428</v>
      </c>
      <c r="AE161" s="271">
        <v>374428</v>
      </c>
      <c r="AF161" s="272"/>
      <c r="AG161" s="257">
        <f t="shared" si="5"/>
        <v>374428</v>
      </c>
      <c r="AH161" s="44">
        <v>374428</v>
      </c>
    </row>
    <row r="162" spans="1:34" x14ac:dyDescent="0.35">
      <c r="A162" s="30" t="s">
        <v>302</v>
      </c>
      <c r="B162" s="270">
        <v>0</v>
      </c>
      <c r="C162" s="271">
        <v>0</v>
      </c>
      <c r="D162" s="271">
        <v>0</v>
      </c>
      <c r="E162" s="271">
        <v>0</v>
      </c>
      <c r="F162" s="271">
        <v>0</v>
      </c>
      <c r="G162" s="271">
        <v>0</v>
      </c>
      <c r="H162" s="271">
        <v>0</v>
      </c>
      <c r="I162" s="271">
        <v>0</v>
      </c>
      <c r="J162" s="271">
        <v>0</v>
      </c>
      <c r="K162" s="271">
        <v>0</v>
      </c>
      <c r="L162" s="271">
        <v>0</v>
      </c>
      <c r="M162" s="271">
        <v>0</v>
      </c>
      <c r="N162" s="271">
        <v>0</v>
      </c>
      <c r="O162" s="271">
        <v>0</v>
      </c>
      <c r="P162" s="271">
        <v>0</v>
      </c>
      <c r="Q162" s="271">
        <v>0</v>
      </c>
      <c r="R162" s="271">
        <v>0</v>
      </c>
      <c r="S162" s="271">
        <v>0</v>
      </c>
      <c r="T162" s="271">
        <v>0</v>
      </c>
      <c r="U162" s="271">
        <v>0</v>
      </c>
      <c r="V162" s="271">
        <v>0</v>
      </c>
      <c r="W162" s="271">
        <v>0</v>
      </c>
      <c r="X162" s="271">
        <v>0</v>
      </c>
      <c r="Y162" s="271">
        <v>0</v>
      </c>
      <c r="Z162" s="271">
        <v>0</v>
      </c>
      <c r="AA162" s="271">
        <v>0</v>
      </c>
      <c r="AB162" s="271">
        <v>0</v>
      </c>
      <c r="AC162" s="271">
        <v>0</v>
      </c>
      <c r="AD162" s="271">
        <v>0</v>
      </c>
      <c r="AE162" s="271">
        <v>0</v>
      </c>
      <c r="AF162" s="272"/>
      <c r="AG162" s="257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73">
        <v>0</v>
      </c>
      <c r="C163" s="274">
        <v>0</v>
      </c>
      <c r="D163" s="274">
        <v>0</v>
      </c>
      <c r="E163" s="274">
        <v>0</v>
      </c>
      <c r="F163" s="274">
        <v>0</v>
      </c>
      <c r="G163" s="274">
        <v>0</v>
      </c>
      <c r="H163" s="274">
        <v>0</v>
      </c>
      <c r="I163" s="274">
        <v>0</v>
      </c>
      <c r="J163" s="274">
        <v>0</v>
      </c>
      <c r="K163" s="274">
        <v>0</v>
      </c>
      <c r="L163" s="274">
        <v>0</v>
      </c>
      <c r="M163" s="274">
        <v>0</v>
      </c>
      <c r="N163" s="274">
        <v>0</v>
      </c>
      <c r="O163" s="274">
        <v>0</v>
      </c>
      <c r="P163" s="274">
        <v>0</v>
      </c>
      <c r="Q163" s="274">
        <v>0</v>
      </c>
      <c r="R163" s="274">
        <v>0</v>
      </c>
      <c r="S163" s="274">
        <v>0</v>
      </c>
      <c r="T163" s="274">
        <v>0</v>
      </c>
      <c r="U163" s="274">
        <v>0</v>
      </c>
      <c r="V163" s="274">
        <v>0</v>
      </c>
      <c r="W163" s="274">
        <v>0</v>
      </c>
      <c r="X163" s="274">
        <v>0</v>
      </c>
      <c r="Y163" s="274">
        <v>0</v>
      </c>
      <c r="Z163" s="274">
        <v>0</v>
      </c>
      <c r="AA163" s="274">
        <v>0</v>
      </c>
      <c r="AB163" s="274">
        <v>0</v>
      </c>
      <c r="AC163" s="274">
        <v>0</v>
      </c>
      <c r="AD163" s="274">
        <v>0</v>
      </c>
      <c r="AE163" s="274">
        <v>0</v>
      </c>
      <c r="AF163" s="275"/>
      <c r="AG163" s="263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109BA-DD41-40AF-99B7-D39E89416315}">
  <sheetPr codeName="Hoja9"/>
  <dimension ref="A1:AH163"/>
  <sheetViews>
    <sheetView showGridLines="0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" sqref="C1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>
        <v>45352</v>
      </c>
      <c r="B1" s="6" t="s">
        <v>0</v>
      </c>
      <c r="G1" s="39"/>
      <c r="L1" s="39"/>
    </row>
    <row r="2" spans="1:34" ht="15" thickBot="1" x14ac:dyDescent="0.4"/>
    <row r="3" spans="1:34" ht="15" thickBot="1" x14ac:dyDescent="0.4">
      <c r="A3" s="17" t="s">
        <v>270</v>
      </c>
      <c r="B3" s="45">
        <v>45352</v>
      </c>
      <c r="C3" s="46">
        <v>45353</v>
      </c>
      <c r="D3" s="46">
        <v>45354</v>
      </c>
      <c r="E3" s="46">
        <v>45355</v>
      </c>
      <c r="F3" s="46">
        <v>45356</v>
      </c>
      <c r="G3" s="46">
        <v>45357</v>
      </c>
      <c r="H3" s="46">
        <v>45358</v>
      </c>
      <c r="I3" s="46">
        <v>45359</v>
      </c>
      <c r="J3" s="46">
        <v>45360</v>
      </c>
      <c r="K3" s="46">
        <v>45361</v>
      </c>
      <c r="L3" s="46">
        <v>45362</v>
      </c>
      <c r="M3" s="46">
        <v>45363</v>
      </c>
      <c r="N3" s="46">
        <v>45364</v>
      </c>
      <c r="O3" s="46">
        <v>45365</v>
      </c>
      <c r="P3" s="46">
        <v>45366</v>
      </c>
      <c r="Q3" s="46">
        <v>45367</v>
      </c>
      <c r="R3" s="46">
        <v>45368</v>
      </c>
      <c r="S3" s="46">
        <v>45369</v>
      </c>
      <c r="T3" s="46">
        <v>45370</v>
      </c>
      <c r="U3" s="46">
        <v>45371</v>
      </c>
      <c r="V3" s="46">
        <v>45372</v>
      </c>
      <c r="W3" s="46">
        <v>45373</v>
      </c>
      <c r="X3" s="46">
        <v>45374</v>
      </c>
      <c r="Y3" s="46">
        <v>45375</v>
      </c>
      <c r="Z3" s="46">
        <v>45376</v>
      </c>
      <c r="AA3" s="46">
        <v>45377</v>
      </c>
      <c r="AB3" s="46">
        <v>45378</v>
      </c>
      <c r="AC3" s="46">
        <v>45379</v>
      </c>
      <c r="AD3" s="46">
        <v>45380</v>
      </c>
      <c r="AE3" s="46">
        <v>45381</v>
      </c>
      <c r="AF3" s="48">
        <v>45382</v>
      </c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13">
        <v>80057.390000000072</v>
      </c>
      <c r="C4" s="14">
        <v>80057.390000000072</v>
      </c>
      <c r="D4" s="14">
        <v>80057.390000000072</v>
      </c>
      <c r="E4" s="14">
        <v>80057.390000000072</v>
      </c>
      <c r="F4" s="14">
        <v>80057.390000000072</v>
      </c>
      <c r="G4" s="14">
        <v>80057.390000000072</v>
      </c>
      <c r="H4" s="14">
        <v>80057.390000000072</v>
      </c>
      <c r="I4" s="14">
        <v>80057.390000000072</v>
      </c>
      <c r="J4" s="14">
        <v>80057.390000000072</v>
      </c>
      <c r="K4" s="14">
        <v>80057.390000000072</v>
      </c>
      <c r="L4" s="14">
        <v>80057.390000000072</v>
      </c>
      <c r="M4" s="14">
        <v>80057.390000000072</v>
      </c>
      <c r="N4" s="14">
        <v>80057.390000000072</v>
      </c>
      <c r="O4" s="14">
        <v>80057.390000000072</v>
      </c>
      <c r="P4" s="14">
        <v>80057.390000000072</v>
      </c>
      <c r="Q4" s="14">
        <v>80057.390000000072</v>
      </c>
      <c r="R4" s="14">
        <v>80057.390000000072</v>
      </c>
      <c r="S4" s="14">
        <v>80070.640000000072</v>
      </c>
      <c r="T4" s="14">
        <v>80070.640000000072</v>
      </c>
      <c r="U4" s="14">
        <v>80070.640000000072</v>
      </c>
      <c r="V4" s="14">
        <v>80081.890000000072</v>
      </c>
      <c r="W4" s="14">
        <v>80099.070000000065</v>
      </c>
      <c r="X4" s="14">
        <v>80115.120000000068</v>
      </c>
      <c r="Y4" s="14">
        <v>80127.270000000062</v>
      </c>
      <c r="Z4" s="14">
        <v>80146.760000000068</v>
      </c>
      <c r="AA4" s="14">
        <v>80165.840000000069</v>
      </c>
      <c r="AB4" s="14">
        <v>80187.330000000075</v>
      </c>
      <c r="AC4" s="14">
        <v>80202.540000000081</v>
      </c>
      <c r="AD4" s="14">
        <v>80204.210000000079</v>
      </c>
      <c r="AE4" s="14">
        <v>80224.370000000083</v>
      </c>
      <c r="AF4" s="15">
        <v>80243.450000000084</v>
      </c>
      <c r="AG4" s="51">
        <f t="shared" ref="AG4:AG35" si="0">MAX(B4:AF4)</f>
        <v>80243.450000000084</v>
      </c>
      <c r="AH4" s="44">
        <v>80057.39</v>
      </c>
    </row>
    <row r="5" spans="1:34" x14ac:dyDescent="0.35">
      <c r="A5" s="33" t="s">
        <v>11</v>
      </c>
      <c r="B5" s="10">
        <v>80576.70000000023</v>
      </c>
      <c r="C5" s="2">
        <v>80597.000000000233</v>
      </c>
      <c r="D5" s="2">
        <v>80618.870000000228</v>
      </c>
      <c r="E5" s="2">
        <v>80637.380000000223</v>
      </c>
      <c r="F5" s="2">
        <v>80651.980000000229</v>
      </c>
      <c r="G5" s="2">
        <v>80673.780000000232</v>
      </c>
      <c r="H5" s="2">
        <v>80691.530000000232</v>
      </c>
      <c r="I5" s="2">
        <v>80711.870000000228</v>
      </c>
      <c r="J5" s="2">
        <v>80729.080000000235</v>
      </c>
      <c r="K5" s="2">
        <v>80749.720000000234</v>
      </c>
      <c r="L5" s="2">
        <v>80756.870000000228</v>
      </c>
      <c r="M5" s="2">
        <v>80774.940000000235</v>
      </c>
      <c r="N5" s="2">
        <v>80796.360000000233</v>
      </c>
      <c r="O5" s="2">
        <v>80817.850000000239</v>
      </c>
      <c r="P5" s="2">
        <v>80830.540000000241</v>
      </c>
      <c r="Q5" s="2">
        <v>80852.640000000247</v>
      </c>
      <c r="R5" s="2">
        <v>80874.150000000242</v>
      </c>
      <c r="S5" s="2">
        <v>80895.640000000247</v>
      </c>
      <c r="T5" s="2">
        <v>80917.110000000248</v>
      </c>
      <c r="U5" s="2">
        <v>80935.320000000254</v>
      </c>
      <c r="V5" s="2">
        <v>80952.320000000254</v>
      </c>
      <c r="W5" s="2">
        <v>80965.280000000261</v>
      </c>
      <c r="X5" s="2">
        <v>80986.92000000026</v>
      </c>
      <c r="Y5" s="2">
        <v>81006.100000000253</v>
      </c>
      <c r="Z5" s="2">
        <v>81026.350000000253</v>
      </c>
      <c r="AA5" s="2">
        <v>81039.280000000246</v>
      </c>
      <c r="AB5" s="2">
        <v>81060.94000000025</v>
      </c>
      <c r="AC5" s="2">
        <v>81080.890000000247</v>
      </c>
      <c r="AD5" s="2">
        <v>81101.870000000243</v>
      </c>
      <c r="AE5" s="2">
        <v>81114.700000000244</v>
      </c>
      <c r="AF5" s="3">
        <v>81123.080000000249</v>
      </c>
      <c r="AG5" s="51">
        <f t="shared" si="0"/>
        <v>81123.080000000249</v>
      </c>
      <c r="AH5" s="44">
        <v>80557.8</v>
      </c>
    </row>
    <row r="6" spans="1:34" x14ac:dyDescent="0.35">
      <c r="A6" s="33" t="s">
        <v>12</v>
      </c>
      <c r="B6" s="10">
        <v>80700.739999999889</v>
      </c>
      <c r="C6" s="2">
        <v>80711.549999999886</v>
      </c>
      <c r="D6" s="2">
        <v>80728.099999999889</v>
      </c>
      <c r="E6" s="2">
        <v>80749.699999999895</v>
      </c>
      <c r="F6" s="2">
        <v>80771.019999999902</v>
      </c>
      <c r="G6" s="2">
        <v>80792.019999999902</v>
      </c>
      <c r="H6" s="2">
        <v>80811.809999999896</v>
      </c>
      <c r="I6" s="2">
        <v>80831.839999999895</v>
      </c>
      <c r="J6" s="2">
        <v>80842.069999999891</v>
      </c>
      <c r="K6" s="2">
        <v>80862.45999999989</v>
      </c>
      <c r="L6" s="2">
        <v>80873.309999999896</v>
      </c>
      <c r="M6" s="2">
        <v>80873.309999999896</v>
      </c>
      <c r="N6" s="2">
        <v>80873.309999999896</v>
      </c>
      <c r="O6" s="2">
        <v>80893.409999999902</v>
      </c>
      <c r="P6" s="2">
        <v>80914.999999999898</v>
      </c>
      <c r="Q6" s="2">
        <v>80932.449999999895</v>
      </c>
      <c r="R6" s="2">
        <v>80952.239999999889</v>
      </c>
      <c r="S6" s="2">
        <v>80971.969999999885</v>
      </c>
      <c r="T6" s="2">
        <v>80993.129999999888</v>
      </c>
      <c r="U6" s="2">
        <v>81010.939999999886</v>
      </c>
      <c r="V6" s="2">
        <v>81032.009999999893</v>
      </c>
      <c r="W6" s="2">
        <v>81052.839999999895</v>
      </c>
      <c r="X6" s="2">
        <v>81066.179999999891</v>
      </c>
      <c r="Y6" s="2">
        <v>81086.139999999898</v>
      </c>
      <c r="Z6" s="2">
        <v>81087.289999999892</v>
      </c>
      <c r="AA6" s="2">
        <v>81108.719999999885</v>
      </c>
      <c r="AB6" s="2">
        <v>81122.58999999988</v>
      </c>
      <c r="AC6" s="2">
        <v>81135.929999999877</v>
      </c>
      <c r="AD6" s="2">
        <v>81156.849999999875</v>
      </c>
      <c r="AE6" s="2">
        <v>81175.559999999881</v>
      </c>
      <c r="AF6" s="3">
        <v>81194.469999999885</v>
      </c>
      <c r="AG6" s="51">
        <f t="shared" si="0"/>
        <v>81194.469999999885</v>
      </c>
      <c r="AH6" s="44">
        <v>80681.06</v>
      </c>
    </row>
    <row r="7" spans="1:34" x14ac:dyDescent="0.35">
      <c r="A7" s="33" t="s">
        <v>13</v>
      </c>
      <c r="B7" s="10">
        <v>80883.549999999959</v>
      </c>
      <c r="C7" s="2">
        <v>80887.129999999961</v>
      </c>
      <c r="D7" s="2">
        <v>80889.369999999966</v>
      </c>
      <c r="E7" s="2">
        <v>80890.169999999969</v>
      </c>
      <c r="F7" s="2">
        <v>80911.119999999966</v>
      </c>
      <c r="G7" s="2">
        <v>80932.27999999997</v>
      </c>
      <c r="H7" s="2">
        <v>80953.839999999967</v>
      </c>
      <c r="I7" s="2">
        <v>80971.149999999965</v>
      </c>
      <c r="J7" s="2">
        <v>80976.90999999996</v>
      </c>
      <c r="K7" s="2">
        <v>80978.529999999955</v>
      </c>
      <c r="L7" s="2">
        <v>80999.399999999951</v>
      </c>
      <c r="M7" s="2">
        <v>81005.949999999953</v>
      </c>
      <c r="N7" s="2">
        <v>81005.949999999953</v>
      </c>
      <c r="O7" s="2">
        <v>81005.949999999953</v>
      </c>
      <c r="P7" s="2">
        <v>81012.069999999949</v>
      </c>
      <c r="Q7" s="2">
        <v>81030.829999999944</v>
      </c>
      <c r="R7" s="2">
        <v>81048.719999999943</v>
      </c>
      <c r="S7" s="2">
        <v>81070.099999999948</v>
      </c>
      <c r="T7" s="2">
        <v>81088.059999999954</v>
      </c>
      <c r="U7" s="2">
        <v>81109.279999999955</v>
      </c>
      <c r="V7" s="2">
        <v>81130.629999999961</v>
      </c>
      <c r="W7" s="2">
        <v>81151.509999999966</v>
      </c>
      <c r="X7" s="2">
        <v>81163.199999999968</v>
      </c>
      <c r="Y7" s="2">
        <v>81182.689999999973</v>
      </c>
      <c r="Z7" s="2">
        <v>81203.979999999967</v>
      </c>
      <c r="AA7" s="2">
        <v>81225.819999999963</v>
      </c>
      <c r="AB7" s="2">
        <v>81237.549999999959</v>
      </c>
      <c r="AC7" s="2">
        <v>81257.689999999959</v>
      </c>
      <c r="AD7" s="2">
        <v>81270.379999999961</v>
      </c>
      <c r="AE7" s="2">
        <v>81271.929999999964</v>
      </c>
      <c r="AF7" s="3">
        <v>81293.15999999996</v>
      </c>
      <c r="AG7" s="51">
        <f t="shared" si="0"/>
        <v>81293.15999999996</v>
      </c>
      <c r="AH7" s="44">
        <v>80877.81</v>
      </c>
    </row>
    <row r="8" spans="1:34" x14ac:dyDescent="0.35">
      <c r="A8" s="33" t="s">
        <v>14</v>
      </c>
      <c r="B8" s="10">
        <v>76235.590000000084</v>
      </c>
      <c r="C8" s="2">
        <v>76256.460000000079</v>
      </c>
      <c r="D8" s="2">
        <v>76278.620000000083</v>
      </c>
      <c r="E8" s="2">
        <v>76278.750000000087</v>
      </c>
      <c r="F8" s="2">
        <v>76296.130000000092</v>
      </c>
      <c r="G8" s="2">
        <v>76314.94000000009</v>
      </c>
      <c r="H8" s="2">
        <v>76334.340000000084</v>
      </c>
      <c r="I8" s="2">
        <v>76348.500000000087</v>
      </c>
      <c r="J8" s="2">
        <v>76367.380000000092</v>
      </c>
      <c r="K8" s="2">
        <v>76380.290000000095</v>
      </c>
      <c r="L8" s="2">
        <v>76397.580000000089</v>
      </c>
      <c r="M8" s="2">
        <v>76419.030000000086</v>
      </c>
      <c r="N8" s="2">
        <v>76439.370000000083</v>
      </c>
      <c r="O8" s="2">
        <v>76460.060000000085</v>
      </c>
      <c r="P8" s="2">
        <v>76481.250000000087</v>
      </c>
      <c r="Q8" s="2">
        <v>76492.850000000093</v>
      </c>
      <c r="R8" s="2">
        <v>76508.950000000099</v>
      </c>
      <c r="S8" s="2">
        <v>76514.800000000105</v>
      </c>
      <c r="T8" s="2">
        <v>76531.490000000107</v>
      </c>
      <c r="U8" s="2">
        <v>76549.6700000001</v>
      </c>
      <c r="V8" s="2">
        <v>76566.960000000094</v>
      </c>
      <c r="W8" s="2">
        <v>76579.090000000098</v>
      </c>
      <c r="X8" s="2">
        <v>76599.770000000091</v>
      </c>
      <c r="Y8" s="2">
        <v>76612.100000000093</v>
      </c>
      <c r="Z8" s="2">
        <v>76632.620000000097</v>
      </c>
      <c r="AA8" s="2">
        <v>76648.620000000097</v>
      </c>
      <c r="AB8" s="2">
        <v>76669.090000000098</v>
      </c>
      <c r="AC8" s="2">
        <v>76685.200000000099</v>
      </c>
      <c r="AD8" s="2">
        <v>76703.680000000095</v>
      </c>
      <c r="AE8" s="2">
        <v>76725.460000000094</v>
      </c>
      <c r="AF8" s="3">
        <v>76731.990000000093</v>
      </c>
      <c r="AG8" s="51">
        <f t="shared" si="0"/>
        <v>76731.990000000093</v>
      </c>
      <c r="AH8" s="44">
        <v>76223.95</v>
      </c>
    </row>
    <row r="9" spans="1:34" x14ac:dyDescent="0.35">
      <c r="A9" s="33" t="s">
        <v>15</v>
      </c>
      <c r="B9" s="10">
        <v>78426.880000000005</v>
      </c>
      <c r="C9" s="2">
        <v>78439.77</v>
      </c>
      <c r="D9" s="2">
        <v>78460.990000000005</v>
      </c>
      <c r="E9" s="2">
        <v>78461.290000000008</v>
      </c>
      <c r="F9" s="2">
        <v>78461.290000000008</v>
      </c>
      <c r="G9" s="2">
        <v>78479.97</v>
      </c>
      <c r="H9" s="2">
        <v>78496.009999999995</v>
      </c>
      <c r="I9" s="2">
        <v>78510.149999999994</v>
      </c>
      <c r="J9" s="2">
        <v>78531.349999999991</v>
      </c>
      <c r="K9" s="2">
        <v>78549.48</v>
      </c>
      <c r="L9" s="2">
        <v>78564.489999999991</v>
      </c>
      <c r="M9" s="2">
        <v>78572.079999999987</v>
      </c>
      <c r="N9" s="2">
        <v>78593.529999999984</v>
      </c>
      <c r="O9" s="2">
        <v>78613.329999999987</v>
      </c>
      <c r="P9" s="2">
        <v>78634.739999999991</v>
      </c>
      <c r="Q9" s="2">
        <v>78651.7</v>
      </c>
      <c r="R9" s="2">
        <v>78666.64</v>
      </c>
      <c r="S9" s="2">
        <v>78681.17</v>
      </c>
      <c r="T9" s="2">
        <v>78685.09</v>
      </c>
      <c r="U9" s="2">
        <v>78702.05</v>
      </c>
      <c r="V9" s="2">
        <v>78720.05</v>
      </c>
      <c r="W9" s="2">
        <v>78726.850000000006</v>
      </c>
      <c r="X9" s="2">
        <v>78738.62000000001</v>
      </c>
      <c r="Y9" s="2">
        <v>78754.470000000016</v>
      </c>
      <c r="Z9" s="2">
        <v>78774.880000000019</v>
      </c>
      <c r="AA9" s="2">
        <v>78796.230000000025</v>
      </c>
      <c r="AB9" s="2">
        <v>78817.640000000029</v>
      </c>
      <c r="AC9" s="2">
        <v>78838.020000000033</v>
      </c>
      <c r="AD9" s="2">
        <v>78859.620000000039</v>
      </c>
      <c r="AE9" s="2">
        <v>78874.870000000039</v>
      </c>
      <c r="AF9" s="3">
        <v>78891.460000000036</v>
      </c>
      <c r="AG9" s="51">
        <f t="shared" si="0"/>
        <v>78891.460000000036</v>
      </c>
      <c r="AH9" s="44">
        <v>78406.33</v>
      </c>
    </row>
    <row r="10" spans="1:34" x14ac:dyDescent="0.35">
      <c r="A10" s="33" t="s">
        <v>16</v>
      </c>
      <c r="B10" s="10">
        <v>77828.82000000008</v>
      </c>
      <c r="C10" s="2">
        <v>77833.800000000076</v>
      </c>
      <c r="D10" s="2">
        <v>77836.57000000008</v>
      </c>
      <c r="E10" s="2">
        <v>77858.600000000079</v>
      </c>
      <c r="F10" s="2">
        <v>77879.240000000078</v>
      </c>
      <c r="G10" s="2">
        <v>77900.440000000075</v>
      </c>
      <c r="H10" s="2">
        <v>77920.900000000081</v>
      </c>
      <c r="I10" s="2">
        <v>77940.000000000087</v>
      </c>
      <c r="J10" s="2">
        <v>77955.170000000086</v>
      </c>
      <c r="K10" s="2">
        <v>77962.400000000081</v>
      </c>
      <c r="L10" s="2">
        <v>77974.790000000081</v>
      </c>
      <c r="M10" s="2">
        <v>77984.040000000081</v>
      </c>
      <c r="N10" s="2">
        <v>77987.030000000086</v>
      </c>
      <c r="O10" s="2">
        <v>78007.360000000088</v>
      </c>
      <c r="P10" s="2">
        <v>78028.94000000009</v>
      </c>
      <c r="Q10" s="2">
        <v>78050.490000000093</v>
      </c>
      <c r="R10" s="2">
        <v>78067.5600000001</v>
      </c>
      <c r="S10" s="2">
        <v>78083.650000000096</v>
      </c>
      <c r="T10" s="2">
        <v>78104.910000000091</v>
      </c>
      <c r="U10" s="2">
        <v>78119.860000000088</v>
      </c>
      <c r="V10" s="2">
        <v>78134.860000000088</v>
      </c>
      <c r="W10" s="2">
        <v>78146.320000000094</v>
      </c>
      <c r="X10" s="2">
        <v>78163.8100000001</v>
      </c>
      <c r="Y10" s="2">
        <v>78185.320000000094</v>
      </c>
      <c r="Z10" s="2">
        <v>78207.280000000101</v>
      </c>
      <c r="AA10" s="2">
        <v>78228.860000000102</v>
      </c>
      <c r="AB10" s="2">
        <v>78243.830000000104</v>
      </c>
      <c r="AC10" s="2">
        <v>78253.370000000097</v>
      </c>
      <c r="AD10" s="2">
        <v>78254.740000000093</v>
      </c>
      <c r="AE10" s="2">
        <v>78254.740000000093</v>
      </c>
      <c r="AF10" s="3">
        <v>78254.740000000093</v>
      </c>
      <c r="AG10" s="51">
        <f t="shared" si="0"/>
        <v>78254.740000000093</v>
      </c>
      <c r="AH10" s="44">
        <v>77807.11</v>
      </c>
    </row>
    <row r="11" spans="1:34" x14ac:dyDescent="0.35">
      <c r="A11" s="33" t="s">
        <v>17</v>
      </c>
      <c r="B11" s="10">
        <v>75907.090000000419</v>
      </c>
      <c r="C11" s="2">
        <v>75919.56000000042</v>
      </c>
      <c r="D11" s="2">
        <v>75941.440000000424</v>
      </c>
      <c r="E11" s="2">
        <v>75962.54000000043</v>
      </c>
      <c r="F11" s="2">
        <v>75983.810000000434</v>
      </c>
      <c r="G11" s="2">
        <v>76005.41000000044</v>
      </c>
      <c r="H11" s="2">
        <v>76019.150000000445</v>
      </c>
      <c r="I11" s="2">
        <v>76040.28000000045</v>
      </c>
      <c r="J11" s="2">
        <v>76062.880000000456</v>
      </c>
      <c r="K11" s="2">
        <v>76079.770000000455</v>
      </c>
      <c r="L11" s="2">
        <v>76100.450000000448</v>
      </c>
      <c r="M11" s="2">
        <v>76122.150000000445</v>
      </c>
      <c r="N11" s="2">
        <v>76135.16000000044</v>
      </c>
      <c r="O11" s="2">
        <v>76149.050000000439</v>
      </c>
      <c r="P11" s="2">
        <v>76170.220000000438</v>
      </c>
      <c r="Q11" s="2">
        <v>76191.920000000435</v>
      </c>
      <c r="R11" s="2">
        <v>76212.860000000437</v>
      </c>
      <c r="S11" s="2">
        <v>76234.240000000442</v>
      </c>
      <c r="T11" s="2">
        <v>76255.460000000443</v>
      </c>
      <c r="U11" s="2">
        <v>76277.190000000439</v>
      </c>
      <c r="V11" s="2">
        <v>76298.360000000437</v>
      </c>
      <c r="W11" s="2">
        <v>76314.110000000437</v>
      </c>
      <c r="X11" s="2">
        <v>76332.770000000441</v>
      </c>
      <c r="Y11" s="2">
        <v>76353.66000000044</v>
      </c>
      <c r="Z11" s="2">
        <v>76375.330000000438</v>
      </c>
      <c r="AA11" s="2">
        <v>76396.020000000441</v>
      </c>
      <c r="AB11" s="2">
        <v>76417.460000000443</v>
      </c>
      <c r="AC11" s="2">
        <v>76434.370000000446</v>
      </c>
      <c r="AD11" s="2">
        <v>76455.310000000449</v>
      </c>
      <c r="AE11" s="2">
        <v>76455.790000000445</v>
      </c>
      <c r="AF11" s="3">
        <v>76462.270000000441</v>
      </c>
      <c r="AG11" s="51">
        <f t="shared" si="0"/>
        <v>76462.270000000441</v>
      </c>
      <c r="AH11" s="44">
        <v>75889.05</v>
      </c>
    </row>
    <row r="12" spans="1:34" x14ac:dyDescent="0.35">
      <c r="A12" s="33" t="s">
        <v>18</v>
      </c>
      <c r="B12" s="10">
        <v>76406.539999999848</v>
      </c>
      <c r="C12" s="2">
        <v>76423.269999999844</v>
      </c>
      <c r="D12" s="2">
        <v>76440.239999999845</v>
      </c>
      <c r="E12" s="2">
        <v>76440.359999999841</v>
      </c>
      <c r="F12" s="2">
        <v>76440.359999999841</v>
      </c>
      <c r="G12" s="2">
        <v>76455.609999999841</v>
      </c>
      <c r="H12" s="2">
        <v>76469.879999999845</v>
      </c>
      <c r="I12" s="2">
        <v>76469.879999999845</v>
      </c>
      <c r="J12" s="2">
        <v>76487.179999999847</v>
      </c>
      <c r="K12" s="2">
        <v>76504.839999999851</v>
      </c>
      <c r="L12" s="2">
        <v>76517.759999999849</v>
      </c>
      <c r="M12" s="2">
        <v>76531.689999999842</v>
      </c>
      <c r="N12" s="2">
        <v>76548.119999999835</v>
      </c>
      <c r="O12" s="2">
        <v>76568.559999999838</v>
      </c>
      <c r="P12" s="2">
        <v>76589.319999999832</v>
      </c>
      <c r="Q12" s="2">
        <v>76605.999999999825</v>
      </c>
      <c r="R12" s="2">
        <v>76627.929999999818</v>
      </c>
      <c r="S12" s="2">
        <v>76648.00999999982</v>
      </c>
      <c r="T12" s="2">
        <v>76655.209999999817</v>
      </c>
      <c r="U12" s="2">
        <v>76676.939999999813</v>
      </c>
      <c r="V12" s="2">
        <v>76696.669999999809</v>
      </c>
      <c r="W12" s="2">
        <v>76718.059999999808</v>
      </c>
      <c r="X12" s="2">
        <v>76739.329999999813</v>
      </c>
      <c r="Y12" s="2">
        <v>76760.559999999808</v>
      </c>
      <c r="Z12" s="2">
        <v>76781.429999999804</v>
      </c>
      <c r="AA12" s="2">
        <v>76803.079999999798</v>
      </c>
      <c r="AB12" s="2">
        <v>76825.289999999804</v>
      </c>
      <c r="AC12" s="2">
        <v>76846.9099999998</v>
      </c>
      <c r="AD12" s="2">
        <v>76868.629999999801</v>
      </c>
      <c r="AE12" s="2">
        <v>76890.449999999808</v>
      </c>
      <c r="AF12" s="3">
        <v>76902.629999999801</v>
      </c>
      <c r="AG12" s="51">
        <f t="shared" si="0"/>
        <v>76902.629999999801</v>
      </c>
      <c r="AH12" s="44">
        <v>76385.13</v>
      </c>
    </row>
    <row r="13" spans="1:34" x14ac:dyDescent="0.35">
      <c r="A13" s="33" t="s">
        <v>19</v>
      </c>
      <c r="B13" s="10">
        <v>73137.510000000009</v>
      </c>
      <c r="C13" s="2">
        <v>73155.8</v>
      </c>
      <c r="D13" s="2">
        <v>73177.23</v>
      </c>
      <c r="E13" s="2">
        <v>73199.11</v>
      </c>
      <c r="F13" s="2">
        <v>73217.240000000005</v>
      </c>
      <c r="G13" s="2">
        <v>73232.77</v>
      </c>
      <c r="H13" s="2">
        <v>73254.22</v>
      </c>
      <c r="I13" s="2">
        <v>73273.440000000002</v>
      </c>
      <c r="J13" s="2">
        <v>73287.91</v>
      </c>
      <c r="K13" s="2">
        <v>73308.490000000005</v>
      </c>
      <c r="L13" s="2">
        <v>73327.97</v>
      </c>
      <c r="M13" s="2">
        <v>73329.540000000008</v>
      </c>
      <c r="N13" s="2">
        <v>73343.680000000008</v>
      </c>
      <c r="O13" s="2">
        <v>73364.090000000011</v>
      </c>
      <c r="P13" s="2">
        <v>73386.010000000009</v>
      </c>
      <c r="Q13" s="2">
        <v>73404.98000000001</v>
      </c>
      <c r="R13" s="2">
        <v>73426.000000000015</v>
      </c>
      <c r="S13" s="2">
        <v>73441.510000000009</v>
      </c>
      <c r="T13" s="2">
        <v>73459.710000000006</v>
      </c>
      <c r="U13" s="2">
        <v>73480.41</v>
      </c>
      <c r="V13" s="2">
        <v>73500.81</v>
      </c>
      <c r="W13" s="2">
        <v>73522.399999999994</v>
      </c>
      <c r="X13" s="2">
        <v>73543.81</v>
      </c>
      <c r="Y13" s="2">
        <v>73556.7</v>
      </c>
      <c r="Z13" s="2">
        <v>73575.759999999995</v>
      </c>
      <c r="AA13" s="2">
        <v>73597.5</v>
      </c>
      <c r="AB13" s="2">
        <v>73619.34</v>
      </c>
      <c r="AC13" s="2">
        <v>73639.33</v>
      </c>
      <c r="AD13" s="2">
        <v>73659.83</v>
      </c>
      <c r="AE13" s="2">
        <v>73681.290000000008</v>
      </c>
      <c r="AF13" s="3">
        <v>73701.600000000006</v>
      </c>
      <c r="AG13" s="51">
        <f t="shared" si="0"/>
        <v>73701.600000000006</v>
      </c>
      <c r="AH13" s="44">
        <v>73115.360000000001</v>
      </c>
    </row>
    <row r="14" spans="1:34" x14ac:dyDescent="0.35">
      <c r="A14" s="33" t="s">
        <v>20</v>
      </c>
      <c r="B14" s="10">
        <v>71520.530000000115</v>
      </c>
      <c r="C14" s="2">
        <v>71541.080000000118</v>
      </c>
      <c r="D14" s="2">
        <v>71561.480000000112</v>
      </c>
      <c r="E14" s="2">
        <v>71583.020000000106</v>
      </c>
      <c r="F14" s="2">
        <v>71604.510000000111</v>
      </c>
      <c r="G14" s="2">
        <v>71621.230000000112</v>
      </c>
      <c r="H14" s="2">
        <v>71642.54000000011</v>
      </c>
      <c r="I14" s="2">
        <v>71654.330000000104</v>
      </c>
      <c r="J14" s="2">
        <v>71672.590000000098</v>
      </c>
      <c r="K14" s="2">
        <v>71691.500000000102</v>
      </c>
      <c r="L14" s="2">
        <v>71712.480000000098</v>
      </c>
      <c r="M14" s="2">
        <v>71734.150000000096</v>
      </c>
      <c r="N14" s="2">
        <v>71751.210000000094</v>
      </c>
      <c r="O14" s="2">
        <v>71771.040000000095</v>
      </c>
      <c r="P14" s="2">
        <v>71792.460000000094</v>
      </c>
      <c r="Q14" s="2">
        <v>71812.5600000001</v>
      </c>
      <c r="R14" s="2">
        <v>71834.000000000102</v>
      </c>
      <c r="S14" s="2">
        <v>71834.030000000101</v>
      </c>
      <c r="T14" s="2">
        <v>71834.030000000101</v>
      </c>
      <c r="U14" s="2">
        <v>71834.030000000101</v>
      </c>
      <c r="V14" s="2">
        <v>71834.030000000101</v>
      </c>
      <c r="W14" s="2">
        <v>71853.510000000097</v>
      </c>
      <c r="X14" s="2">
        <v>71870.250000000102</v>
      </c>
      <c r="Y14" s="2">
        <v>71890.730000000098</v>
      </c>
      <c r="Z14" s="2">
        <v>71911.070000000094</v>
      </c>
      <c r="AA14" s="2">
        <v>71930.990000000093</v>
      </c>
      <c r="AB14" s="2">
        <v>71947.570000000094</v>
      </c>
      <c r="AC14" s="2">
        <v>71953.990000000093</v>
      </c>
      <c r="AD14" s="2">
        <v>71965.890000000087</v>
      </c>
      <c r="AE14" s="2">
        <v>71987.150000000081</v>
      </c>
      <c r="AF14" s="3">
        <v>72008.220000000088</v>
      </c>
      <c r="AG14" s="51">
        <f t="shared" si="0"/>
        <v>72008.220000000088</v>
      </c>
      <c r="AH14" s="44">
        <v>71513.19</v>
      </c>
    </row>
    <row r="15" spans="1:34" x14ac:dyDescent="0.35">
      <c r="A15" s="33" t="s">
        <v>21</v>
      </c>
      <c r="B15" s="10">
        <v>72569.700000000143</v>
      </c>
      <c r="C15" s="2">
        <v>72591.060000000143</v>
      </c>
      <c r="D15" s="2">
        <v>72607.570000000138</v>
      </c>
      <c r="E15" s="2">
        <v>72629.220000000132</v>
      </c>
      <c r="F15" s="2">
        <v>72650.200000000128</v>
      </c>
      <c r="G15" s="2">
        <v>72667.880000000121</v>
      </c>
      <c r="H15" s="2">
        <v>72688.230000000127</v>
      </c>
      <c r="I15" s="2">
        <v>72708.630000000121</v>
      </c>
      <c r="J15" s="2">
        <v>72717.370000000126</v>
      </c>
      <c r="K15" s="2">
        <v>72723.370000000126</v>
      </c>
      <c r="L15" s="2">
        <v>72728.810000000129</v>
      </c>
      <c r="M15" s="2">
        <v>72749.460000000123</v>
      </c>
      <c r="N15" s="2">
        <v>72771.370000000126</v>
      </c>
      <c r="O15" s="2">
        <v>72789.620000000126</v>
      </c>
      <c r="P15" s="2">
        <v>72811.120000000126</v>
      </c>
      <c r="Q15" s="2">
        <v>72832.64000000013</v>
      </c>
      <c r="R15" s="2">
        <v>72853.940000000133</v>
      </c>
      <c r="S15" s="2">
        <v>72875.630000000136</v>
      </c>
      <c r="T15" s="2">
        <v>72896.64000000013</v>
      </c>
      <c r="U15" s="2">
        <v>72917.750000000131</v>
      </c>
      <c r="V15" s="2">
        <v>72935.930000000124</v>
      </c>
      <c r="W15" s="2">
        <v>72950.820000000123</v>
      </c>
      <c r="X15" s="2">
        <v>72954.440000000119</v>
      </c>
      <c r="Y15" s="2">
        <v>72970.260000000126</v>
      </c>
      <c r="Z15" s="2">
        <v>72991.460000000123</v>
      </c>
      <c r="AA15" s="2">
        <v>73013.430000000124</v>
      </c>
      <c r="AB15" s="2">
        <v>73035.240000000122</v>
      </c>
      <c r="AC15" s="2">
        <v>73051.360000000117</v>
      </c>
      <c r="AD15" s="2">
        <v>73070.970000000118</v>
      </c>
      <c r="AE15" s="2">
        <v>73092.560000000114</v>
      </c>
      <c r="AF15" s="3">
        <v>73112.680000000109</v>
      </c>
      <c r="AG15" s="51">
        <f t="shared" si="0"/>
        <v>73112.680000000109</v>
      </c>
      <c r="AH15" s="44">
        <v>72548.95</v>
      </c>
    </row>
    <row r="16" spans="1:34" x14ac:dyDescent="0.35">
      <c r="A16" s="33" t="s">
        <v>22</v>
      </c>
      <c r="B16" s="10">
        <v>70308.609999999942</v>
      </c>
      <c r="C16" s="2">
        <v>70321.499999999942</v>
      </c>
      <c r="D16" s="2">
        <v>70341.999999999942</v>
      </c>
      <c r="E16" s="2">
        <v>70356.929999999935</v>
      </c>
      <c r="F16" s="2">
        <v>70376.709999999934</v>
      </c>
      <c r="G16" s="2">
        <v>70398.309999999939</v>
      </c>
      <c r="H16" s="2">
        <v>70416.309999999939</v>
      </c>
      <c r="I16" s="2">
        <v>70432.539999999935</v>
      </c>
      <c r="J16" s="2">
        <v>70452.91999999994</v>
      </c>
      <c r="K16" s="2">
        <v>70466.959999999934</v>
      </c>
      <c r="L16" s="2">
        <v>70482.739999999932</v>
      </c>
      <c r="M16" s="2">
        <v>70504.079999999929</v>
      </c>
      <c r="N16" s="2">
        <v>70522.089999999924</v>
      </c>
      <c r="O16" s="2">
        <v>70543.109999999928</v>
      </c>
      <c r="P16" s="2">
        <v>70564.649999999921</v>
      </c>
      <c r="Q16" s="2">
        <v>70586.329999999914</v>
      </c>
      <c r="R16" s="2">
        <v>70607.779999999912</v>
      </c>
      <c r="S16" s="2">
        <v>70628.879999999917</v>
      </c>
      <c r="T16" s="2">
        <v>70641.969999999914</v>
      </c>
      <c r="U16" s="2">
        <v>70658.759999999907</v>
      </c>
      <c r="V16" s="2">
        <v>70678.999999999913</v>
      </c>
      <c r="W16" s="2">
        <v>70700.579999999914</v>
      </c>
      <c r="X16" s="2">
        <v>70720.30999999991</v>
      </c>
      <c r="Y16" s="2">
        <v>70725.769999999917</v>
      </c>
      <c r="Z16" s="2">
        <v>70747.169999999911</v>
      </c>
      <c r="AA16" s="2">
        <v>70753.579999999914</v>
      </c>
      <c r="AB16" s="2">
        <v>70753.579999999914</v>
      </c>
      <c r="AC16" s="2">
        <v>70753.579999999914</v>
      </c>
      <c r="AD16" s="2">
        <v>70764.279999999912</v>
      </c>
      <c r="AE16" s="2">
        <v>70772.219999999914</v>
      </c>
      <c r="AF16" s="3">
        <v>70789.899999999907</v>
      </c>
      <c r="AG16" s="51">
        <f t="shared" si="0"/>
        <v>70789.899999999907</v>
      </c>
      <c r="AH16" s="44">
        <v>70301.710000000006</v>
      </c>
    </row>
    <row r="17" spans="1:34" x14ac:dyDescent="0.35">
      <c r="A17" s="33" t="s">
        <v>23</v>
      </c>
      <c r="B17" s="10">
        <v>71765.140000000116</v>
      </c>
      <c r="C17" s="2">
        <v>71786.950000000114</v>
      </c>
      <c r="D17" s="2">
        <v>71808.050000000119</v>
      </c>
      <c r="E17" s="2">
        <v>71828.580000000118</v>
      </c>
      <c r="F17" s="2">
        <v>71850.330000000118</v>
      </c>
      <c r="G17" s="2">
        <v>71871.680000000124</v>
      </c>
      <c r="H17" s="2">
        <v>71892.500000000131</v>
      </c>
      <c r="I17" s="2">
        <v>71914.320000000138</v>
      </c>
      <c r="J17" s="2">
        <v>71935.800000000134</v>
      </c>
      <c r="K17" s="2">
        <v>71952.520000000135</v>
      </c>
      <c r="L17" s="2">
        <v>71974.100000000137</v>
      </c>
      <c r="M17" s="2">
        <v>71995.420000000144</v>
      </c>
      <c r="N17" s="2">
        <v>72012.700000000143</v>
      </c>
      <c r="O17" s="2">
        <v>72029.790000000139</v>
      </c>
      <c r="P17" s="2">
        <v>72051.120000000141</v>
      </c>
      <c r="Q17" s="2">
        <v>72071.65000000014</v>
      </c>
      <c r="R17" s="2">
        <v>72092.040000000139</v>
      </c>
      <c r="S17" s="2">
        <v>72111.620000000141</v>
      </c>
      <c r="T17" s="2">
        <v>72132.880000000136</v>
      </c>
      <c r="U17" s="2">
        <v>72152.51000000014</v>
      </c>
      <c r="V17" s="2">
        <v>72173.820000000138</v>
      </c>
      <c r="W17" s="2">
        <v>72195.140000000145</v>
      </c>
      <c r="X17" s="2">
        <v>72214.000000000146</v>
      </c>
      <c r="Y17" s="2">
        <v>72230.860000000146</v>
      </c>
      <c r="Z17" s="2">
        <v>72243.860000000146</v>
      </c>
      <c r="AA17" s="2">
        <v>72264.340000000142</v>
      </c>
      <c r="AB17" s="2">
        <v>72286.020000000135</v>
      </c>
      <c r="AC17" s="2">
        <v>72307.480000000141</v>
      </c>
      <c r="AD17" s="2">
        <v>72330.050000000148</v>
      </c>
      <c r="AE17" s="2">
        <v>72348.730000000141</v>
      </c>
      <c r="AF17" s="3">
        <v>72369.51000000014</v>
      </c>
      <c r="AG17" s="51">
        <f t="shared" si="0"/>
        <v>72369.51000000014</v>
      </c>
      <c r="AH17" s="44">
        <v>71742.740000000005</v>
      </c>
    </row>
    <row r="18" spans="1:34" x14ac:dyDescent="0.35">
      <c r="A18" s="33" t="s">
        <v>24</v>
      </c>
      <c r="B18" s="10">
        <v>71986.940000000104</v>
      </c>
      <c r="C18" s="2">
        <v>72008.840000000098</v>
      </c>
      <c r="D18" s="2">
        <v>72025.740000000093</v>
      </c>
      <c r="E18" s="2">
        <v>72043.510000000097</v>
      </c>
      <c r="F18" s="2">
        <v>72043.510000000097</v>
      </c>
      <c r="G18" s="2">
        <v>72056.410000000091</v>
      </c>
      <c r="H18" s="2">
        <v>72076.640000000087</v>
      </c>
      <c r="I18" s="2">
        <v>72097.140000000087</v>
      </c>
      <c r="J18" s="2">
        <v>72118.57000000008</v>
      </c>
      <c r="K18" s="2">
        <v>72134.490000000078</v>
      </c>
      <c r="L18" s="2">
        <v>72154.350000000079</v>
      </c>
      <c r="M18" s="2">
        <v>72170.450000000084</v>
      </c>
      <c r="N18" s="2">
        <v>72191.810000000085</v>
      </c>
      <c r="O18" s="2">
        <v>72212.670000000086</v>
      </c>
      <c r="P18" s="2">
        <v>72233.580000000089</v>
      </c>
      <c r="Q18" s="2">
        <v>72254.890000000087</v>
      </c>
      <c r="R18" s="2">
        <v>72270.960000000094</v>
      </c>
      <c r="S18" s="2">
        <v>72291.270000000091</v>
      </c>
      <c r="T18" s="2">
        <v>72309.730000000098</v>
      </c>
      <c r="U18" s="2">
        <v>72331.230000000098</v>
      </c>
      <c r="V18" s="2">
        <v>72350.180000000095</v>
      </c>
      <c r="W18" s="2">
        <v>72370.950000000099</v>
      </c>
      <c r="X18" s="2">
        <v>72389.270000000106</v>
      </c>
      <c r="Y18" s="2">
        <v>72410.900000000111</v>
      </c>
      <c r="Z18" s="2">
        <v>72432.620000000112</v>
      </c>
      <c r="AA18" s="2">
        <v>72452.350000000108</v>
      </c>
      <c r="AB18" s="2">
        <v>72469.840000000113</v>
      </c>
      <c r="AC18" s="2">
        <v>72490.980000000112</v>
      </c>
      <c r="AD18" s="2">
        <v>72512.330000000118</v>
      </c>
      <c r="AE18" s="2">
        <v>72533.950000000114</v>
      </c>
      <c r="AF18" s="3">
        <v>72555.230000000112</v>
      </c>
      <c r="AG18" s="51">
        <f t="shared" si="0"/>
        <v>72555.230000000112</v>
      </c>
      <c r="AH18" s="44">
        <v>71965.5</v>
      </c>
    </row>
    <row r="19" spans="1:34" x14ac:dyDescent="0.35">
      <c r="A19" s="33" t="s">
        <v>25</v>
      </c>
      <c r="B19" s="10">
        <v>70609.550000000221</v>
      </c>
      <c r="C19" s="2">
        <v>70630.880000000223</v>
      </c>
      <c r="D19" s="2">
        <v>70652.560000000216</v>
      </c>
      <c r="E19" s="2">
        <v>70674.380000000223</v>
      </c>
      <c r="F19" s="2">
        <v>70695.590000000229</v>
      </c>
      <c r="G19" s="2">
        <v>70703.680000000226</v>
      </c>
      <c r="H19" s="2">
        <v>70715.890000000232</v>
      </c>
      <c r="I19" s="2">
        <v>70723.530000000232</v>
      </c>
      <c r="J19" s="2">
        <v>70736.70000000023</v>
      </c>
      <c r="K19" s="2">
        <v>70757.810000000231</v>
      </c>
      <c r="L19" s="2">
        <v>70779.060000000231</v>
      </c>
      <c r="M19" s="2">
        <v>70800.20000000023</v>
      </c>
      <c r="N19" s="2">
        <v>70813.770000000237</v>
      </c>
      <c r="O19" s="2">
        <v>70821.790000000241</v>
      </c>
      <c r="P19" s="2">
        <v>70826.010000000242</v>
      </c>
      <c r="Q19" s="2">
        <v>70847.370000000243</v>
      </c>
      <c r="R19" s="2">
        <v>70866.550000000236</v>
      </c>
      <c r="S19" s="2">
        <v>70878.510000000242</v>
      </c>
      <c r="T19" s="2">
        <v>70898.420000000246</v>
      </c>
      <c r="U19" s="2">
        <v>70911.960000000239</v>
      </c>
      <c r="V19" s="2">
        <v>70920.340000000244</v>
      </c>
      <c r="W19" s="2">
        <v>70934.260000000242</v>
      </c>
      <c r="X19" s="2">
        <v>70955.750000000247</v>
      </c>
      <c r="Y19" s="2">
        <v>70962.910000000251</v>
      </c>
      <c r="Z19" s="2">
        <v>70978.370000000257</v>
      </c>
      <c r="AA19" s="2">
        <v>70994.030000000261</v>
      </c>
      <c r="AB19" s="2">
        <v>71014.680000000255</v>
      </c>
      <c r="AC19" s="2">
        <v>71036.55000000025</v>
      </c>
      <c r="AD19" s="2">
        <v>71042.80000000025</v>
      </c>
      <c r="AE19" s="2">
        <v>71044.110000000248</v>
      </c>
      <c r="AF19" s="3">
        <v>71066.180000000255</v>
      </c>
      <c r="AG19" s="51">
        <f t="shared" si="0"/>
        <v>71066.180000000255</v>
      </c>
      <c r="AH19" s="44">
        <v>70593.259999999995</v>
      </c>
    </row>
    <row r="20" spans="1:34" x14ac:dyDescent="0.35">
      <c r="A20" s="33" t="s">
        <v>26</v>
      </c>
      <c r="B20" s="10">
        <v>71549.769999999946</v>
      </c>
      <c r="C20" s="2">
        <v>71569.379999999946</v>
      </c>
      <c r="D20" s="2">
        <v>71571.489999999947</v>
      </c>
      <c r="E20" s="2">
        <v>71592.939999999944</v>
      </c>
      <c r="F20" s="2">
        <v>71614.569999999949</v>
      </c>
      <c r="G20" s="2">
        <v>71633.769999999946</v>
      </c>
      <c r="H20" s="2">
        <v>71651.579999999944</v>
      </c>
      <c r="I20" s="2">
        <v>71651.579999999944</v>
      </c>
      <c r="J20" s="2">
        <v>71664.609999999942</v>
      </c>
      <c r="K20" s="2">
        <v>71680.619999999937</v>
      </c>
      <c r="L20" s="2">
        <v>71701.789999999935</v>
      </c>
      <c r="M20" s="2">
        <v>71724.219999999928</v>
      </c>
      <c r="N20" s="2">
        <v>71745.219999999928</v>
      </c>
      <c r="O20" s="2">
        <v>71754.839999999924</v>
      </c>
      <c r="P20" s="2">
        <v>71754.839999999924</v>
      </c>
      <c r="Q20" s="2">
        <v>71754.839999999924</v>
      </c>
      <c r="R20" s="2">
        <v>71754.839999999924</v>
      </c>
      <c r="S20" s="2">
        <v>71754.839999999924</v>
      </c>
      <c r="T20" s="2">
        <v>71762.489999999918</v>
      </c>
      <c r="U20" s="2">
        <v>71762.799999999916</v>
      </c>
      <c r="V20" s="2">
        <v>71784.039999999921</v>
      </c>
      <c r="W20" s="2">
        <v>71805.42999999992</v>
      </c>
      <c r="X20" s="2">
        <v>71826.739999999918</v>
      </c>
      <c r="Y20" s="2">
        <v>71848.029999999912</v>
      </c>
      <c r="Z20" s="2">
        <v>71861.339999999909</v>
      </c>
      <c r="AA20" s="2">
        <v>71861.339999999909</v>
      </c>
      <c r="AB20" s="2">
        <v>71881.069999999905</v>
      </c>
      <c r="AC20" s="2">
        <v>71890.94999999991</v>
      </c>
      <c r="AD20" s="2">
        <v>71892.409999999916</v>
      </c>
      <c r="AE20" s="2">
        <v>71892.409999999916</v>
      </c>
      <c r="AF20" s="3">
        <v>71892.409999999916</v>
      </c>
      <c r="AG20" s="51">
        <f t="shared" si="0"/>
        <v>71892.409999999916</v>
      </c>
      <c r="AH20" s="44">
        <v>71538.13</v>
      </c>
    </row>
    <row r="21" spans="1:34" x14ac:dyDescent="0.35">
      <c r="A21" s="33" t="s">
        <v>27</v>
      </c>
      <c r="B21" s="10">
        <v>72606.550000000061</v>
      </c>
      <c r="C21" s="2">
        <v>72628.400000000067</v>
      </c>
      <c r="D21" s="2">
        <v>72649.970000000074</v>
      </c>
      <c r="E21" s="2">
        <v>72671.590000000069</v>
      </c>
      <c r="F21" s="2">
        <v>72689.090000000069</v>
      </c>
      <c r="G21" s="2">
        <v>72699.670000000071</v>
      </c>
      <c r="H21" s="2">
        <v>72700.110000000073</v>
      </c>
      <c r="I21" s="2">
        <v>72717.970000000074</v>
      </c>
      <c r="J21" s="2">
        <v>72739.360000000073</v>
      </c>
      <c r="K21" s="2">
        <v>72760.43000000008</v>
      </c>
      <c r="L21" s="2">
        <v>72781.300000000076</v>
      </c>
      <c r="M21" s="2">
        <v>72803.18000000008</v>
      </c>
      <c r="N21" s="2">
        <v>72810.410000000076</v>
      </c>
      <c r="O21" s="2">
        <v>72810.410000000076</v>
      </c>
      <c r="P21" s="2">
        <v>72810.410000000076</v>
      </c>
      <c r="Q21" s="2">
        <v>72810.410000000076</v>
      </c>
      <c r="R21" s="2">
        <v>72810.410000000076</v>
      </c>
      <c r="S21" s="2">
        <v>72810.410000000076</v>
      </c>
      <c r="T21" s="2">
        <v>72810.410000000076</v>
      </c>
      <c r="U21" s="2">
        <v>72810.410000000076</v>
      </c>
      <c r="V21" s="2">
        <v>72824.010000000082</v>
      </c>
      <c r="W21" s="2">
        <v>72840.050000000076</v>
      </c>
      <c r="X21" s="2">
        <v>72860.840000000069</v>
      </c>
      <c r="Y21" s="2">
        <v>72882.640000000072</v>
      </c>
      <c r="Z21" s="2">
        <v>72903.730000000069</v>
      </c>
      <c r="AA21" s="2">
        <v>72921.420000000071</v>
      </c>
      <c r="AB21" s="2">
        <v>72943.340000000069</v>
      </c>
      <c r="AC21" s="2">
        <v>72953.580000000075</v>
      </c>
      <c r="AD21" s="2">
        <v>72970.150000000081</v>
      </c>
      <c r="AE21" s="2">
        <v>72992.030000000086</v>
      </c>
      <c r="AF21" s="3">
        <v>73013.94000000009</v>
      </c>
      <c r="AG21" s="51">
        <f t="shared" si="0"/>
        <v>73013.94000000009</v>
      </c>
      <c r="AH21" s="44">
        <v>72585.009999999995</v>
      </c>
    </row>
    <row r="22" spans="1:34" x14ac:dyDescent="0.35">
      <c r="A22" s="33" t="s">
        <v>28</v>
      </c>
      <c r="B22" s="10">
        <v>69251.03</v>
      </c>
      <c r="C22" s="2">
        <v>69272.73</v>
      </c>
      <c r="D22" s="2">
        <v>69294.8</v>
      </c>
      <c r="E22" s="2">
        <v>69316.91</v>
      </c>
      <c r="F22" s="2">
        <v>69330.3</v>
      </c>
      <c r="G22" s="2">
        <v>69347.7</v>
      </c>
      <c r="H22" s="2">
        <v>69368.739999999991</v>
      </c>
      <c r="I22" s="2">
        <v>69377.749999999985</v>
      </c>
      <c r="J22" s="2">
        <v>69398.659999999989</v>
      </c>
      <c r="K22" s="2">
        <v>69418.679999999993</v>
      </c>
      <c r="L22" s="2">
        <v>69419.219999999987</v>
      </c>
      <c r="M22" s="2">
        <v>69432.109999999986</v>
      </c>
      <c r="N22" s="2">
        <v>69450.639999999985</v>
      </c>
      <c r="O22" s="2">
        <v>69472.12999999999</v>
      </c>
      <c r="P22" s="2">
        <v>69493.289999999994</v>
      </c>
      <c r="Q22" s="2">
        <v>69514.98</v>
      </c>
      <c r="R22" s="2">
        <v>69536.069999999992</v>
      </c>
      <c r="S22" s="2">
        <v>69557.09</v>
      </c>
      <c r="T22" s="2">
        <v>69578.41</v>
      </c>
      <c r="U22" s="2">
        <v>69589.97</v>
      </c>
      <c r="V22" s="2">
        <v>69592.11</v>
      </c>
      <c r="W22" s="2">
        <v>69592.11</v>
      </c>
      <c r="X22" s="2">
        <v>69592.11</v>
      </c>
      <c r="Y22" s="2">
        <v>69592.11</v>
      </c>
      <c r="Z22" s="2">
        <v>69592.11</v>
      </c>
      <c r="AA22" s="2">
        <v>69592.11</v>
      </c>
      <c r="AB22" s="2">
        <v>69592.11</v>
      </c>
      <c r="AC22" s="2">
        <v>69592.11</v>
      </c>
      <c r="AD22" s="2">
        <v>69592.11</v>
      </c>
      <c r="AE22" s="2">
        <v>69592.11</v>
      </c>
      <c r="AF22" s="3">
        <v>69601.73</v>
      </c>
      <c r="AG22" s="51">
        <f t="shared" si="0"/>
        <v>69601.73</v>
      </c>
      <c r="AH22" s="44">
        <v>69232.759999999995</v>
      </c>
    </row>
    <row r="23" spans="1:34" x14ac:dyDescent="0.35">
      <c r="A23" s="33" t="s">
        <v>29</v>
      </c>
      <c r="B23" s="10">
        <v>66604.329999999914</v>
      </c>
      <c r="C23" s="2">
        <v>66622.269999999917</v>
      </c>
      <c r="D23" s="2">
        <v>66636.089999999924</v>
      </c>
      <c r="E23" s="2">
        <v>66636.089999999924</v>
      </c>
      <c r="F23" s="2">
        <v>66642.259999999922</v>
      </c>
      <c r="G23" s="2">
        <v>66661.259999999922</v>
      </c>
      <c r="H23" s="2">
        <v>66682.199999999924</v>
      </c>
      <c r="I23" s="2">
        <v>66699.54999999993</v>
      </c>
      <c r="J23" s="2">
        <v>66715.949999999924</v>
      </c>
      <c r="K23" s="2">
        <v>66728.959999999919</v>
      </c>
      <c r="L23" s="2">
        <v>66743.239999999918</v>
      </c>
      <c r="M23" s="2">
        <v>66764.149999999921</v>
      </c>
      <c r="N23" s="2">
        <v>66784.099999999919</v>
      </c>
      <c r="O23" s="2">
        <v>66785.999999999913</v>
      </c>
      <c r="P23" s="2">
        <v>66798.439999999915</v>
      </c>
      <c r="Q23" s="2">
        <v>66819.479999999909</v>
      </c>
      <c r="R23" s="2">
        <v>66837.769999999902</v>
      </c>
      <c r="S23" s="2">
        <v>66859.8299999999</v>
      </c>
      <c r="T23" s="2">
        <v>66876.879999999903</v>
      </c>
      <c r="U23" s="2">
        <v>66897.809999999896</v>
      </c>
      <c r="V23" s="2">
        <v>66919.379999999903</v>
      </c>
      <c r="W23" s="2">
        <v>66940.94999999991</v>
      </c>
      <c r="X23" s="2">
        <v>66961.089999999909</v>
      </c>
      <c r="Y23" s="2">
        <v>66974.159999999916</v>
      </c>
      <c r="Z23" s="2">
        <v>66994.939999999915</v>
      </c>
      <c r="AA23" s="2">
        <v>67015.989999999918</v>
      </c>
      <c r="AB23" s="2">
        <v>67036.629999999917</v>
      </c>
      <c r="AC23" s="2">
        <v>67057.689999999915</v>
      </c>
      <c r="AD23" s="2">
        <v>67076.339999999909</v>
      </c>
      <c r="AE23" s="2">
        <v>67094.249999999913</v>
      </c>
      <c r="AF23" s="3">
        <v>67116.549999999916</v>
      </c>
      <c r="AG23" s="51">
        <f t="shared" si="0"/>
        <v>67116.549999999916</v>
      </c>
      <c r="AH23" s="44">
        <v>66585.259999999995</v>
      </c>
    </row>
    <row r="24" spans="1:34" x14ac:dyDescent="0.35">
      <c r="A24" s="33" t="s">
        <v>30</v>
      </c>
      <c r="B24" s="10">
        <v>64966.740000000063</v>
      </c>
      <c r="C24" s="2">
        <v>64968.650000000067</v>
      </c>
      <c r="D24" s="2">
        <v>64971.63000000007</v>
      </c>
      <c r="E24" s="2">
        <v>64993.360000000073</v>
      </c>
      <c r="F24" s="2">
        <v>65012.760000000075</v>
      </c>
      <c r="G24" s="2">
        <v>65030.070000000072</v>
      </c>
      <c r="H24" s="2">
        <v>65051.710000000072</v>
      </c>
      <c r="I24" s="2">
        <v>65071.860000000073</v>
      </c>
      <c r="J24" s="2">
        <v>65089.960000000072</v>
      </c>
      <c r="K24" s="2">
        <v>65108.660000000069</v>
      </c>
      <c r="L24" s="2">
        <v>65130.240000000071</v>
      </c>
      <c r="M24" s="2">
        <v>65151.710000000072</v>
      </c>
      <c r="N24" s="2">
        <v>65172.680000000073</v>
      </c>
      <c r="O24" s="2">
        <v>65189.300000000076</v>
      </c>
      <c r="P24" s="2">
        <v>65204.800000000076</v>
      </c>
      <c r="Q24" s="2">
        <v>65226.460000000079</v>
      </c>
      <c r="R24" s="2">
        <v>65246.210000000079</v>
      </c>
      <c r="S24" s="2">
        <v>65268.620000000083</v>
      </c>
      <c r="T24" s="2">
        <v>65284.540000000081</v>
      </c>
      <c r="U24" s="2">
        <v>65299.82000000008</v>
      </c>
      <c r="V24" s="2">
        <v>65319.700000000077</v>
      </c>
      <c r="W24" s="2">
        <v>65340.020000000077</v>
      </c>
      <c r="X24" s="2">
        <v>65359.18000000008</v>
      </c>
      <c r="Y24" s="2">
        <v>65379.43000000008</v>
      </c>
      <c r="Z24" s="2">
        <v>65395.530000000079</v>
      </c>
      <c r="AA24" s="2">
        <v>65415.980000000076</v>
      </c>
      <c r="AB24" s="2">
        <v>65432.680000000073</v>
      </c>
      <c r="AC24" s="2">
        <v>65452.730000000076</v>
      </c>
      <c r="AD24" s="2">
        <v>65472.850000000079</v>
      </c>
      <c r="AE24" s="2">
        <v>65490.990000000078</v>
      </c>
      <c r="AF24" s="3">
        <v>65505.68000000008</v>
      </c>
      <c r="AG24" s="51">
        <f t="shared" si="0"/>
        <v>65505.68000000008</v>
      </c>
      <c r="AH24" s="44">
        <v>64957.17</v>
      </c>
    </row>
    <row r="25" spans="1:34" x14ac:dyDescent="0.35">
      <c r="A25" s="33" t="s">
        <v>31</v>
      </c>
      <c r="B25" s="10">
        <v>64651.330000000009</v>
      </c>
      <c r="C25" s="2">
        <v>64669.260000000009</v>
      </c>
      <c r="D25" s="2">
        <v>64690.48000000001</v>
      </c>
      <c r="E25" s="2">
        <v>64712.720000000008</v>
      </c>
      <c r="F25" s="2">
        <v>64733.310000000005</v>
      </c>
      <c r="G25" s="2">
        <v>64755.23</v>
      </c>
      <c r="H25" s="2">
        <v>64776.47</v>
      </c>
      <c r="I25" s="2">
        <v>64793.1</v>
      </c>
      <c r="J25" s="2">
        <v>64807.24</v>
      </c>
      <c r="K25" s="2">
        <v>64827.77</v>
      </c>
      <c r="L25" s="2">
        <v>64849.53</v>
      </c>
      <c r="M25" s="2">
        <v>64868.02</v>
      </c>
      <c r="N25" s="2">
        <v>64879.369999999995</v>
      </c>
      <c r="O25" s="2">
        <v>64900.969999999994</v>
      </c>
      <c r="P25" s="2">
        <v>64922.739999999991</v>
      </c>
      <c r="Q25" s="2">
        <v>64944.689999999988</v>
      </c>
      <c r="R25" s="2">
        <v>64955.779999999984</v>
      </c>
      <c r="S25" s="2">
        <v>64976.309999999983</v>
      </c>
      <c r="T25" s="2">
        <v>64996.519999999982</v>
      </c>
      <c r="U25" s="2">
        <v>65014.169999999984</v>
      </c>
      <c r="V25" s="2">
        <v>65032.319999999985</v>
      </c>
      <c r="W25" s="2">
        <v>65053.359999999986</v>
      </c>
      <c r="X25" s="2">
        <v>65075.149999999987</v>
      </c>
      <c r="Y25" s="2">
        <v>65096.55999999999</v>
      </c>
      <c r="Z25" s="2">
        <v>65117.759999999987</v>
      </c>
      <c r="AA25" s="2">
        <v>65139.289999999986</v>
      </c>
      <c r="AB25" s="2">
        <v>65160.189999999988</v>
      </c>
      <c r="AC25" s="2">
        <v>65181.239999999991</v>
      </c>
      <c r="AD25" s="2">
        <v>65203.039999999994</v>
      </c>
      <c r="AE25" s="2">
        <v>65219.619999999995</v>
      </c>
      <c r="AF25" s="3">
        <v>65240.829999999994</v>
      </c>
      <c r="AG25" s="51">
        <f t="shared" si="0"/>
        <v>65240.829999999994</v>
      </c>
      <c r="AH25" s="44">
        <v>64630.45</v>
      </c>
    </row>
    <row r="26" spans="1:34" x14ac:dyDescent="0.35">
      <c r="A26" s="33" t="s">
        <v>32</v>
      </c>
      <c r="B26" s="10">
        <v>65880.659999999989</v>
      </c>
      <c r="C26" s="2">
        <v>65899.37999999999</v>
      </c>
      <c r="D26" s="2">
        <v>65913.469999999987</v>
      </c>
      <c r="E26" s="2">
        <v>65913.469999999987</v>
      </c>
      <c r="F26" s="2">
        <v>65913.469999999987</v>
      </c>
      <c r="G26" s="2">
        <v>65913.469999999987</v>
      </c>
      <c r="H26" s="2">
        <v>65913.469999999987</v>
      </c>
      <c r="I26" s="2">
        <v>65934.619999999981</v>
      </c>
      <c r="J26" s="2">
        <v>65937.479999999981</v>
      </c>
      <c r="K26" s="2">
        <v>65937.479999999981</v>
      </c>
      <c r="L26" s="2">
        <v>65937.479999999981</v>
      </c>
      <c r="M26" s="2">
        <v>65937.479999999981</v>
      </c>
      <c r="N26" s="2">
        <v>65937.479999999981</v>
      </c>
      <c r="O26" s="2">
        <v>65937.479999999981</v>
      </c>
      <c r="P26" s="2">
        <v>65937.479999999981</v>
      </c>
      <c r="Q26" s="2">
        <v>65937.479999999981</v>
      </c>
      <c r="R26" s="2">
        <v>65937.479999999981</v>
      </c>
      <c r="S26" s="2">
        <v>65937.479999999981</v>
      </c>
      <c r="T26" s="2">
        <v>65937.479999999981</v>
      </c>
      <c r="U26" s="2">
        <v>65937.479999999981</v>
      </c>
      <c r="V26" s="2">
        <v>65937.479999999981</v>
      </c>
      <c r="W26" s="2">
        <v>65937.479999999981</v>
      </c>
      <c r="X26" s="2">
        <v>65937.479999999981</v>
      </c>
      <c r="Y26" s="2">
        <v>65937.479999999981</v>
      </c>
      <c r="Z26" s="2">
        <v>65937.479999999981</v>
      </c>
      <c r="AA26" s="2">
        <v>65937.479999999981</v>
      </c>
      <c r="AB26" s="2">
        <v>65937.479999999981</v>
      </c>
      <c r="AC26" s="2">
        <v>65937.479999999981</v>
      </c>
      <c r="AD26" s="2">
        <v>65937.479999999981</v>
      </c>
      <c r="AE26" s="2">
        <v>65937.479999999981</v>
      </c>
      <c r="AF26" s="3">
        <v>65937.479999999981</v>
      </c>
      <c r="AG26" s="51">
        <f t="shared" si="0"/>
        <v>65937.479999999981</v>
      </c>
      <c r="AH26" s="44">
        <v>65859.67</v>
      </c>
    </row>
    <row r="27" spans="1:34" x14ac:dyDescent="0.35">
      <c r="A27" s="33" t="s">
        <v>33</v>
      </c>
      <c r="B27" s="10">
        <v>66184.850000000049</v>
      </c>
      <c r="C27" s="2">
        <v>66206.480000000054</v>
      </c>
      <c r="D27" s="2">
        <v>66227.760000000053</v>
      </c>
      <c r="E27" s="2">
        <v>66248.780000000057</v>
      </c>
      <c r="F27" s="2">
        <v>66270.33000000006</v>
      </c>
      <c r="G27" s="2">
        <v>66291.750000000058</v>
      </c>
      <c r="H27" s="2">
        <v>66312.630000000063</v>
      </c>
      <c r="I27" s="2">
        <v>66333.530000000057</v>
      </c>
      <c r="J27" s="2">
        <v>66354.96000000005</v>
      </c>
      <c r="K27" s="2">
        <v>66375.720000000045</v>
      </c>
      <c r="L27" s="2">
        <v>66395.190000000046</v>
      </c>
      <c r="M27" s="2">
        <v>66416.740000000049</v>
      </c>
      <c r="N27" s="2">
        <v>66437.96000000005</v>
      </c>
      <c r="O27" s="2">
        <v>66448.470000000045</v>
      </c>
      <c r="P27" s="2">
        <v>66470.510000000038</v>
      </c>
      <c r="Q27" s="2">
        <v>66487.34000000004</v>
      </c>
      <c r="R27" s="2">
        <v>66503.48000000004</v>
      </c>
      <c r="S27" s="2">
        <v>66523.860000000044</v>
      </c>
      <c r="T27" s="2">
        <v>66536.860000000044</v>
      </c>
      <c r="U27" s="2">
        <v>66558.200000000041</v>
      </c>
      <c r="V27" s="2">
        <v>66561.750000000044</v>
      </c>
      <c r="W27" s="2">
        <v>66581.570000000051</v>
      </c>
      <c r="X27" s="2">
        <v>66599.640000000058</v>
      </c>
      <c r="Y27" s="2">
        <v>66618.760000000053</v>
      </c>
      <c r="Z27" s="2">
        <v>66638.970000000059</v>
      </c>
      <c r="AA27" s="2">
        <v>66659.390000000058</v>
      </c>
      <c r="AB27" s="2">
        <v>66680.370000000054</v>
      </c>
      <c r="AC27" s="2">
        <v>66691.430000000051</v>
      </c>
      <c r="AD27" s="2">
        <v>66707.030000000057</v>
      </c>
      <c r="AE27" s="2">
        <v>66725.190000000061</v>
      </c>
      <c r="AF27" s="3">
        <v>66746.620000000054</v>
      </c>
      <c r="AG27" s="51">
        <f t="shared" si="0"/>
        <v>66746.620000000054</v>
      </c>
      <c r="AH27" s="44">
        <v>66164.289999999994</v>
      </c>
    </row>
    <row r="28" spans="1:34" x14ac:dyDescent="0.35">
      <c r="A28" s="33" t="s">
        <v>34</v>
      </c>
      <c r="B28" s="10">
        <v>63664.580000000082</v>
      </c>
      <c r="C28" s="2">
        <v>63686.540000000081</v>
      </c>
      <c r="D28" s="2">
        <v>63708.57000000008</v>
      </c>
      <c r="E28" s="2">
        <v>63730.880000000077</v>
      </c>
      <c r="F28" s="2">
        <v>63751.590000000077</v>
      </c>
      <c r="G28" s="2">
        <v>63773.510000000075</v>
      </c>
      <c r="H28" s="2">
        <v>63794.070000000072</v>
      </c>
      <c r="I28" s="2">
        <v>63813.980000000076</v>
      </c>
      <c r="J28" s="2">
        <v>63835.580000000075</v>
      </c>
      <c r="K28" s="2">
        <v>63851.320000000072</v>
      </c>
      <c r="L28" s="2">
        <v>63851.320000000072</v>
      </c>
      <c r="M28" s="2">
        <v>63872.06000000007</v>
      </c>
      <c r="N28" s="2">
        <v>63893.470000000074</v>
      </c>
      <c r="O28" s="2">
        <v>63913.980000000076</v>
      </c>
      <c r="P28" s="2">
        <v>63935.700000000077</v>
      </c>
      <c r="Q28" s="2">
        <v>63957.32000000008</v>
      </c>
      <c r="R28" s="2">
        <v>63978.900000000081</v>
      </c>
      <c r="S28" s="2">
        <v>64000.300000000083</v>
      </c>
      <c r="T28" s="2">
        <v>64021.860000000081</v>
      </c>
      <c r="U28" s="2">
        <v>64043.410000000084</v>
      </c>
      <c r="V28" s="2">
        <v>64065.020000000084</v>
      </c>
      <c r="W28" s="2">
        <v>64085.840000000084</v>
      </c>
      <c r="X28" s="2">
        <v>64103.980000000083</v>
      </c>
      <c r="Y28" s="2">
        <v>64125.200000000084</v>
      </c>
      <c r="Z28" s="2">
        <v>64145.860000000088</v>
      </c>
      <c r="AA28" s="2">
        <v>64166.270000000091</v>
      </c>
      <c r="AB28" s="2">
        <v>64188.160000000091</v>
      </c>
      <c r="AC28" s="2">
        <v>64207.62000000009</v>
      </c>
      <c r="AD28" s="2">
        <v>64229.600000000093</v>
      </c>
      <c r="AE28" s="2">
        <v>64251.250000000095</v>
      </c>
      <c r="AF28" s="3">
        <v>64273.250000000095</v>
      </c>
      <c r="AG28" s="51">
        <f t="shared" si="0"/>
        <v>64273.250000000095</v>
      </c>
      <c r="AH28" s="44">
        <v>63642.77</v>
      </c>
    </row>
    <row r="29" spans="1:34" x14ac:dyDescent="0.35">
      <c r="A29" s="33" t="s">
        <v>35</v>
      </c>
      <c r="B29" s="10">
        <v>64924.970000000103</v>
      </c>
      <c r="C29" s="2">
        <v>64946.4200000001</v>
      </c>
      <c r="D29" s="2">
        <v>64967.840000000098</v>
      </c>
      <c r="E29" s="2">
        <v>64972.880000000099</v>
      </c>
      <c r="F29" s="2">
        <v>64993.930000000102</v>
      </c>
      <c r="G29" s="2">
        <v>65013.540000000103</v>
      </c>
      <c r="H29" s="2">
        <v>65035.3500000001</v>
      </c>
      <c r="I29" s="2">
        <v>65054.370000000097</v>
      </c>
      <c r="J29" s="2">
        <v>65074.500000000095</v>
      </c>
      <c r="K29" s="2">
        <v>65096.130000000092</v>
      </c>
      <c r="L29" s="2">
        <v>65116.94000000009</v>
      </c>
      <c r="M29" s="2">
        <v>65136.170000000093</v>
      </c>
      <c r="N29" s="2">
        <v>65158.110000000095</v>
      </c>
      <c r="O29" s="2">
        <v>65177.330000000096</v>
      </c>
      <c r="P29" s="2">
        <v>65198.400000000096</v>
      </c>
      <c r="Q29" s="2">
        <v>65219.860000000095</v>
      </c>
      <c r="R29" s="2">
        <v>65240.670000000093</v>
      </c>
      <c r="S29" s="2">
        <v>65262.150000000096</v>
      </c>
      <c r="T29" s="2">
        <v>65271.090000000098</v>
      </c>
      <c r="U29" s="2">
        <v>65289.550000000097</v>
      </c>
      <c r="V29" s="2">
        <v>65310.120000000097</v>
      </c>
      <c r="W29" s="2">
        <v>65317.470000000096</v>
      </c>
      <c r="X29" s="2">
        <v>65337.810000000092</v>
      </c>
      <c r="Y29" s="2">
        <v>65359.330000000089</v>
      </c>
      <c r="Z29" s="2">
        <v>65380.520000000091</v>
      </c>
      <c r="AA29" s="2">
        <v>65402.160000000091</v>
      </c>
      <c r="AB29" s="2">
        <v>65423.230000000091</v>
      </c>
      <c r="AC29" s="2">
        <v>65424.160000000091</v>
      </c>
      <c r="AD29" s="2">
        <v>65439.780000000093</v>
      </c>
      <c r="AE29" s="2">
        <v>65461.710000000094</v>
      </c>
      <c r="AF29" s="3">
        <v>65467.010000000097</v>
      </c>
      <c r="AG29" s="51">
        <f t="shared" si="0"/>
        <v>65467.010000000097</v>
      </c>
      <c r="AH29" s="44">
        <v>64906.85</v>
      </c>
    </row>
    <row r="30" spans="1:34" x14ac:dyDescent="0.35">
      <c r="A30" s="33" t="s">
        <v>36</v>
      </c>
      <c r="B30" s="10">
        <v>64350.440000000155</v>
      </c>
      <c r="C30" s="2">
        <v>64372.840000000157</v>
      </c>
      <c r="D30" s="2">
        <v>64394.57000000016</v>
      </c>
      <c r="E30" s="2">
        <v>64415.140000000159</v>
      </c>
      <c r="F30" s="2">
        <v>64434.050000000163</v>
      </c>
      <c r="G30" s="2">
        <v>64455.640000000159</v>
      </c>
      <c r="H30" s="2">
        <v>64471.450000000157</v>
      </c>
      <c r="I30" s="2">
        <v>64490.43000000016</v>
      </c>
      <c r="J30" s="2">
        <v>64501.260000000162</v>
      </c>
      <c r="K30" s="2">
        <v>64503.580000000162</v>
      </c>
      <c r="L30" s="2">
        <v>64522.07000000016</v>
      </c>
      <c r="M30" s="2">
        <v>64544.230000000163</v>
      </c>
      <c r="N30" s="2">
        <v>64562.50000000016</v>
      </c>
      <c r="O30" s="2">
        <v>64582.810000000158</v>
      </c>
      <c r="P30" s="2">
        <v>64604.240000000158</v>
      </c>
      <c r="Q30" s="2">
        <v>64625.560000000158</v>
      </c>
      <c r="R30" s="2">
        <v>64634.870000000155</v>
      </c>
      <c r="S30" s="2">
        <v>64648.340000000157</v>
      </c>
      <c r="T30" s="2">
        <v>64669.75000000016</v>
      </c>
      <c r="U30" s="2">
        <v>64688.920000000158</v>
      </c>
      <c r="V30" s="2">
        <v>64699.850000000159</v>
      </c>
      <c r="W30" s="2">
        <v>64715.020000000157</v>
      </c>
      <c r="X30" s="2">
        <v>64735.990000000158</v>
      </c>
      <c r="Y30" s="2">
        <v>64752.540000000161</v>
      </c>
      <c r="Z30" s="2">
        <v>64766.810000000158</v>
      </c>
      <c r="AA30" s="2">
        <v>64784.850000000159</v>
      </c>
      <c r="AB30" s="2">
        <v>64805.43000000016</v>
      </c>
      <c r="AC30" s="2">
        <v>64825.940000000162</v>
      </c>
      <c r="AD30" s="2">
        <v>64846.230000000163</v>
      </c>
      <c r="AE30" s="2">
        <v>64846.760000000162</v>
      </c>
      <c r="AF30" s="3">
        <v>64863.020000000164</v>
      </c>
      <c r="AG30" s="51">
        <f t="shared" si="0"/>
        <v>64863.020000000164</v>
      </c>
      <c r="AH30" s="44">
        <v>64329.47</v>
      </c>
    </row>
    <row r="31" spans="1:34" x14ac:dyDescent="0.35">
      <c r="A31" s="33" t="s">
        <v>37</v>
      </c>
      <c r="B31" s="10">
        <v>64691.270000000055</v>
      </c>
      <c r="C31" s="2">
        <v>64706.590000000055</v>
      </c>
      <c r="D31" s="2">
        <v>64715.860000000052</v>
      </c>
      <c r="E31" s="2">
        <v>64715.920000000049</v>
      </c>
      <c r="F31" s="2">
        <v>64725.020000000048</v>
      </c>
      <c r="G31" s="2">
        <v>64726.39000000005</v>
      </c>
      <c r="H31" s="2">
        <v>64737.600000000049</v>
      </c>
      <c r="I31" s="2">
        <v>64753.700000000048</v>
      </c>
      <c r="J31" s="2">
        <v>64775.150000000045</v>
      </c>
      <c r="K31" s="2">
        <v>64782.820000000043</v>
      </c>
      <c r="L31" s="2">
        <v>64785.84000000004</v>
      </c>
      <c r="M31" s="2">
        <v>64806.27000000004</v>
      </c>
      <c r="N31" s="2">
        <v>64808.670000000042</v>
      </c>
      <c r="O31" s="2">
        <v>64808.670000000042</v>
      </c>
      <c r="P31" s="2">
        <v>64808.670000000042</v>
      </c>
      <c r="Q31" s="2">
        <v>64825.620000000039</v>
      </c>
      <c r="R31" s="2">
        <v>64842.510000000038</v>
      </c>
      <c r="S31" s="2">
        <v>64864.200000000041</v>
      </c>
      <c r="T31" s="2">
        <v>64877.630000000041</v>
      </c>
      <c r="U31" s="2">
        <v>64894.23000000004</v>
      </c>
      <c r="V31" s="2">
        <v>64914.880000000041</v>
      </c>
      <c r="W31" s="2">
        <v>64932.220000000038</v>
      </c>
      <c r="X31" s="2">
        <v>64942.710000000036</v>
      </c>
      <c r="Y31" s="2">
        <v>64960.440000000039</v>
      </c>
      <c r="Z31" s="2">
        <v>64980.760000000038</v>
      </c>
      <c r="AA31" s="2">
        <v>64998.350000000035</v>
      </c>
      <c r="AB31" s="2">
        <v>65020.690000000031</v>
      </c>
      <c r="AC31" s="2">
        <v>65041.180000000029</v>
      </c>
      <c r="AD31" s="2">
        <v>65061.47000000003</v>
      </c>
      <c r="AE31" s="2">
        <v>65081.550000000032</v>
      </c>
      <c r="AF31" s="3">
        <v>65096.730000000032</v>
      </c>
      <c r="AG31" s="51">
        <f t="shared" si="0"/>
        <v>65096.730000000032</v>
      </c>
      <c r="AH31" s="44">
        <v>64676.89</v>
      </c>
    </row>
    <row r="32" spans="1:34" x14ac:dyDescent="0.35">
      <c r="A32" s="33" t="s">
        <v>38</v>
      </c>
      <c r="B32" s="10">
        <v>64923.320000000145</v>
      </c>
      <c r="C32" s="2">
        <v>64937.500000000146</v>
      </c>
      <c r="D32" s="2">
        <v>64959.240000000143</v>
      </c>
      <c r="E32" s="2">
        <v>64980.900000000147</v>
      </c>
      <c r="F32" s="2">
        <v>65002.250000000146</v>
      </c>
      <c r="G32" s="2">
        <v>65019.450000000143</v>
      </c>
      <c r="H32" s="2">
        <v>65041.140000000145</v>
      </c>
      <c r="I32" s="2">
        <v>65046.860000000146</v>
      </c>
      <c r="J32" s="2">
        <v>65046.860000000146</v>
      </c>
      <c r="K32" s="2">
        <v>65046.860000000146</v>
      </c>
      <c r="L32" s="2">
        <v>65046.860000000146</v>
      </c>
      <c r="M32" s="2">
        <v>65046.860000000146</v>
      </c>
      <c r="N32" s="2">
        <v>65050.420000000144</v>
      </c>
      <c r="O32" s="2">
        <v>65070.350000000144</v>
      </c>
      <c r="P32" s="2">
        <v>65083.040000000146</v>
      </c>
      <c r="Q32" s="2">
        <v>65104.110000000146</v>
      </c>
      <c r="R32" s="2">
        <v>65124.610000000146</v>
      </c>
      <c r="S32" s="2">
        <v>65145.820000000145</v>
      </c>
      <c r="T32" s="2">
        <v>65167.140000000145</v>
      </c>
      <c r="U32" s="2">
        <v>65188.010000000148</v>
      </c>
      <c r="V32" s="2">
        <v>65209.070000000145</v>
      </c>
      <c r="W32" s="2">
        <v>65230.390000000145</v>
      </c>
      <c r="X32" s="2">
        <v>65250.420000000144</v>
      </c>
      <c r="Y32" s="2">
        <v>65263.200000000143</v>
      </c>
      <c r="Z32" s="2">
        <v>65283.860000000146</v>
      </c>
      <c r="AA32" s="2">
        <v>65300.170000000144</v>
      </c>
      <c r="AB32" s="2">
        <v>65321.320000000145</v>
      </c>
      <c r="AC32" s="2">
        <v>65342.750000000146</v>
      </c>
      <c r="AD32" s="2">
        <v>65364.020000000142</v>
      </c>
      <c r="AE32" s="2">
        <v>65384.290000000139</v>
      </c>
      <c r="AF32" s="3">
        <v>65403.030000000137</v>
      </c>
      <c r="AG32" s="51">
        <f t="shared" si="0"/>
        <v>65403.030000000137</v>
      </c>
      <c r="AH32" s="44">
        <v>64919.54</v>
      </c>
    </row>
    <row r="33" spans="1:34" x14ac:dyDescent="0.35">
      <c r="A33" s="33" t="s">
        <v>39</v>
      </c>
      <c r="B33" s="10">
        <v>64202.589999999866</v>
      </c>
      <c r="C33" s="2">
        <v>64202.589999999866</v>
      </c>
      <c r="D33" s="2">
        <v>64202.589999999866</v>
      </c>
      <c r="E33" s="2">
        <v>64202.589999999866</v>
      </c>
      <c r="F33" s="2">
        <v>64202.589999999866</v>
      </c>
      <c r="G33" s="2">
        <v>64204.659999999865</v>
      </c>
      <c r="H33" s="2">
        <v>64224.889999999868</v>
      </c>
      <c r="I33" s="2">
        <v>64240.85999999987</v>
      </c>
      <c r="J33" s="2">
        <v>64261.829999999871</v>
      </c>
      <c r="K33" s="2">
        <v>64283.349999999868</v>
      </c>
      <c r="L33" s="2">
        <v>64305.35999999987</v>
      </c>
      <c r="M33" s="2">
        <v>64323.21999999987</v>
      </c>
      <c r="N33" s="2">
        <v>64345.019999999873</v>
      </c>
      <c r="O33" s="2">
        <v>64365.889999999876</v>
      </c>
      <c r="P33" s="2">
        <v>64378.099999999875</v>
      </c>
      <c r="Q33" s="2">
        <v>64400.059999999874</v>
      </c>
      <c r="R33" s="2">
        <v>64405.549999999872</v>
      </c>
      <c r="S33" s="2">
        <v>64425.849999999875</v>
      </c>
      <c r="T33" s="2">
        <v>64443.019999999873</v>
      </c>
      <c r="U33" s="2">
        <v>64464.699999999873</v>
      </c>
      <c r="V33" s="2">
        <v>64484.859999999877</v>
      </c>
      <c r="W33" s="2">
        <v>64498.15999999988</v>
      </c>
      <c r="X33" s="2">
        <v>64519.389999999883</v>
      </c>
      <c r="Y33" s="2">
        <v>64540.799999999886</v>
      </c>
      <c r="Z33" s="2">
        <v>64551.469999999885</v>
      </c>
      <c r="AA33" s="2">
        <v>64573.379999999888</v>
      </c>
      <c r="AB33" s="2">
        <v>64595.269999999888</v>
      </c>
      <c r="AC33" s="2">
        <v>64607.909999999887</v>
      </c>
      <c r="AD33" s="2">
        <v>64622.579999999885</v>
      </c>
      <c r="AE33" s="2">
        <v>64643.969999999885</v>
      </c>
      <c r="AF33" s="3">
        <v>64665.639999999883</v>
      </c>
      <c r="AG33" s="51">
        <f t="shared" si="0"/>
        <v>64665.639999999883</v>
      </c>
      <c r="AH33" s="44">
        <v>64202.59</v>
      </c>
    </row>
    <row r="34" spans="1:34" x14ac:dyDescent="0.35">
      <c r="A34" s="33" t="s">
        <v>40</v>
      </c>
      <c r="B34" s="10">
        <v>47411.27999999989</v>
      </c>
      <c r="C34" s="2">
        <v>47431.899999999892</v>
      </c>
      <c r="D34" s="2">
        <v>47452.759999999893</v>
      </c>
      <c r="E34" s="2">
        <v>47474.369999999893</v>
      </c>
      <c r="F34" s="2">
        <v>47490.13999999989</v>
      </c>
      <c r="G34" s="2">
        <v>47506.799999999894</v>
      </c>
      <c r="H34" s="2">
        <v>47528.619999999893</v>
      </c>
      <c r="I34" s="2">
        <v>47536.229999999894</v>
      </c>
      <c r="J34" s="2">
        <v>47540.029999999897</v>
      </c>
      <c r="K34" s="2">
        <v>47540.119999999893</v>
      </c>
      <c r="L34" s="2">
        <v>47561.019999999895</v>
      </c>
      <c r="M34" s="2">
        <v>47576.649999999892</v>
      </c>
      <c r="N34" s="2">
        <v>47586.579999999893</v>
      </c>
      <c r="O34" s="2">
        <v>47603.549999999894</v>
      </c>
      <c r="P34" s="2">
        <v>47624.63999999989</v>
      </c>
      <c r="Q34" s="2">
        <v>47641.129999999888</v>
      </c>
      <c r="R34" s="2">
        <v>47662.20999999989</v>
      </c>
      <c r="S34" s="2">
        <v>47676.339999999887</v>
      </c>
      <c r="T34" s="2">
        <v>47697.479999999887</v>
      </c>
      <c r="U34" s="2">
        <v>47718.989999999889</v>
      </c>
      <c r="V34" s="2">
        <v>47728.02999999989</v>
      </c>
      <c r="W34" s="2">
        <v>47746.77999999989</v>
      </c>
      <c r="X34" s="2">
        <v>47767.879999999888</v>
      </c>
      <c r="Y34" s="2">
        <v>47789.019999999888</v>
      </c>
      <c r="Z34" s="2">
        <v>47809.069999999891</v>
      </c>
      <c r="AA34" s="2">
        <v>47823.45999999989</v>
      </c>
      <c r="AB34" s="2">
        <v>47839.449999999888</v>
      </c>
      <c r="AC34" s="2">
        <v>47861.249999999891</v>
      </c>
      <c r="AD34" s="2">
        <v>47881.039999999892</v>
      </c>
      <c r="AE34" s="2">
        <v>47890.679999999891</v>
      </c>
      <c r="AF34" s="3">
        <v>47890.679999999891</v>
      </c>
      <c r="AG34" s="51">
        <f t="shared" si="0"/>
        <v>47890.679999999891</v>
      </c>
      <c r="AH34" s="44">
        <v>47398.15</v>
      </c>
    </row>
    <row r="35" spans="1:34" x14ac:dyDescent="0.35">
      <c r="A35" s="33" t="s">
        <v>41</v>
      </c>
      <c r="B35" s="10">
        <v>49134.48000000004</v>
      </c>
      <c r="C35" s="2">
        <v>49150.48000000004</v>
      </c>
      <c r="D35" s="2">
        <v>49171.880000000041</v>
      </c>
      <c r="E35" s="2">
        <v>49187.84000000004</v>
      </c>
      <c r="F35" s="2">
        <v>49209.690000000039</v>
      </c>
      <c r="G35" s="2">
        <v>49230.820000000036</v>
      </c>
      <c r="H35" s="2">
        <v>49244.810000000034</v>
      </c>
      <c r="I35" s="2">
        <v>49266.450000000033</v>
      </c>
      <c r="J35" s="2">
        <v>49286.930000000037</v>
      </c>
      <c r="K35" s="2">
        <v>49308.650000000038</v>
      </c>
      <c r="L35" s="2">
        <v>49330.070000000036</v>
      </c>
      <c r="M35" s="2">
        <v>49351.510000000038</v>
      </c>
      <c r="N35" s="2">
        <v>49373.430000000037</v>
      </c>
      <c r="O35" s="2">
        <v>49395.040000000037</v>
      </c>
      <c r="P35" s="2">
        <v>49416.610000000037</v>
      </c>
      <c r="Q35" s="2">
        <v>49437.810000000034</v>
      </c>
      <c r="R35" s="2">
        <v>49457.550000000032</v>
      </c>
      <c r="S35" s="2">
        <v>49478.830000000031</v>
      </c>
      <c r="T35" s="2">
        <v>49500.440000000031</v>
      </c>
      <c r="U35" s="2">
        <v>49522.270000000033</v>
      </c>
      <c r="V35" s="2">
        <v>49542.240000000034</v>
      </c>
      <c r="W35" s="2">
        <v>49563.710000000036</v>
      </c>
      <c r="X35" s="2">
        <v>49584.170000000035</v>
      </c>
      <c r="Y35" s="2">
        <v>49599.560000000034</v>
      </c>
      <c r="Z35" s="2">
        <v>49617.930000000037</v>
      </c>
      <c r="AA35" s="2">
        <v>49632.390000000036</v>
      </c>
      <c r="AB35" s="2">
        <v>49652.820000000036</v>
      </c>
      <c r="AC35" s="2">
        <v>49674.160000000033</v>
      </c>
      <c r="AD35" s="2">
        <v>49694.820000000036</v>
      </c>
      <c r="AE35" s="2">
        <v>49716.400000000038</v>
      </c>
      <c r="AF35" s="3">
        <v>49737.77000000004</v>
      </c>
      <c r="AG35" s="51">
        <f t="shared" si="0"/>
        <v>49737.77000000004</v>
      </c>
      <c r="AH35" s="44">
        <v>49122.05</v>
      </c>
    </row>
    <row r="36" spans="1:34" x14ac:dyDescent="0.35">
      <c r="A36" s="33" t="s">
        <v>42</v>
      </c>
      <c r="B36" s="10">
        <v>44451.060000000027</v>
      </c>
      <c r="C36" s="2">
        <v>44468.370000000024</v>
      </c>
      <c r="D36" s="2">
        <v>44470.870000000024</v>
      </c>
      <c r="E36" s="2">
        <v>44487.200000000026</v>
      </c>
      <c r="F36" s="2">
        <v>44498.230000000025</v>
      </c>
      <c r="G36" s="2">
        <v>44510.920000000027</v>
      </c>
      <c r="H36" s="2">
        <v>44519.740000000027</v>
      </c>
      <c r="I36" s="2">
        <v>44527.47000000003</v>
      </c>
      <c r="J36" s="2">
        <v>44548.050000000032</v>
      </c>
      <c r="K36" s="2">
        <v>44568.810000000034</v>
      </c>
      <c r="L36" s="2">
        <v>44586.040000000037</v>
      </c>
      <c r="M36" s="2">
        <v>44606.220000000038</v>
      </c>
      <c r="N36" s="2">
        <v>44624.060000000034</v>
      </c>
      <c r="O36" s="2">
        <v>44645.900000000031</v>
      </c>
      <c r="P36" s="2">
        <v>44667.890000000029</v>
      </c>
      <c r="Q36" s="2">
        <v>44686.380000000026</v>
      </c>
      <c r="R36" s="2">
        <v>44686.54000000003</v>
      </c>
      <c r="S36" s="2">
        <v>44686.54000000003</v>
      </c>
      <c r="T36" s="2">
        <v>44699.740000000027</v>
      </c>
      <c r="U36" s="2">
        <v>44719.590000000026</v>
      </c>
      <c r="V36" s="2">
        <v>44735.590000000026</v>
      </c>
      <c r="W36" s="2">
        <v>44754.200000000026</v>
      </c>
      <c r="X36" s="2">
        <v>44770.580000000024</v>
      </c>
      <c r="Y36" s="2">
        <v>44784.680000000022</v>
      </c>
      <c r="Z36" s="2">
        <v>44802.99000000002</v>
      </c>
      <c r="AA36" s="2">
        <v>44824.770000000019</v>
      </c>
      <c r="AB36" s="2">
        <v>44846.750000000022</v>
      </c>
      <c r="AC36" s="2">
        <v>44866.370000000024</v>
      </c>
      <c r="AD36" s="2">
        <v>44887.860000000022</v>
      </c>
      <c r="AE36" s="2">
        <v>44908.220000000023</v>
      </c>
      <c r="AF36" s="3">
        <v>44928.720000000023</v>
      </c>
      <c r="AG36" s="51">
        <f t="shared" ref="AG36:AG67" si="1">MAX(B36:AF36)</f>
        <v>44928.720000000023</v>
      </c>
      <c r="AH36" s="44">
        <v>44429.98</v>
      </c>
    </row>
    <row r="37" spans="1:34" x14ac:dyDescent="0.35">
      <c r="A37" s="33" t="s">
        <v>43</v>
      </c>
      <c r="B37" s="10">
        <v>48935.570000000051</v>
      </c>
      <c r="C37" s="2">
        <v>48957.370000000054</v>
      </c>
      <c r="D37" s="2">
        <v>48979.14000000005</v>
      </c>
      <c r="E37" s="2">
        <v>49001.070000000051</v>
      </c>
      <c r="F37" s="2">
        <v>49022.190000000053</v>
      </c>
      <c r="G37" s="2">
        <v>49040.070000000051</v>
      </c>
      <c r="H37" s="2">
        <v>49040.070000000051</v>
      </c>
      <c r="I37" s="2">
        <v>49054.790000000052</v>
      </c>
      <c r="J37" s="2">
        <v>49076.340000000055</v>
      </c>
      <c r="K37" s="2">
        <v>49096.870000000054</v>
      </c>
      <c r="L37" s="2">
        <v>49118.340000000055</v>
      </c>
      <c r="M37" s="2">
        <v>49139.970000000052</v>
      </c>
      <c r="N37" s="2">
        <v>49161.64000000005</v>
      </c>
      <c r="O37" s="2">
        <v>49175.980000000047</v>
      </c>
      <c r="P37" s="2">
        <v>49195.150000000045</v>
      </c>
      <c r="Q37" s="2">
        <v>49216.590000000047</v>
      </c>
      <c r="R37" s="2">
        <v>49237.600000000049</v>
      </c>
      <c r="S37" s="2">
        <v>49259.520000000048</v>
      </c>
      <c r="T37" s="2">
        <v>49279.540000000045</v>
      </c>
      <c r="U37" s="2">
        <v>49300.040000000045</v>
      </c>
      <c r="V37" s="2">
        <v>49320.180000000044</v>
      </c>
      <c r="W37" s="2">
        <v>49341.640000000043</v>
      </c>
      <c r="X37" s="2">
        <v>49359.310000000041</v>
      </c>
      <c r="Y37" s="2">
        <v>49379.73000000004</v>
      </c>
      <c r="Z37" s="2">
        <v>49400.000000000036</v>
      </c>
      <c r="AA37" s="2">
        <v>49421.310000000034</v>
      </c>
      <c r="AB37" s="2">
        <v>49442.760000000031</v>
      </c>
      <c r="AC37" s="2">
        <v>49448.870000000032</v>
      </c>
      <c r="AD37" s="2">
        <v>49448.870000000032</v>
      </c>
      <c r="AE37" s="2">
        <v>49448.870000000032</v>
      </c>
      <c r="AF37" s="3">
        <v>49454.300000000032</v>
      </c>
      <c r="AG37" s="51">
        <f t="shared" si="1"/>
        <v>49454.300000000032</v>
      </c>
      <c r="AH37" s="44">
        <v>48921.74</v>
      </c>
    </row>
    <row r="38" spans="1:34" x14ac:dyDescent="0.35">
      <c r="A38" s="33" t="s">
        <v>44</v>
      </c>
      <c r="B38" s="10">
        <v>50754.190000000068</v>
      </c>
      <c r="C38" s="2">
        <v>50769.13000000007</v>
      </c>
      <c r="D38" s="2">
        <v>50790.940000000068</v>
      </c>
      <c r="E38" s="2">
        <v>50811.430000000066</v>
      </c>
      <c r="F38" s="2">
        <v>50832.780000000064</v>
      </c>
      <c r="G38" s="2">
        <v>50850.140000000065</v>
      </c>
      <c r="H38" s="2">
        <v>50869.060000000063</v>
      </c>
      <c r="I38" s="2">
        <v>50880.120000000061</v>
      </c>
      <c r="J38" s="2">
        <v>50903.070000000058</v>
      </c>
      <c r="K38" s="2">
        <v>50924.200000000055</v>
      </c>
      <c r="L38" s="2">
        <v>50946.040000000052</v>
      </c>
      <c r="M38" s="2">
        <v>50967.450000000055</v>
      </c>
      <c r="N38" s="2">
        <v>50982.070000000058</v>
      </c>
      <c r="O38" s="2">
        <v>51003.500000000058</v>
      </c>
      <c r="P38" s="2">
        <v>51024.060000000056</v>
      </c>
      <c r="Q38" s="2">
        <v>51042.010000000053</v>
      </c>
      <c r="R38" s="2">
        <v>51063.370000000054</v>
      </c>
      <c r="S38" s="2">
        <v>51084.600000000057</v>
      </c>
      <c r="T38" s="2">
        <v>51101.660000000054</v>
      </c>
      <c r="U38" s="2">
        <v>51123.430000000051</v>
      </c>
      <c r="V38" s="2">
        <v>51144.260000000053</v>
      </c>
      <c r="W38" s="2">
        <v>51156.160000000054</v>
      </c>
      <c r="X38" s="2">
        <v>51177.440000000053</v>
      </c>
      <c r="Y38" s="2">
        <v>51191.830000000053</v>
      </c>
      <c r="Z38" s="2">
        <v>51212.300000000054</v>
      </c>
      <c r="AA38" s="2">
        <v>51233.910000000054</v>
      </c>
      <c r="AB38" s="2">
        <v>51254.700000000055</v>
      </c>
      <c r="AC38" s="2">
        <v>51276.280000000057</v>
      </c>
      <c r="AD38" s="2">
        <v>51291.050000000054</v>
      </c>
      <c r="AE38" s="2">
        <v>51312.460000000057</v>
      </c>
      <c r="AF38" s="3">
        <v>51333.280000000057</v>
      </c>
      <c r="AG38" s="51">
        <f t="shared" si="1"/>
        <v>51333.280000000057</v>
      </c>
      <c r="AH38" s="44">
        <v>50734.27</v>
      </c>
    </row>
    <row r="39" spans="1:34" x14ac:dyDescent="0.35">
      <c r="A39" s="33" t="s">
        <v>45</v>
      </c>
      <c r="B39" s="10">
        <v>48557.459999999955</v>
      </c>
      <c r="C39" s="2">
        <v>48579.389999999956</v>
      </c>
      <c r="D39" s="2">
        <v>48598.019999999953</v>
      </c>
      <c r="E39" s="2">
        <v>48600.28999999995</v>
      </c>
      <c r="F39" s="2">
        <v>48600.28999999995</v>
      </c>
      <c r="G39" s="2">
        <v>48600.28999999995</v>
      </c>
      <c r="H39" s="2">
        <v>48612.009999999951</v>
      </c>
      <c r="I39" s="2">
        <v>48627.559999999954</v>
      </c>
      <c r="J39" s="2">
        <v>48638.879999999954</v>
      </c>
      <c r="K39" s="2">
        <v>48660.169999999955</v>
      </c>
      <c r="L39" s="2">
        <v>48675.899999999958</v>
      </c>
      <c r="M39" s="2">
        <v>48696.919999999955</v>
      </c>
      <c r="N39" s="2">
        <v>48718.909999999953</v>
      </c>
      <c r="O39" s="2">
        <v>48740.669999999955</v>
      </c>
      <c r="P39" s="2">
        <v>48746.049999999952</v>
      </c>
      <c r="Q39" s="2">
        <v>48746.049999999952</v>
      </c>
      <c r="R39" s="2">
        <v>48746.049999999952</v>
      </c>
      <c r="S39" s="2">
        <v>48746.049999999952</v>
      </c>
      <c r="T39" s="2">
        <v>48760.85999999995</v>
      </c>
      <c r="U39" s="2">
        <v>48782.069999999949</v>
      </c>
      <c r="V39" s="2">
        <v>48803.639999999948</v>
      </c>
      <c r="W39" s="2">
        <v>48819.60999999995</v>
      </c>
      <c r="X39" s="2">
        <v>48841.069999999949</v>
      </c>
      <c r="Y39" s="2">
        <v>48858.319999999949</v>
      </c>
      <c r="Z39" s="2">
        <v>48879.709999999948</v>
      </c>
      <c r="AA39" s="2">
        <v>48898.46999999995</v>
      </c>
      <c r="AB39" s="2">
        <v>48916.849999999948</v>
      </c>
      <c r="AC39" s="2">
        <v>48937.029999999948</v>
      </c>
      <c r="AD39" s="2">
        <v>48951.379999999946</v>
      </c>
      <c r="AE39" s="2">
        <v>48967.049999999945</v>
      </c>
      <c r="AF39" s="3">
        <v>48985.229999999945</v>
      </c>
      <c r="AG39" s="51">
        <f t="shared" si="1"/>
        <v>48985.229999999945</v>
      </c>
      <c r="AH39" s="44">
        <v>48535.82</v>
      </c>
    </row>
    <row r="40" spans="1:34" x14ac:dyDescent="0.35">
      <c r="A40" s="33" t="s">
        <v>46</v>
      </c>
      <c r="B40" s="10">
        <v>49253.909999999982</v>
      </c>
      <c r="C40" s="2">
        <v>49275.219999999979</v>
      </c>
      <c r="D40" s="2">
        <v>49296.939999999981</v>
      </c>
      <c r="E40" s="2">
        <v>49318.709999999977</v>
      </c>
      <c r="F40" s="2">
        <v>49333.909999999974</v>
      </c>
      <c r="G40" s="2">
        <v>49341.429999999971</v>
      </c>
      <c r="H40" s="2">
        <v>49362.349999999969</v>
      </c>
      <c r="I40" s="2">
        <v>49383.70999999997</v>
      </c>
      <c r="J40" s="2">
        <v>49396.199999999968</v>
      </c>
      <c r="K40" s="2">
        <v>49416.869999999966</v>
      </c>
      <c r="L40" s="2">
        <v>49437.77999999997</v>
      </c>
      <c r="M40" s="2">
        <v>49459.289999999972</v>
      </c>
      <c r="N40" s="2">
        <v>49481.229999999974</v>
      </c>
      <c r="O40" s="2">
        <v>49501.989999999976</v>
      </c>
      <c r="P40" s="2">
        <v>49523.049999999974</v>
      </c>
      <c r="Q40" s="2">
        <v>49532.499999999971</v>
      </c>
      <c r="R40" s="2">
        <v>49552.77999999997</v>
      </c>
      <c r="S40" s="2">
        <v>49572.289999999972</v>
      </c>
      <c r="T40" s="2">
        <v>49593.419999999969</v>
      </c>
      <c r="U40" s="2">
        <v>49608.70999999997</v>
      </c>
      <c r="V40" s="2">
        <v>49629.149999999972</v>
      </c>
      <c r="W40" s="2">
        <v>49650.319999999971</v>
      </c>
      <c r="X40" s="2">
        <v>49671.609999999971</v>
      </c>
      <c r="Y40" s="2">
        <v>49692.519999999975</v>
      </c>
      <c r="Z40" s="2">
        <v>49714.319999999978</v>
      </c>
      <c r="AA40" s="2">
        <v>49736.049999999981</v>
      </c>
      <c r="AB40" s="2">
        <v>49758.069999999978</v>
      </c>
      <c r="AC40" s="2">
        <v>49780.099999999977</v>
      </c>
      <c r="AD40" s="2">
        <v>49801.469999999979</v>
      </c>
      <c r="AE40" s="2">
        <v>49823.449999999983</v>
      </c>
      <c r="AF40" s="3">
        <v>49845.369999999981</v>
      </c>
      <c r="AG40" s="51">
        <f t="shared" si="1"/>
        <v>49845.369999999981</v>
      </c>
      <c r="AH40" s="44">
        <v>49232.85</v>
      </c>
    </row>
    <row r="41" spans="1:34" x14ac:dyDescent="0.35">
      <c r="A41" s="33" t="s">
        <v>47</v>
      </c>
      <c r="B41" s="10">
        <v>46907.88</v>
      </c>
      <c r="C41" s="2">
        <v>46908.46</v>
      </c>
      <c r="D41" s="2">
        <v>46908.46</v>
      </c>
      <c r="E41" s="2">
        <v>46908.46</v>
      </c>
      <c r="F41" s="2">
        <v>46929.24</v>
      </c>
      <c r="G41" s="2">
        <v>46949.53</v>
      </c>
      <c r="H41" s="2">
        <v>46968.959999999999</v>
      </c>
      <c r="I41" s="2">
        <v>46989.43</v>
      </c>
      <c r="J41" s="2">
        <v>47011.23</v>
      </c>
      <c r="K41" s="2">
        <v>47032.43</v>
      </c>
      <c r="L41" s="2">
        <v>47054.07</v>
      </c>
      <c r="M41" s="2">
        <v>47075.7</v>
      </c>
      <c r="N41" s="2">
        <v>47095.21</v>
      </c>
      <c r="O41" s="2">
        <v>47111.08</v>
      </c>
      <c r="P41" s="2">
        <v>47132.26</v>
      </c>
      <c r="Q41" s="2">
        <v>47134.080000000002</v>
      </c>
      <c r="R41" s="2">
        <v>47139.950000000004</v>
      </c>
      <c r="S41" s="2">
        <v>47159.950000000004</v>
      </c>
      <c r="T41" s="2">
        <v>47181.090000000004</v>
      </c>
      <c r="U41" s="2">
        <v>47202.15</v>
      </c>
      <c r="V41" s="2">
        <v>47222.75</v>
      </c>
      <c r="W41" s="2">
        <v>47244.26</v>
      </c>
      <c r="X41" s="2">
        <v>47265.520000000004</v>
      </c>
      <c r="Y41" s="2">
        <v>47278.090000000004</v>
      </c>
      <c r="Z41" s="2">
        <v>47294.500000000007</v>
      </c>
      <c r="AA41" s="2">
        <v>47310.30000000001</v>
      </c>
      <c r="AB41" s="2">
        <v>47332.140000000007</v>
      </c>
      <c r="AC41" s="2">
        <v>47345.91</v>
      </c>
      <c r="AD41" s="2">
        <v>47352.33</v>
      </c>
      <c r="AE41" s="2">
        <v>47373.96</v>
      </c>
      <c r="AF41" s="3">
        <v>47395.75</v>
      </c>
      <c r="AG41" s="51">
        <f t="shared" si="1"/>
        <v>47395.75</v>
      </c>
      <c r="AH41" s="44">
        <v>46889.01</v>
      </c>
    </row>
    <row r="42" spans="1:34" x14ac:dyDescent="0.35">
      <c r="A42" s="33" t="s">
        <v>48</v>
      </c>
      <c r="B42" s="10">
        <v>41011.159999999974</v>
      </c>
      <c r="C42" s="2">
        <v>41016.419999999976</v>
      </c>
      <c r="D42" s="2">
        <v>41038.039999999979</v>
      </c>
      <c r="E42" s="2">
        <v>41056.409999999982</v>
      </c>
      <c r="F42" s="2">
        <v>41064.989999999983</v>
      </c>
      <c r="G42" s="2">
        <v>41068.019999999982</v>
      </c>
      <c r="H42" s="2">
        <v>41085.069999999985</v>
      </c>
      <c r="I42" s="2">
        <v>41101.239999999983</v>
      </c>
      <c r="J42" s="2">
        <v>41120.669999999984</v>
      </c>
      <c r="K42" s="2">
        <v>41136.949999999983</v>
      </c>
      <c r="L42" s="2">
        <v>41147.529999999984</v>
      </c>
      <c r="M42" s="2">
        <v>41168.249999999985</v>
      </c>
      <c r="N42" s="2">
        <v>41185.749999999985</v>
      </c>
      <c r="O42" s="2">
        <v>41193.849999999984</v>
      </c>
      <c r="P42" s="2">
        <v>41215.459999999985</v>
      </c>
      <c r="Q42" s="2">
        <v>41235.629999999983</v>
      </c>
      <c r="R42" s="2">
        <v>41257.249999999985</v>
      </c>
      <c r="S42" s="2">
        <v>41279.129999999983</v>
      </c>
      <c r="T42" s="2">
        <v>41296.669999999984</v>
      </c>
      <c r="U42" s="2">
        <v>41308.189999999981</v>
      </c>
      <c r="V42" s="2">
        <v>41328.75999999998</v>
      </c>
      <c r="W42" s="2">
        <v>41349.799999999981</v>
      </c>
      <c r="X42" s="2">
        <v>41360.139999999978</v>
      </c>
      <c r="Y42" s="2">
        <v>41380.859999999979</v>
      </c>
      <c r="Z42" s="2">
        <v>41402.469999999979</v>
      </c>
      <c r="AA42" s="2">
        <v>41423.949999999983</v>
      </c>
      <c r="AB42" s="2">
        <v>41445.07999999998</v>
      </c>
      <c r="AC42" s="2">
        <v>41460.229999999981</v>
      </c>
      <c r="AD42" s="2">
        <v>41481.369999999981</v>
      </c>
      <c r="AE42" s="2">
        <v>41498.189999999981</v>
      </c>
      <c r="AF42" s="3">
        <v>41499.75999999998</v>
      </c>
      <c r="AG42" s="51">
        <f t="shared" si="1"/>
        <v>41499.75999999998</v>
      </c>
      <c r="AH42" s="44">
        <v>40997.43</v>
      </c>
    </row>
    <row r="43" spans="1:34" x14ac:dyDescent="0.35">
      <c r="A43" s="33" t="s">
        <v>49</v>
      </c>
      <c r="B43" s="10">
        <v>49748.869999999879</v>
      </c>
      <c r="C43" s="2">
        <v>49771.139999999876</v>
      </c>
      <c r="D43" s="2">
        <v>49777.369999999879</v>
      </c>
      <c r="E43" s="2">
        <v>49798.459999999875</v>
      </c>
      <c r="F43" s="2">
        <v>49818.449999999873</v>
      </c>
      <c r="G43" s="2">
        <v>49839.859999999877</v>
      </c>
      <c r="H43" s="2">
        <v>49861.26999999988</v>
      </c>
      <c r="I43" s="2">
        <v>49882.579999999878</v>
      </c>
      <c r="J43" s="2">
        <v>49904.059999999881</v>
      </c>
      <c r="K43" s="2">
        <v>49916.139999999883</v>
      </c>
      <c r="L43" s="2">
        <v>49937.419999999882</v>
      </c>
      <c r="M43" s="2">
        <v>49958.249999999884</v>
      </c>
      <c r="N43" s="2">
        <v>49979.459999999883</v>
      </c>
      <c r="O43" s="2">
        <v>49979.619999999886</v>
      </c>
      <c r="P43" s="2">
        <v>49985.189999999886</v>
      </c>
      <c r="Q43" s="2">
        <v>49997.469999999885</v>
      </c>
      <c r="R43" s="2">
        <v>50018.639999999883</v>
      </c>
      <c r="S43" s="2">
        <v>50038.859999999884</v>
      </c>
      <c r="T43" s="2">
        <v>50058.709999999883</v>
      </c>
      <c r="U43" s="2">
        <v>50077.889999999883</v>
      </c>
      <c r="V43" s="2">
        <v>50099.149999999885</v>
      </c>
      <c r="W43" s="2">
        <v>50113.119999999886</v>
      </c>
      <c r="X43" s="2">
        <v>50120.239999999889</v>
      </c>
      <c r="Y43" s="2">
        <v>50123.679999999891</v>
      </c>
      <c r="Z43" s="2">
        <v>50131.559999999889</v>
      </c>
      <c r="AA43" s="2">
        <v>50151.599999999889</v>
      </c>
      <c r="AB43" s="2">
        <v>50164.099999999889</v>
      </c>
      <c r="AC43" s="2">
        <v>50164.099999999889</v>
      </c>
      <c r="AD43" s="2">
        <v>50164.099999999889</v>
      </c>
      <c r="AE43" s="2">
        <v>50174.799999999886</v>
      </c>
      <c r="AF43" s="3">
        <v>50196.479999999887</v>
      </c>
      <c r="AG43" s="51">
        <f t="shared" si="1"/>
        <v>50196.479999999887</v>
      </c>
      <c r="AH43" s="44">
        <v>49726.54</v>
      </c>
    </row>
    <row r="44" spans="1:34" x14ac:dyDescent="0.35">
      <c r="A44" s="33" t="s">
        <v>50</v>
      </c>
      <c r="B44" s="10">
        <v>49294.089999999989</v>
      </c>
      <c r="C44" s="2">
        <v>49294.089999999989</v>
      </c>
      <c r="D44" s="2">
        <v>49303.94999999999</v>
      </c>
      <c r="E44" s="2">
        <v>49325.87999999999</v>
      </c>
      <c r="F44" s="2">
        <v>49347.179999999993</v>
      </c>
      <c r="G44" s="2">
        <v>49368.549999999996</v>
      </c>
      <c r="H44" s="2">
        <v>49389.599999999999</v>
      </c>
      <c r="I44" s="2">
        <v>49409.49</v>
      </c>
      <c r="J44" s="2">
        <v>49428.299999999996</v>
      </c>
      <c r="K44" s="2">
        <v>49432.95</v>
      </c>
      <c r="L44" s="2">
        <v>49453.96</v>
      </c>
      <c r="M44" s="2">
        <v>49475.54</v>
      </c>
      <c r="N44" s="2">
        <v>49496.31</v>
      </c>
      <c r="O44" s="2">
        <v>49516.639999999999</v>
      </c>
      <c r="P44" s="2">
        <v>49536.909999999996</v>
      </c>
      <c r="Q44" s="2">
        <v>49548.969999999994</v>
      </c>
      <c r="R44" s="2">
        <v>49564.09</v>
      </c>
      <c r="S44" s="2">
        <v>49585.729999999996</v>
      </c>
      <c r="T44" s="2">
        <v>49602.249999999993</v>
      </c>
      <c r="U44" s="2">
        <v>49623.889999999992</v>
      </c>
      <c r="V44" s="2">
        <v>49644.839999999989</v>
      </c>
      <c r="W44" s="2">
        <v>49665.829999999987</v>
      </c>
      <c r="X44" s="2">
        <v>49686.799999999988</v>
      </c>
      <c r="Y44" s="2">
        <v>49705.299999999988</v>
      </c>
      <c r="Z44" s="2">
        <v>49723.729999999989</v>
      </c>
      <c r="AA44" s="2">
        <v>49730.389999999992</v>
      </c>
      <c r="AB44" s="2">
        <v>49733.279999999992</v>
      </c>
      <c r="AC44" s="2">
        <v>49733.279999999992</v>
      </c>
      <c r="AD44" s="2">
        <v>49733.279999999992</v>
      </c>
      <c r="AE44" s="2">
        <v>49747.239999999991</v>
      </c>
      <c r="AF44" s="3">
        <v>49767.119999999988</v>
      </c>
      <c r="AG44" s="51">
        <f t="shared" si="1"/>
        <v>49767.119999999988</v>
      </c>
      <c r="AH44" s="44">
        <v>49291.68</v>
      </c>
    </row>
    <row r="45" spans="1:34" x14ac:dyDescent="0.35">
      <c r="A45" s="33" t="s">
        <v>51</v>
      </c>
      <c r="B45" s="10">
        <v>49325.189999999944</v>
      </c>
      <c r="C45" s="2">
        <v>49326.119999999944</v>
      </c>
      <c r="D45" s="2">
        <v>49326.119999999944</v>
      </c>
      <c r="E45" s="2">
        <v>49341.769999999946</v>
      </c>
      <c r="F45" s="2">
        <v>49357.299999999945</v>
      </c>
      <c r="G45" s="2">
        <v>49379.239999999947</v>
      </c>
      <c r="H45" s="2">
        <v>49398.28999999995</v>
      </c>
      <c r="I45" s="2">
        <v>49408.449999999953</v>
      </c>
      <c r="J45" s="2">
        <v>49421.769999999953</v>
      </c>
      <c r="K45" s="2">
        <v>49434.569999999956</v>
      </c>
      <c r="L45" s="2">
        <v>49454.059999999954</v>
      </c>
      <c r="M45" s="2">
        <v>49468.639999999956</v>
      </c>
      <c r="N45" s="2">
        <v>49490.249999999956</v>
      </c>
      <c r="O45" s="2">
        <v>49509.939999999959</v>
      </c>
      <c r="P45" s="2">
        <v>49531.189999999959</v>
      </c>
      <c r="Q45" s="2">
        <v>49552.76999999996</v>
      </c>
      <c r="R45" s="2">
        <v>49573.319999999963</v>
      </c>
      <c r="S45" s="2">
        <v>49593.849999999962</v>
      </c>
      <c r="T45" s="2">
        <v>49607.449999999961</v>
      </c>
      <c r="U45" s="2">
        <v>49607.449999999961</v>
      </c>
      <c r="V45" s="2">
        <v>49607.449999999961</v>
      </c>
      <c r="W45" s="2">
        <v>49607.449999999961</v>
      </c>
      <c r="X45" s="2">
        <v>49607.449999999961</v>
      </c>
      <c r="Y45" s="2">
        <v>49620.059999999961</v>
      </c>
      <c r="Z45" s="2">
        <v>49641.459999999963</v>
      </c>
      <c r="AA45" s="2">
        <v>49658.199999999961</v>
      </c>
      <c r="AB45" s="2">
        <v>49679.669999999962</v>
      </c>
      <c r="AC45" s="2">
        <v>49700.809999999961</v>
      </c>
      <c r="AD45" s="2">
        <v>49713.879999999961</v>
      </c>
      <c r="AE45" s="2">
        <v>49731.739999999962</v>
      </c>
      <c r="AF45" s="3">
        <v>49752.489999999962</v>
      </c>
      <c r="AG45" s="51">
        <f t="shared" si="1"/>
        <v>49752.489999999962</v>
      </c>
      <c r="AH45" s="44">
        <v>49303.83</v>
      </c>
    </row>
    <row r="46" spans="1:34" x14ac:dyDescent="0.35">
      <c r="A46" s="33" t="s">
        <v>52</v>
      </c>
      <c r="B46" s="10">
        <v>41336.730000000047</v>
      </c>
      <c r="C46" s="2">
        <v>41358.840000000047</v>
      </c>
      <c r="D46" s="2">
        <v>41380.220000000045</v>
      </c>
      <c r="E46" s="2">
        <v>41402.080000000045</v>
      </c>
      <c r="F46" s="2">
        <v>41406.450000000048</v>
      </c>
      <c r="G46" s="2">
        <v>41422.040000000045</v>
      </c>
      <c r="H46" s="2">
        <v>41443.010000000046</v>
      </c>
      <c r="I46" s="2">
        <v>41464.640000000043</v>
      </c>
      <c r="J46" s="2">
        <v>41467.670000000042</v>
      </c>
      <c r="K46" s="2">
        <v>41467.760000000038</v>
      </c>
      <c r="L46" s="2">
        <v>41488.900000000038</v>
      </c>
      <c r="M46" s="2">
        <v>41500.450000000041</v>
      </c>
      <c r="N46" s="2">
        <v>41501.780000000042</v>
      </c>
      <c r="O46" s="2">
        <v>41519.91000000004</v>
      </c>
      <c r="P46" s="2">
        <v>41538.48000000004</v>
      </c>
      <c r="Q46" s="2">
        <v>41559.750000000036</v>
      </c>
      <c r="R46" s="2">
        <v>41580.240000000034</v>
      </c>
      <c r="S46" s="2">
        <v>41601.130000000034</v>
      </c>
      <c r="T46" s="2">
        <v>41620.960000000036</v>
      </c>
      <c r="U46" s="2">
        <v>41642.360000000037</v>
      </c>
      <c r="V46" s="2">
        <v>41655.84000000004</v>
      </c>
      <c r="W46" s="2">
        <v>41677.280000000042</v>
      </c>
      <c r="X46" s="2">
        <v>41691.02000000004</v>
      </c>
      <c r="Y46" s="2">
        <v>41712.440000000039</v>
      </c>
      <c r="Z46" s="2">
        <v>41734.400000000038</v>
      </c>
      <c r="AA46" s="2">
        <v>41755.360000000037</v>
      </c>
      <c r="AB46" s="2">
        <v>41776.77000000004</v>
      </c>
      <c r="AC46" s="2">
        <v>41798.150000000038</v>
      </c>
      <c r="AD46" s="2">
        <v>41819.560000000041</v>
      </c>
      <c r="AE46" s="2">
        <v>41841.280000000042</v>
      </c>
      <c r="AF46" s="3">
        <v>41861.600000000042</v>
      </c>
      <c r="AG46" s="51">
        <f t="shared" si="1"/>
        <v>41861.600000000042</v>
      </c>
      <c r="AH46" s="44">
        <v>41315.67</v>
      </c>
    </row>
    <row r="47" spans="1:34" x14ac:dyDescent="0.35">
      <c r="A47" s="33" t="s">
        <v>53</v>
      </c>
      <c r="B47" s="10">
        <v>43237.670000000013</v>
      </c>
      <c r="C47" s="2">
        <v>43259.060000000012</v>
      </c>
      <c r="D47" s="2">
        <v>43280.110000000015</v>
      </c>
      <c r="E47" s="2">
        <v>43302.410000000018</v>
      </c>
      <c r="F47" s="2">
        <v>43322.700000000019</v>
      </c>
      <c r="G47" s="2">
        <v>43344.60000000002</v>
      </c>
      <c r="H47" s="2">
        <v>43365.580000000024</v>
      </c>
      <c r="I47" s="2">
        <v>43386.400000000023</v>
      </c>
      <c r="J47" s="2">
        <v>43406.780000000021</v>
      </c>
      <c r="K47" s="2">
        <v>43414.60000000002</v>
      </c>
      <c r="L47" s="2">
        <v>43421.390000000021</v>
      </c>
      <c r="M47" s="2">
        <v>43438.550000000025</v>
      </c>
      <c r="N47" s="2">
        <v>43457.730000000025</v>
      </c>
      <c r="O47" s="2">
        <v>43474.860000000022</v>
      </c>
      <c r="P47" s="2">
        <v>43495.430000000022</v>
      </c>
      <c r="Q47" s="2">
        <v>43515.950000000019</v>
      </c>
      <c r="R47" s="2">
        <v>43533.550000000017</v>
      </c>
      <c r="S47" s="2">
        <v>43554.030000000021</v>
      </c>
      <c r="T47" s="2">
        <v>43562.340000000018</v>
      </c>
      <c r="U47" s="2">
        <v>43574.080000000016</v>
      </c>
      <c r="V47" s="2">
        <v>43595.460000000014</v>
      </c>
      <c r="W47" s="2">
        <v>43616.670000000013</v>
      </c>
      <c r="X47" s="2">
        <v>43637.55000000001</v>
      </c>
      <c r="Y47" s="2">
        <v>43654.080000000009</v>
      </c>
      <c r="Z47" s="2">
        <v>43660.400000000009</v>
      </c>
      <c r="AA47" s="2">
        <v>43661.880000000012</v>
      </c>
      <c r="AB47" s="2">
        <v>43682.840000000011</v>
      </c>
      <c r="AC47" s="2">
        <v>43704.420000000013</v>
      </c>
      <c r="AD47" s="2">
        <v>43711.090000000011</v>
      </c>
      <c r="AE47" s="2">
        <v>43729.080000000009</v>
      </c>
      <c r="AF47" s="3">
        <v>43750.350000000006</v>
      </c>
      <c r="AG47" s="51">
        <f t="shared" si="1"/>
        <v>43750.350000000006</v>
      </c>
      <c r="AH47" s="44">
        <v>43218.45</v>
      </c>
    </row>
    <row r="48" spans="1:34" x14ac:dyDescent="0.35">
      <c r="A48" s="33" t="s">
        <v>54</v>
      </c>
      <c r="B48" s="10">
        <v>42527.419999999918</v>
      </c>
      <c r="C48" s="2">
        <v>42527.579999999922</v>
      </c>
      <c r="D48" s="2">
        <v>42527.579999999922</v>
      </c>
      <c r="E48" s="2">
        <v>42533.869999999923</v>
      </c>
      <c r="F48" s="2">
        <v>42555.17999999992</v>
      </c>
      <c r="G48" s="2">
        <v>42575.789999999921</v>
      </c>
      <c r="H48" s="2">
        <v>42597.039999999921</v>
      </c>
      <c r="I48" s="2">
        <v>42616.849999999919</v>
      </c>
      <c r="J48" s="2">
        <v>42638.099999999919</v>
      </c>
      <c r="K48" s="2">
        <v>42658.42999999992</v>
      </c>
      <c r="L48" s="2">
        <v>42679.31999999992</v>
      </c>
      <c r="M48" s="2">
        <v>42699.669999999918</v>
      </c>
      <c r="N48" s="2">
        <v>42717.379999999917</v>
      </c>
      <c r="O48" s="2">
        <v>42736.799999999916</v>
      </c>
      <c r="P48" s="2">
        <v>42736.799999999916</v>
      </c>
      <c r="Q48" s="2">
        <v>42747.779999999919</v>
      </c>
      <c r="R48" s="2">
        <v>42767.989999999918</v>
      </c>
      <c r="S48" s="2">
        <v>42788.029999999919</v>
      </c>
      <c r="T48" s="2">
        <v>42803.979999999916</v>
      </c>
      <c r="U48" s="2">
        <v>42813.119999999915</v>
      </c>
      <c r="V48" s="2">
        <v>42834.039999999914</v>
      </c>
      <c r="W48" s="2">
        <v>42848.849999999911</v>
      </c>
      <c r="X48" s="2">
        <v>42868.839999999909</v>
      </c>
      <c r="Y48" s="2">
        <v>42885.929999999906</v>
      </c>
      <c r="Z48" s="2">
        <v>42902.599999999904</v>
      </c>
      <c r="AA48" s="2">
        <v>42922.879999999903</v>
      </c>
      <c r="AB48" s="2">
        <v>42943.359999999906</v>
      </c>
      <c r="AC48" s="2">
        <v>42965.419999999904</v>
      </c>
      <c r="AD48" s="2">
        <v>42986.709999999905</v>
      </c>
      <c r="AE48" s="2">
        <v>43002.229999999901</v>
      </c>
      <c r="AF48" s="3">
        <v>43023.499999999898</v>
      </c>
      <c r="AG48" s="51">
        <f t="shared" si="1"/>
        <v>43023.499999999898</v>
      </c>
      <c r="AH48" s="44">
        <v>42505.05</v>
      </c>
    </row>
    <row r="49" spans="1:34" x14ac:dyDescent="0.35">
      <c r="A49" s="33" t="s">
        <v>55</v>
      </c>
      <c r="B49" s="10">
        <v>41971.550000000039</v>
      </c>
      <c r="C49" s="2">
        <v>41993.600000000042</v>
      </c>
      <c r="D49" s="2">
        <v>42007.030000000042</v>
      </c>
      <c r="E49" s="2">
        <v>42025.330000000045</v>
      </c>
      <c r="F49" s="2">
        <v>42042.800000000047</v>
      </c>
      <c r="G49" s="2">
        <v>42064.28000000005</v>
      </c>
      <c r="H49" s="2">
        <v>42085.240000000049</v>
      </c>
      <c r="I49" s="2">
        <v>42103.990000000049</v>
      </c>
      <c r="J49" s="2">
        <v>42103.990000000049</v>
      </c>
      <c r="K49" s="2">
        <v>42124.600000000049</v>
      </c>
      <c r="L49" s="2">
        <v>42144.53000000005</v>
      </c>
      <c r="M49" s="2">
        <v>42165.840000000047</v>
      </c>
      <c r="N49" s="2">
        <v>42177.800000000047</v>
      </c>
      <c r="O49" s="2">
        <v>42193.160000000047</v>
      </c>
      <c r="P49" s="2">
        <v>42205.850000000049</v>
      </c>
      <c r="Q49" s="2">
        <v>42227.490000000049</v>
      </c>
      <c r="R49" s="2">
        <v>42248.950000000048</v>
      </c>
      <c r="S49" s="2">
        <v>42270.300000000047</v>
      </c>
      <c r="T49" s="2">
        <v>42291.600000000049</v>
      </c>
      <c r="U49" s="2">
        <v>42312.740000000049</v>
      </c>
      <c r="V49" s="2">
        <v>42330.740000000049</v>
      </c>
      <c r="W49" s="2">
        <v>42347.470000000052</v>
      </c>
      <c r="X49" s="2">
        <v>42369.100000000049</v>
      </c>
      <c r="Y49" s="2">
        <v>42390.730000000047</v>
      </c>
      <c r="Z49" s="2">
        <v>42412.000000000044</v>
      </c>
      <c r="AA49" s="2">
        <v>42429.760000000046</v>
      </c>
      <c r="AB49" s="2">
        <v>42444.510000000046</v>
      </c>
      <c r="AC49" s="2">
        <v>42450.390000000043</v>
      </c>
      <c r="AD49" s="2">
        <v>42471.73000000004</v>
      </c>
      <c r="AE49" s="2">
        <v>42493.070000000036</v>
      </c>
      <c r="AF49" s="3">
        <v>42512.110000000037</v>
      </c>
      <c r="AG49" s="51">
        <f t="shared" si="1"/>
        <v>42512.110000000037</v>
      </c>
      <c r="AH49" s="44">
        <v>41950.879999999997</v>
      </c>
    </row>
    <row r="50" spans="1:34" x14ac:dyDescent="0.35">
      <c r="A50" s="33" t="s">
        <v>56</v>
      </c>
      <c r="B50" s="10">
        <v>41148.760000000111</v>
      </c>
      <c r="C50" s="2">
        <v>41171.330000000111</v>
      </c>
      <c r="D50" s="2">
        <v>41187.340000000113</v>
      </c>
      <c r="E50" s="2">
        <v>41208.480000000112</v>
      </c>
      <c r="F50" s="2">
        <v>41224.760000000111</v>
      </c>
      <c r="G50" s="2">
        <v>41244.600000000108</v>
      </c>
      <c r="H50" s="2">
        <v>41265.740000000107</v>
      </c>
      <c r="I50" s="2">
        <v>41287.370000000104</v>
      </c>
      <c r="J50" s="2">
        <v>41308.600000000108</v>
      </c>
      <c r="K50" s="2">
        <v>41328.710000000108</v>
      </c>
      <c r="L50" s="2">
        <v>41349.620000000112</v>
      </c>
      <c r="M50" s="2">
        <v>41358.480000000112</v>
      </c>
      <c r="N50" s="2">
        <v>41379.520000000113</v>
      </c>
      <c r="O50" s="2">
        <v>41400.270000000113</v>
      </c>
      <c r="P50" s="2">
        <v>41421.79000000011</v>
      </c>
      <c r="Q50" s="2">
        <v>41443.080000000111</v>
      </c>
      <c r="R50" s="2">
        <v>41462.04000000011</v>
      </c>
      <c r="S50" s="2">
        <v>41483.410000000113</v>
      </c>
      <c r="T50" s="2">
        <v>41504.730000000112</v>
      </c>
      <c r="U50" s="2">
        <v>41525.070000000109</v>
      </c>
      <c r="V50" s="2">
        <v>41546.300000000112</v>
      </c>
      <c r="W50" s="2">
        <v>41567.880000000114</v>
      </c>
      <c r="X50" s="2">
        <v>41582.850000000115</v>
      </c>
      <c r="Y50" s="2">
        <v>41600.960000000116</v>
      </c>
      <c r="Z50" s="2">
        <v>41621.780000000115</v>
      </c>
      <c r="AA50" s="2">
        <v>41639.710000000116</v>
      </c>
      <c r="AB50" s="2">
        <v>41661.110000000117</v>
      </c>
      <c r="AC50" s="2">
        <v>41682.530000000115</v>
      </c>
      <c r="AD50" s="2">
        <v>41704.400000000118</v>
      </c>
      <c r="AE50" s="2">
        <v>41725.800000000119</v>
      </c>
      <c r="AF50" s="3">
        <v>41747.48000000012</v>
      </c>
      <c r="AG50" s="51">
        <f t="shared" si="1"/>
        <v>41747.48000000012</v>
      </c>
      <c r="AH50" s="44">
        <v>41126.9</v>
      </c>
    </row>
    <row r="51" spans="1:34" x14ac:dyDescent="0.35">
      <c r="A51" s="33" t="s">
        <v>57</v>
      </c>
      <c r="B51" s="10">
        <v>39758.929999999957</v>
      </c>
      <c r="C51" s="2">
        <v>39781.019999999953</v>
      </c>
      <c r="D51" s="2">
        <v>39801.979999999952</v>
      </c>
      <c r="E51" s="2">
        <v>39824.069999999949</v>
      </c>
      <c r="F51" s="2">
        <v>39845.029999999948</v>
      </c>
      <c r="G51" s="2">
        <v>39866.369999999944</v>
      </c>
      <c r="H51" s="2">
        <v>39887.339999999946</v>
      </c>
      <c r="I51" s="2">
        <v>39900.859999999942</v>
      </c>
      <c r="J51" s="2">
        <v>39922.579999999944</v>
      </c>
      <c r="K51" s="2">
        <v>39944.149999999943</v>
      </c>
      <c r="L51" s="2">
        <v>39965.039999999943</v>
      </c>
      <c r="M51" s="2">
        <v>39986.09999999994</v>
      </c>
      <c r="N51" s="2">
        <v>40007.639999999941</v>
      </c>
      <c r="O51" s="2">
        <v>40028.879999999939</v>
      </c>
      <c r="P51" s="2">
        <v>40039.129999999939</v>
      </c>
      <c r="Q51" s="2">
        <v>40053.98999999994</v>
      </c>
      <c r="R51" s="2">
        <v>40071.59999999994</v>
      </c>
      <c r="S51" s="2">
        <v>40093.409999999938</v>
      </c>
      <c r="T51" s="2">
        <v>40114.819999999942</v>
      </c>
      <c r="U51" s="2">
        <v>40128.929999999942</v>
      </c>
      <c r="V51" s="2">
        <v>40128.929999999942</v>
      </c>
      <c r="W51" s="2">
        <v>40143.279999999941</v>
      </c>
      <c r="X51" s="2">
        <v>40165.039999999943</v>
      </c>
      <c r="Y51" s="2">
        <v>40185.539999999943</v>
      </c>
      <c r="Z51" s="2">
        <v>40207.439999999944</v>
      </c>
      <c r="AA51" s="2">
        <v>40229.209999999941</v>
      </c>
      <c r="AB51" s="2">
        <v>40250.629999999939</v>
      </c>
      <c r="AC51" s="2">
        <v>40272.399999999936</v>
      </c>
      <c r="AD51" s="2">
        <v>40293.869999999937</v>
      </c>
      <c r="AE51" s="2">
        <v>40310.999999999935</v>
      </c>
      <c r="AF51" s="3">
        <v>40333.109999999935</v>
      </c>
      <c r="AG51" s="51">
        <f t="shared" si="1"/>
        <v>40333.109999999935</v>
      </c>
      <c r="AH51" s="44">
        <v>39736.949999999997</v>
      </c>
    </row>
    <row r="52" spans="1:34" x14ac:dyDescent="0.35">
      <c r="A52" s="33" t="s">
        <v>58</v>
      </c>
      <c r="B52" s="10">
        <v>39198.619999999908</v>
      </c>
      <c r="C52" s="2">
        <v>39220.509999999907</v>
      </c>
      <c r="D52" s="2">
        <v>39237.049999999908</v>
      </c>
      <c r="E52" s="2">
        <v>39259.099999999911</v>
      </c>
      <c r="F52" s="2">
        <v>39279.459999999912</v>
      </c>
      <c r="G52" s="2">
        <v>39299.229999999909</v>
      </c>
      <c r="H52" s="2">
        <v>39320.009999999907</v>
      </c>
      <c r="I52" s="2">
        <v>39332.389999999905</v>
      </c>
      <c r="J52" s="2">
        <v>39348.329999999907</v>
      </c>
      <c r="K52" s="2">
        <v>39370.009999999907</v>
      </c>
      <c r="L52" s="2">
        <v>39391.149999999907</v>
      </c>
      <c r="M52" s="2">
        <v>39401.849999999904</v>
      </c>
      <c r="N52" s="2">
        <v>39423.209999999905</v>
      </c>
      <c r="O52" s="2">
        <v>39441.319999999905</v>
      </c>
      <c r="P52" s="2">
        <v>39460.059999999903</v>
      </c>
      <c r="Q52" s="2">
        <v>39477.739999999903</v>
      </c>
      <c r="R52" s="2">
        <v>39499.229999999901</v>
      </c>
      <c r="S52" s="2">
        <v>39517.429999999898</v>
      </c>
      <c r="T52" s="2">
        <v>39534.049999999901</v>
      </c>
      <c r="U52" s="2">
        <v>39555.869999999901</v>
      </c>
      <c r="V52" s="2">
        <v>39571.209999999897</v>
      </c>
      <c r="W52" s="2">
        <v>39573.909999999894</v>
      </c>
      <c r="X52" s="2">
        <v>39594.869999999893</v>
      </c>
      <c r="Y52" s="2">
        <v>39614.979999999894</v>
      </c>
      <c r="Z52" s="2">
        <v>39625.659999999894</v>
      </c>
      <c r="AA52" s="2">
        <v>39636.299999999894</v>
      </c>
      <c r="AB52" s="2">
        <v>39658.339999999895</v>
      </c>
      <c r="AC52" s="2">
        <v>39679.879999999896</v>
      </c>
      <c r="AD52" s="2">
        <v>39702.059999999896</v>
      </c>
      <c r="AE52" s="2">
        <v>39719.109999999899</v>
      </c>
      <c r="AF52" s="3">
        <v>39734.319999999898</v>
      </c>
      <c r="AG52" s="51">
        <f t="shared" si="1"/>
        <v>39734.319999999898</v>
      </c>
      <c r="AH52" s="44">
        <v>39177.47</v>
      </c>
    </row>
    <row r="53" spans="1:34" x14ac:dyDescent="0.35">
      <c r="A53" s="33" t="s">
        <v>59</v>
      </c>
      <c r="B53" s="10">
        <v>42150.520000000004</v>
      </c>
      <c r="C53" s="2">
        <v>42152.140000000007</v>
      </c>
      <c r="D53" s="2">
        <v>42164.610000000008</v>
      </c>
      <c r="E53" s="2">
        <v>42186.220000000008</v>
      </c>
      <c r="F53" s="2">
        <v>42207.73000000001</v>
      </c>
      <c r="G53" s="2">
        <v>42229.080000000009</v>
      </c>
      <c r="H53" s="2">
        <v>42246.700000000012</v>
      </c>
      <c r="I53" s="2">
        <v>42266.380000000012</v>
      </c>
      <c r="J53" s="2">
        <v>42283.320000000014</v>
      </c>
      <c r="K53" s="2">
        <v>42303.760000000017</v>
      </c>
      <c r="L53" s="2">
        <v>42325.250000000015</v>
      </c>
      <c r="M53" s="2">
        <v>42327.540000000015</v>
      </c>
      <c r="N53" s="2">
        <v>42328.310000000012</v>
      </c>
      <c r="O53" s="2">
        <v>42343.350000000013</v>
      </c>
      <c r="P53" s="2">
        <v>42364.740000000013</v>
      </c>
      <c r="Q53" s="2">
        <v>42375.37000000001</v>
      </c>
      <c r="R53" s="2">
        <v>42386.23000000001</v>
      </c>
      <c r="S53" s="2">
        <v>42407.560000000012</v>
      </c>
      <c r="T53" s="2">
        <v>42415.020000000011</v>
      </c>
      <c r="U53" s="2">
        <v>42422.250000000015</v>
      </c>
      <c r="V53" s="2">
        <v>42428.060000000012</v>
      </c>
      <c r="W53" s="2">
        <v>42449.470000000016</v>
      </c>
      <c r="X53" s="2">
        <v>42470.600000000013</v>
      </c>
      <c r="Y53" s="2">
        <v>42489.55000000001</v>
      </c>
      <c r="Z53" s="2">
        <v>42511.420000000013</v>
      </c>
      <c r="AA53" s="2">
        <v>42525.850000000013</v>
      </c>
      <c r="AB53" s="2">
        <v>42546.950000000012</v>
      </c>
      <c r="AC53" s="2">
        <v>42567.410000000011</v>
      </c>
      <c r="AD53" s="2">
        <v>42588.900000000009</v>
      </c>
      <c r="AE53" s="2">
        <v>42610.500000000007</v>
      </c>
      <c r="AF53" s="3">
        <v>42632.05000000001</v>
      </c>
      <c r="AG53" s="51">
        <f t="shared" si="1"/>
        <v>42632.05000000001</v>
      </c>
      <c r="AH53" s="44">
        <v>42129.03</v>
      </c>
    </row>
    <row r="54" spans="1:34" x14ac:dyDescent="0.35">
      <c r="A54" s="33" t="s">
        <v>60</v>
      </c>
      <c r="B54" s="10">
        <v>41714.260000000133</v>
      </c>
      <c r="C54" s="2">
        <v>41736.500000000131</v>
      </c>
      <c r="D54" s="2">
        <v>41756.180000000131</v>
      </c>
      <c r="E54" s="2">
        <v>41778.050000000134</v>
      </c>
      <c r="F54" s="2">
        <v>41797.460000000137</v>
      </c>
      <c r="G54" s="2">
        <v>41818.110000000139</v>
      </c>
      <c r="H54" s="2">
        <v>41836.83000000014</v>
      </c>
      <c r="I54" s="2">
        <v>41856.590000000142</v>
      </c>
      <c r="J54" s="2">
        <v>41876.520000000142</v>
      </c>
      <c r="K54" s="2">
        <v>41896.860000000139</v>
      </c>
      <c r="L54" s="2">
        <v>41915.90000000014</v>
      </c>
      <c r="M54" s="2">
        <v>41932.880000000143</v>
      </c>
      <c r="N54" s="2">
        <v>41954.51000000014</v>
      </c>
      <c r="O54" s="2">
        <v>41976.090000000142</v>
      </c>
      <c r="P54" s="2">
        <v>41998.76000000014</v>
      </c>
      <c r="Q54" s="2">
        <v>42020.540000000139</v>
      </c>
      <c r="R54" s="2">
        <v>42041.130000000136</v>
      </c>
      <c r="S54" s="2">
        <v>42061.800000000134</v>
      </c>
      <c r="T54" s="2">
        <v>42080.470000000132</v>
      </c>
      <c r="U54" s="2">
        <v>42094.290000000132</v>
      </c>
      <c r="V54" s="2">
        <v>42115.550000000134</v>
      </c>
      <c r="W54" s="2">
        <v>42137.120000000134</v>
      </c>
      <c r="X54" s="2">
        <v>42158.21000000013</v>
      </c>
      <c r="Y54" s="2">
        <v>42170.370000000134</v>
      </c>
      <c r="Z54" s="2">
        <v>42187.490000000136</v>
      </c>
      <c r="AA54" s="2">
        <v>42209.360000000139</v>
      </c>
      <c r="AB54" s="2">
        <v>42230.590000000142</v>
      </c>
      <c r="AC54" s="2">
        <v>42252.430000000139</v>
      </c>
      <c r="AD54" s="2">
        <v>42275.420000000136</v>
      </c>
      <c r="AE54" s="2">
        <v>42286.680000000139</v>
      </c>
      <c r="AF54" s="3">
        <v>42308.230000000141</v>
      </c>
      <c r="AG54" s="51">
        <f t="shared" si="1"/>
        <v>42308.230000000141</v>
      </c>
      <c r="AH54" s="44">
        <v>41698.720000000001</v>
      </c>
    </row>
    <row r="55" spans="1:34" x14ac:dyDescent="0.35">
      <c r="A55" s="33" t="s">
        <v>61</v>
      </c>
      <c r="B55" s="10">
        <v>41551.779999999962</v>
      </c>
      <c r="C55" s="2">
        <v>41562.069999999963</v>
      </c>
      <c r="D55" s="2">
        <v>41583.859999999964</v>
      </c>
      <c r="E55" s="2">
        <v>41598.109999999964</v>
      </c>
      <c r="F55" s="2">
        <v>41598.109999999964</v>
      </c>
      <c r="G55" s="2">
        <v>41612.589999999967</v>
      </c>
      <c r="H55" s="2">
        <v>41628.549999999967</v>
      </c>
      <c r="I55" s="2">
        <v>41637.349999999969</v>
      </c>
      <c r="J55" s="2">
        <v>41652.039999999972</v>
      </c>
      <c r="K55" s="2">
        <v>41672.63999999997</v>
      </c>
      <c r="L55" s="2">
        <v>41693.799999999974</v>
      </c>
      <c r="M55" s="2">
        <v>41715.449999999975</v>
      </c>
      <c r="N55" s="2">
        <v>41736.999999999978</v>
      </c>
      <c r="O55" s="2">
        <v>41757.289999999979</v>
      </c>
      <c r="P55" s="2">
        <v>41778.82999999998</v>
      </c>
      <c r="Q55" s="2">
        <v>41800.409999999982</v>
      </c>
      <c r="R55" s="2">
        <v>41812.07999999998</v>
      </c>
      <c r="S55" s="2">
        <v>41812.07999999998</v>
      </c>
      <c r="T55" s="2">
        <v>41812.07999999998</v>
      </c>
      <c r="U55" s="2">
        <v>41833.279999999977</v>
      </c>
      <c r="V55" s="2">
        <v>41853.319999999978</v>
      </c>
      <c r="W55" s="2">
        <v>41854.559999999976</v>
      </c>
      <c r="X55" s="2">
        <v>41870.759999999973</v>
      </c>
      <c r="Y55" s="2">
        <v>41892.679999999971</v>
      </c>
      <c r="Z55" s="2">
        <v>41902.269999999968</v>
      </c>
      <c r="AA55" s="2">
        <v>41919.699999999968</v>
      </c>
      <c r="AB55" s="2">
        <v>41941.429999999971</v>
      </c>
      <c r="AC55" s="2">
        <v>41963.289999999972</v>
      </c>
      <c r="AD55" s="2">
        <v>41985.079999999973</v>
      </c>
      <c r="AE55" s="2">
        <v>41985.129999999976</v>
      </c>
      <c r="AF55" s="3">
        <v>41998.649999999972</v>
      </c>
      <c r="AG55" s="51">
        <f t="shared" si="1"/>
        <v>41998.649999999972</v>
      </c>
      <c r="AH55" s="44">
        <v>41542.6</v>
      </c>
    </row>
    <row r="56" spans="1:34" x14ac:dyDescent="0.35">
      <c r="A56" s="33" t="s">
        <v>62</v>
      </c>
      <c r="B56" s="10">
        <v>51501.25999999998</v>
      </c>
      <c r="C56" s="2">
        <v>51522.239999999983</v>
      </c>
      <c r="D56" s="2">
        <v>51543.519999999982</v>
      </c>
      <c r="E56" s="2">
        <v>51565.019999999982</v>
      </c>
      <c r="F56" s="2">
        <v>51586.00999999998</v>
      </c>
      <c r="G56" s="2">
        <v>51605.559999999983</v>
      </c>
      <c r="H56" s="2">
        <v>51615.179999999986</v>
      </c>
      <c r="I56" s="2">
        <v>51634.669999999984</v>
      </c>
      <c r="J56" s="2">
        <v>51652.279999999984</v>
      </c>
      <c r="K56" s="2">
        <v>51673.199999999983</v>
      </c>
      <c r="L56" s="2">
        <v>51694.299999999981</v>
      </c>
      <c r="M56" s="2">
        <v>51715.129999999983</v>
      </c>
      <c r="N56" s="2">
        <v>51735.969999999979</v>
      </c>
      <c r="O56" s="2">
        <v>51756.479999999981</v>
      </c>
      <c r="P56" s="2">
        <v>51756.939999999981</v>
      </c>
      <c r="Q56" s="2">
        <v>51756.939999999981</v>
      </c>
      <c r="R56" s="2">
        <v>51756.939999999981</v>
      </c>
      <c r="S56" s="2">
        <v>51771.769999999982</v>
      </c>
      <c r="T56" s="2">
        <v>51792.339999999982</v>
      </c>
      <c r="U56" s="2">
        <v>51813.769999999982</v>
      </c>
      <c r="V56" s="2">
        <v>51835.089999999982</v>
      </c>
      <c r="W56" s="2">
        <v>51855.859999999979</v>
      </c>
      <c r="X56" s="2">
        <v>51877.07999999998</v>
      </c>
      <c r="Y56" s="2">
        <v>51894.639999999978</v>
      </c>
      <c r="Z56" s="2">
        <v>51905.869999999981</v>
      </c>
      <c r="AA56" s="2">
        <v>51921.919999999984</v>
      </c>
      <c r="AB56" s="2">
        <v>51921.919999999984</v>
      </c>
      <c r="AC56" s="2">
        <v>51921.919999999984</v>
      </c>
      <c r="AD56" s="2">
        <v>51923.569999999985</v>
      </c>
      <c r="AE56" s="2">
        <v>51938.299999999988</v>
      </c>
      <c r="AF56" s="3">
        <v>51955.19999999999</v>
      </c>
      <c r="AG56" s="51">
        <f t="shared" si="1"/>
        <v>51955.19999999999</v>
      </c>
      <c r="AH56" s="44">
        <v>51479.25</v>
      </c>
    </row>
    <row r="57" spans="1:34" x14ac:dyDescent="0.35">
      <c r="A57" s="33" t="s">
        <v>63</v>
      </c>
      <c r="B57" s="10">
        <v>18359.080000000002</v>
      </c>
      <c r="C57" s="2">
        <v>18377.84</v>
      </c>
      <c r="D57" s="2">
        <v>18398.37</v>
      </c>
      <c r="E57" s="2">
        <v>18415.71</v>
      </c>
      <c r="F57" s="2">
        <v>18434.87</v>
      </c>
      <c r="G57" s="2">
        <v>18443.809999999998</v>
      </c>
      <c r="H57" s="2">
        <v>18460.12</v>
      </c>
      <c r="I57" s="2">
        <v>18477.77</v>
      </c>
      <c r="J57" s="2">
        <v>18497.850000000002</v>
      </c>
      <c r="K57" s="2">
        <v>18502.320000000003</v>
      </c>
      <c r="L57" s="2">
        <v>18502.320000000003</v>
      </c>
      <c r="M57" s="2">
        <v>18502.320000000003</v>
      </c>
      <c r="N57" s="2">
        <v>18520.180000000004</v>
      </c>
      <c r="O57" s="2">
        <v>18542.020000000004</v>
      </c>
      <c r="P57" s="2">
        <v>18561.190000000002</v>
      </c>
      <c r="Q57" s="2">
        <v>18581.330000000002</v>
      </c>
      <c r="R57" s="2">
        <v>18602.060000000001</v>
      </c>
      <c r="S57" s="2">
        <v>18620.060000000001</v>
      </c>
      <c r="T57" s="2">
        <v>18636.830000000002</v>
      </c>
      <c r="U57" s="2">
        <v>18655.93</v>
      </c>
      <c r="V57" s="2">
        <v>18674.47</v>
      </c>
      <c r="W57" s="2">
        <v>18694.240000000002</v>
      </c>
      <c r="X57" s="2">
        <v>18712.350000000002</v>
      </c>
      <c r="Y57" s="2">
        <v>18734.530000000002</v>
      </c>
      <c r="Z57" s="2">
        <v>18755.890000000003</v>
      </c>
      <c r="AA57" s="2">
        <v>18776.410000000003</v>
      </c>
      <c r="AB57" s="2">
        <v>18797.530000000002</v>
      </c>
      <c r="AC57" s="2">
        <v>18817.860000000004</v>
      </c>
      <c r="AD57" s="2">
        <v>18836.730000000003</v>
      </c>
      <c r="AE57" s="2">
        <v>18856.480000000003</v>
      </c>
      <c r="AF57" s="3">
        <v>18876.060000000005</v>
      </c>
      <c r="AG57" s="51">
        <f t="shared" si="1"/>
        <v>18876.060000000005</v>
      </c>
      <c r="AH57" s="44">
        <v>18342.72</v>
      </c>
    </row>
    <row r="58" spans="1:34" x14ac:dyDescent="0.35">
      <c r="A58" s="33" t="s">
        <v>64</v>
      </c>
      <c r="B58" s="10">
        <v>18807.860277599993</v>
      </c>
      <c r="C58" s="2">
        <v>18828.260277599995</v>
      </c>
      <c r="D58" s="2">
        <v>18848.160277599996</v>
      </c>
      <c r="E58" s="2">
        <v>18868.870277599995</v>
      </c>
      <c r="F58" s="2">
        <v>18888.030277599995</v>
      </c>
      <c r="G58" s="2">
        <v>18904.010277599995</v>
      </c>
      <c r="H58" s="2">
        <v>18923.000277599996</v>
      </c>
      <c r="I58" s="2">
        <v>18942.880277599997</v>
      </c>
      <c r="J58" s="2">
        <v>18962.880277599997</v>
      </c>
      <c r="K58" s="2">
        <v>18976.500277599996</v>
      </c>
      <c r="L58" s="2">
        <v>18981.600277599995</v>
      </c>
      <c r="M58" s="2">
        <v>18981.730277599996</v>
      </c>
      <c r="N58" s="2">
        <v>18998.380277599997</v>
      </c>
      <c r="O58" s="2">
        <v>19009.670277599998</v>
      </c>
      <c r="P58" s="2">
        <v>19029.0002776</v>
      </c>
      <c r="Q58" s="2">
        <v>19048.450277600001</v>
      </c>
      <c r="R58" s="2">
        <v>19067.670277600002</v>
      </c>
      <c r="S58" s="2">
        <v>19087.960277600003</v>
      </c>
      <c r="T58" s="2">
        <v>19104.730277600003</v>
      </c>
      <c r="U58" s="2">
        <v>19118.130277600005</v>
      </c>
      <c r="V58" s="2">
        <v>19138.170277600006</v>
      </c>
      <c r="W58" s="2">
        <v>19157.150277600005</v>
      </c>
      <c r="X58" s="2">
        <v>19175.790277600005</v>
      </c>
      <c r="Y58" s="2">
        <v>19185.740277600005</v>
      </c>
      <c r="Z58" s="2">
        <v>19197.520277600004</v>
      </c>
      <c r="AA58" s="2">
        <v>19214.170277600006</v>
      </c>
      <c r="AB58" s="2">
        <v>19228.440277600006</v>
      </c>
      <c r="AC58" s="2">
        <v>19249.320277600007</v>
      </c>
      <c r="AD58" s="2">
        <v>19270.250277600007</v>
      </c>
      <c r="AE58" s="2">
        <v>19289.840277600008</v>
      </c>
      <c r="AF58" s="3">
        <v>19308.280277600006</v>
      </c>
      <c r="AG58" s="51">
        <f t="shared" si="1"/>
        <v>19308.280277600006</v>
      </c>
      <c r="AH58" s="44">
        <v>18789.46</v>
      </c>
    </row>
    <row r="59" spans="1:34" x14ac:dyDescent="0.35">
      <c r="A59" s="33" t="s">
        <v>65</v>
      </c>
      <c r="B59" s="10">
        <v>25175.434444100018</v>
      </c>
      <c r="C59" s="2">
        <v>25195.754444100017</v>
      </c>
      <c r="D59" s="2">
        <v>25215.234444100017</v>
      </c>
      <c r="E59" s="2">
        <v>25234.594444100017</v>
      </c>
      <c r="F59" s="2">
        <v>25253.644444100017</v>
      </c>
      <c r="G59" s="2">
        <v>25268.324444100017</v>
      </c>
      <c r="H59" s="2">
        <v>25288.444444100016</v>
      </c>
      <c r="I59" s="2">
        <v>25309.304444100017</v>
      </c>
      <c r="J59" s="2">
        <v>25330.274444100018</v>
      </c>
      <c r="K59" s="2">
        <v>25349.194444100016</v>
      </c>
      <c r="L59" s="2">
        <v>25361.034444100016</v>
      </c>
      <c r="M59" s="2">
        <v>25381.194444100016</v>
      </c>
      <c r="N59" s="2">
        <v>25402.104444100016</v>
      </c>
      <c r="O59" s="2">
        <v>25424.644444100017</v>
      </c>
      <c r="P59" s="2">
        <v>25444.504444100017</v>
      </c>
      <c r="Q59" s="2">
        <v>25464.674444100016</v>
      </c>
      <c r="R59" s="2">
        <v>25485.744444100015</v>
      </c>
      <c r="S59" s="2">
        <v>25508.044444100015</v>
      </c>
      <c r="T59" s="2">
        <v>25528.824444100013</v>
      </c>
      <c r="U59" s="2">
        <v>25545.134444100015</v>
      </c>
      <c r="V59" s="2">
        <v>25563.724444100015</v>
      </c>
      <c r="W59" s="2">
        <v>25567.994444100015</v>
      </c>
      <c r="X59" s="2">
        <v>25580.274444100014</v>
      </c>
      <c r="Y59" s="2">
        <v>25599.954444100014</v>
      </c>
      <c r="Z59" s="2">
        <v>25621.244444100015</v>
      </c>
      <c r="AA59" s="2">
        <v>25640.454444100014</v>
      </c>
      <c r="AB59" s="2">
        <v>25661.644444100013</v>
      </c>
      <c r="AC59" s="2">
        <v>25680.944444100012</v>
      </c>
      <c r="AD59" s="2">
        <v>25701.374444100013</v>
      </c>
      <c r="AE59" s="2">
        <v>25720.254444100014</v>
      </c>
      <c r="AF59" s="3">
        <v>25737.884444100015</v>
      </c>
      <c r="AG59" s="51">
        <f t="shared" si="1"/>
        <v>25737.884444100015</v>
      </c>
      <c r="AH59" s="44">
        <v>25158.77</v>
      </c>
    </row>
    <row r="60" spans="1:34" x14ac:dyDescent="0.35">
      <c r="A60" s="33" t="s">
        <v>66</v>
      </c>
      <c r="B60" s="10">
        <v>26054.390000000036</v>
      </c>
      <c r="C60" s="2">
        <v>26074.920000000035</v>
      </c>
      <c r="D60" s="2">
        <v>26095.340000000033</v>
      </c>
      <c r="E60" s="2">
        <v>26115.200000000033</v>
      </c>
      <c r="F60" s="2">
        <v>26130.850000000035</v>
      </c>
      <c r="G60" s="2">
        <v>26130.850000000035</v>
      </c>
      <c r="H60" s="2">
        <v>26142.110000000033</v>
      </c>
      <c r="I60" s="2">
        <v>26161.960000000032</v>
      </c>
      <c r="J60" s="2">
        <v>26180.140000000032</v>
      </c>
      <c r="K60" s="2">
        <v>26201.960000000032</v>
      </c>
      <c r="L60" s="2">
        <v>26224.450000000033</v>
      </c>
      <c r="M60" s="2">
        <v>26244.630000000034</v>
      </c>
      <c r="N60" s="2">
        <v>26265.600000000035</v>
      </c>
      <c r="O60" s="2">
        <v>26275.960000000036</v>
      </c>
      <c r="P60" s="2">
        <v>26294.940000000035</v>
      </c>
      <c r="Q60" s="2">
        <v>26315.630000000034</v>
      </c>
      <c r="R60" s="2">
        <v>26336.120000000035</v>
      </c>
      <c r="S60" s="2">
        <v>26342.710000000036</v>
      </c>
      <c r="T60" s="2">
        <v>26355.900000000034</v>
      </c>
      <c r="U60" s="2">
        <v>26358.900000000034</v>
      </c>
      <c r="V60" s="2">
        <v>26358.900000000034</v>
      </c>
      <c r="W60" s="2">
        <v>26358.900000000034</v>
      </c>
      <c r="X60" s="2">
        <v>26370.300000000036</v>
      </c>
      <c r="Y60" s="2">
        <v>26379.140000000036</v>
      </c>
      <c r="Z60" s="2">
        <v>26400.410000000036</v>
      </c>
      <c r="AA60" s="2">
        <v>26421.600000000035</v>
      </c>
      <c r="AB60" s="2">
        <v>26435.100000000035</v>
      </c>
      <c r="AC60" s="2">
        <v>26435.100000000035</v>
      </c>
      <c r="AD60" s="2">
        <v>26435.100000000035</v>
      </c>
      <c r="AE60" s="2">
        <v>26435.100000000035</v>
      </c>
      <c r="AF60" s="3">
        <v>26435.100000000035</v>
      </c>
      <c r="AG60" s="51">
        <f t="shared" si="1"/>
        <v>26435.100000000035</v>
      </c>
      <c r="AH60" s="44">
        <v>26044.29</v>
      </c>
    </row>
    <row r="61" spans="1:34" x14ac:dyDescent="0.35">
      <c r="A61" s="33" t="s">
        <v>67</v>
      </c>
      <c r="B61" s="10">
        <v>26524.800000000021</v>
      </c>
      <c r="C61" s="2">
        <v>26545.120000000021</v>
      </c>
      <c r="D61" s="2">
        <v>26564.370000000021</v>
      </c>
      <c r="E61" s="2">
        <v>26584.35000000002</v>
      </c>
      <c r="F61" s="2">
        <v>26603.26000000002</v>
      </c>
      <c r="G61" s="2">
        <v>26619.90000000002</v>
      </c>
      <c r="H61" s="2">
        <v>26639.800000000021</v>
      </c>
      <c r="I61" s="2">
        <v>26659.070000000022</v>
      </c>
      <c r="J61" s="2">
        <v>26674.150000000023</v>
      </c>
      <c r="K61" s="2">
        <v>26696.160000000022</v>
      </c>
      <c r="L61" s="2">
        <v>26713.42000000002</v>
      </c>
      <c r="M61" s="2">
        <v>26733.800000000021</v>
      </c>
      <c r="N61" s="2">
        <v>26754.730000000021</v>
      </c>
      <c r="O61" s="2">
        <v>26767.700000000023</v>
      </c>
      <c r="P61" s="2">
        <v>26767.700000000023</v>
      </c>
      <c r="Q61" s="2">
        <v>26785.750000000022</v>
      </c>
      <c r="R61" s="2">
        <v>26806.190000000021</v>
      </c>
      <c r="S61" s="2">
        <v>26826.630000000019</v>
      </c>
      <c r="T61" s="2">
        <v>26846.800000000017</v>
      </c>
      <c r="U61" s="2">
        <v>26866.750000000018</v>
      </c>
      <c r="V61" s="2">
        <v>26877.230000000018</v>
      </c>
      <c r="W61" s="2">
        <v>26882.070000000018</v>
      </c>
      <c r="X61" s="2">
        <v>26898.780000000017</v>
      </c>
      <c r="Y61" s="2">
        <v>26915.110000000019</v>
      </c>
      <c r="Z61" s="2">
        <v>26936.450000000019</v>
      </c>
      <c r="AA61" s="2">
        <v>26956.530000000021</v>
      </c>
      <c r="AB61" s="2">
        <v>26965.560000000019</v>
      </c>
      <c r="AC61" s="2">
        <v>26968.10000000002</v>
      </c>
      <c r="AD61" s="2">
        <v>26988.180000000022</v>
      </c>
      <c r="AE61" s="2">
        <v>27007.090000000022</v>
      </c>
      <c r="AF61" s="3">
        <v>27027.040000000023</v>
      </c>
      <c r="AG61" s="51">
        <f t="shared" si="1"/>
        <v>27027.040000000023</v>
      </c>
      <c r="AH61" s="44">
        <v>26507.37</v>
      </c>
    </row>
    <row r="62" spans="1:34" x14ac:dyDescent="0.35">
      <c r="A62" s="33" t="s">
        <v>68</v>
      </c>
      <c r="B62" s="10">
        <v>26648.250000000022</v>
      </c>
      <c r="C62" s="2">
        <v>26668.660000000022</v>
      </c>
      <c r="D62" s="2">
        <v>26687.900000000023</v>
      </c>
      <c r="E62" s="2">
        <v>26707.870000000024</v>
      </c>
      <c r="F62" s="2">
        <v>26726.580000000024</v>
      </c>
      <c r="G62" s="2">
        <v>26746.090000000022</v>
      </c>
      <c r="H62" s="2">
        <v>26765.370000000021</v>
      </c>
      <c r="I62" s="2">
        <v>26784.940000000021</v>
      </c>
      <c r="J62" s="2">
        <v>26804.83000000002</v>
      </c>
      <c r="K62" s="2">
        <v>26826.65000000002</v>
      </c>
      <c r="L62" s="2">
        <v>26843.390000000021</v>
      </c>
      <c r="M62" s="2">
        <v>26864.140000000021</v>
      </c>
      <c r="N62" s="2">
        <v>26885.17000000002</v>
      </c>
      <c r="O62" s="2">
        <v>26907.200000000019</v>
      </c>
      <c r="P62" s="2">
        <v>26926.180000000018</v>
      </c>
      <c r="Q62" s="2">
        <v>26938.33000000002</v>
      </c>
      <c r="R62" s="2">
        <v>26939.750000000018</v>
      </c>
      <c r="S62" s="2">
        <v>26948.300000000017</v>
      </c>
      <c r="T62" s="2">
        <v>26961.670000000016</v>
      </c>
      <c r="U62" s="2">
        <v>26980.490000000016</v>
      </c>
      <c r="V62" s="2">
        <v>26980.490000000016</v>
      </c>
      <c r="W62" s="2">
        <v>26980.490000000016</v>
      </c>
      <c r="X62" s="2">
        <v>26980.490000000016</v>
      </c>
      <c r="Y62" s="2">
        <v>26980.490000000016</v>
      </c>
      <c r="Z62" s="2">
        <v>26980.490000000016</v>
      </c>
      <c r="AA62" s="2">
        <v>26982.890000000018</v>
      </c>
      <c r="AB62" s="2">
        <v>27003.480000000018</v>
      </c>
      <c r="AC62" s="2">
        <v>27023.380000000019</v>
      </c>
      <c r="AD62" s="2">
        <v>27042.620000000021</v>
      </c>
      <c r="AE62" s="2">
        <v>27061.720000000019</v>
      </c>
      <c r="AF62" s="3">
        <v>27081.310000000019</v>
      </c>
      <c r="AG62" s="51">
        <f t="shared" si="1"/>
        <v>27081.310000000019</v>
      </c>
      <c r="AH62" s="44">
        <v>26630.85</v>
      </c>
    </row>
    <row r="63" spans="1:34" x14ac:dyDescent="0.35">
      <c r="A63" s="33" t="s">
        <v>69</v>
      </c>
      <c r="B63" s="10">
        <v>76987.39999999998</v>
      </c>
      <c r="C63" s="2">
        <v>76987.39999999998</v>
      </c>
      <c r="D63" s="2">
        <v>76987.39999999998</v>
      </c>
      <c r="E63" s="2">
        <v>76987.39999999998</v>
      </c>
      <c r="F63" s="2">
        <v>76987.39999999998</v>
      </c>
      <c r="G63" s="2">
        <v>76987.39999999998</v>
      </c>
      <c r="H63" s="2">
        <v>76987.39999999998</v>
      </c>
      <c r="I63" s="2">
        <v>76987.39999999998</v>
      </c>
      <c r="J63" s="2">
        <v>76987.39999999998</v>
      </c>
      <c r="K63" s="2">
        <v>76987.39999999998</v>
      </c>
      <c r="L63" s="2">
        <v>76987.39999999998</v>
      </c>
      <c r="M63" s="2">
        <v>76987.39999999998</v>
      </c>
      <c r="N63" s="2">
        <v>76987.39999999998</v>
      </c>
      <c r="O63" s="2">
        <v>76987.39999999998</v>
      </c>
      <c r="P63" s="2">
        <v>76987.39999999998</v>
      </c>
      <c r="Q63" s="2">
        <v>76987.39999999998</v>
      </c>
      <c r="R63" s="2">
        <v>76987.39999999998</v>
      </c>
      <c r="S63" s="2">
        <v>76987.39999999998</v>
      </c>
      <c r="T63" s="2">
        <v>76987.399999999994</v>
      </c>
      <c r="U63" s="2">
        <v>76987.39999999998</v>
      </c>
      <c r="V63" s="2">
        <v>76987.39999999998</v>
      </c>
      <c r="W63" s="2">
        <v>76987.39999999998</v>
      </c>
      <c r="X63" s="2">
        <v>76987.39999999998</v>
      </c>
      <c r="Y63" s="2">
        <v>76987.39999999998</v>
      </c>
      <c r="Z63" s="2">
        <v>76987.39999999998</v>
      </c>
      <c r="AA63" s="2">
        <v>76987.39999999998</v>
      </c>
      <c r="AB63" s="2">
        <v>76987.39999999998</v>
      </c>
      <c r="AC63" s="2">
        <v>76987.39999999998</v>
      </c>
      <c r="AD63" s="2">
        <v>76987.39999999998</v>
      </c>
      <c r="AE63" s="2">
        <v>76987.39999999998</v>
      </c>
      <c r="AF63" s="3">
        <v>76987.39999999998</v>
      </c>
      <c r="AG63" s="51">
        <f t="shared" si="1"/>
        <v>76987.399999999994</v>
      </c>
      <c r="AH63" s="44">
        <v>76987.399999999994</v>
      </c>
    </row>
    <row r="64" spans="1:34" x14ac:dyDescent="0.35">
      <c r="A64" s="33" t="s">
        <v>70</v>
      </c>
      <c r="B64" s="10">
        <v>85923.049999999988</v>
      </c>
      <c r="C64" s="2">
        <v>85942.439999999988</v>
      </c>
      <c r="D64" s="2">
        <v>85959.679999999993</v>
      </c>
      <c r="E64" s="2">
        <v>85976.7</v>
      </c>
      <c r="F64" s="2">
        <v>85992.45</v>
      </c>
      <c r="G64" s="2">
        <v>85998.83</v>
      </c>
      <c r="H64" s="2">
        <v>85999.400000000009</v>
      </c>
      <c r="I64" s="2">
        <v>86004.44</v>
      </c>
      <c r="J64" s="2">
        <v>86013.8</v>
      </c>
      <c r="K64" s="2">
        <v>86020.77</v>
      </c>
      <c r="L64" s="2">
        <v>86021.010000000009</v>
      </c>
      <c r="M64" s="2">
        <v>86033.430000000008</v>
      </c>
      <c r="N64" s="2">
        <v>86046.24</v>
      </c>
      <c r="O64" s="2">
        <v>86060.27</v>
      </c>
      <c r="P64" s="2">
        <v>86062.12000000001</v>
      </c>
      <c r="Q64" s="2">
        <v>86062.12000000001</v>
      </c>
      <c r="R64" s="2">
        <v>86062.12000000001</v>
      </c>
      <c r="S64" s="2">
        <v>86062.12000000001</v>
      </c>
      <c r="T64" s="2">
        <v>86062.340000000011</v>
      </c>
      <c r="U64" s="2">
        <v>86062.340000000011</v>
      </c>
      <c r="V64" s="2">
        <v>86073.07</v>
      </c>
      <c r="W64" s="2">
        <v>86087.71</v>
      </c>
      <c r="X64" s="2">
        <v>86092.530000000013</v>
      </c>
      <c r="Y64" s="2">
        <v>86110.410000000018</v>
      </c>
      <c r="Z64" s="2">
        <v>86110.410000000018</v>
      </c>
      <c r="AA64" s="2">
        <v>86117.24000000002</v>
      </c>
      <c r="AB64" s="2">
        <v>86131.230000000025</v>
      </c>
      <c r="AC64" s="2">
        <v>86150.520000000019</v>
      </c>
      <c r="AD64" s="2">
        <v>86166.900000000023</v>
      </c>
      <c r="AE64" s="2">
        <v>86188.270000000019</v>
      </c>
      <c r="AF64" s="3">
        <v>86210.060000000012</v>
      </c>
      <c r="AG64" s="51">
        <f t="shared" si="1"/>
        <v>86210.060000000012</v>
      </c>
      <c r="AH64" s="44">
        <v>85912.43</v>
      </c>
    </row>
    <row r="65" spans="1:34" x14ac:dyDescent="0.35">
      <c r="A65" s="33" t="s">
        <v>71</v>
      </c>
      <c r="B65" s="10">
        <v>82601.710000000094</v>
      </c>
      <c r="C65" s="2">
        <v>82601.710000000094</v>
      </c>
      <c r="D65" s="2">
        <v>82601.720000000088</v>
      </c>
      <c r="E65" s="2">
        <v>82615.160000000091</v>
      </c>
      <c r="F65" s="2">
        <v>82636.750000000087</v>
      </c>
      <c r="G65" s="2">
        <v>82657.740000000093</v>
      </c>
      <c r="H65" s="2">
        <v>82660.850000000093</v>
      </c>
      <c r="I65" s="2">
        <v>82675.740000000093</v>
      </c>
      <c r="J65" s="2">
        <v>82688.170000000086</v>
      </c>
      <c r="K65" s="2">
        <v>82692.650000000081</v>
      </c>
      <c r="L65" s="2">
        <v>82700.050000000076</v>
      </c>
      <c r="M65" s="2">
        <v>82710.530000000072</v>
      </c>
      <c r="N65" s="2">
        <v>82719.360000000073</v>
      </c>
      <c r="O65" s="2">
        <v>82728.670000000071</v>
      </c>
      <c r="P65" s="2">
        <v>82745.490000000078</v>
      </c>
      <c r="Q65" s="2">
        <v>82748.750000000073</v>
      </c>
      <c r="R65" s="2">
        <v>82767.630000000077</v>
      </c>
      <c r="S65" s="2">
        <v>82773.140000000072</v>
      </c>
      <c r="T65" s="2">
        <v>82773.140000000072</v>
      </c>
      <c r="U65" s="2">
        <v>82773.140000000072</v>
      </c>
      <c r="V65" s="2">
        <v>82773.140000000072</v>
      </c>
      <c r="W65" s="2">
        <v>82773.140000000072</v>
      </c>
      <c r="X65" s="2">
        <v>82773.140000000072</v>
      </c>
      <c r="Y65" s="2">
        <v>82773.140000000072</v>
      </c>
      <c r="Z65" s="2">
        <v>82773.140000000072</v>
      </c>
      <c r="AA65" s="2">
        <v>82773.140000000072</v>
      </c>
      <c r="AB65" s="2">
        <v>82773.140000000072</v>
      </c>
      <c r="AC65" s="2">
        <v>82773.140000000072</v>
      </c>
      <c r="AD65" s="2">
        <v>82773.140000000072</v>
      </c>
      <c r="AE65" s="2">
        <v>82773.140000000072</v>
      </c>
      <c r="AF65" s="3">
        <v>82773.140000000072</v>
      </c>
      <c r="AG65" s="51">
        <f t="shared" si="1"/>
        <v>82773.140000000072</v>
      </c>
      <c r="AH65" s="44">
        <v>82601.710000000006</v>
      </c>
    </row>
    <row r="66" spans="1:34" x14ac:dyDescent="0.35">
      <c r="A66" s="33" t="s">
        <v>72</v>
      </c>
      <c r="B66" s="10">
        <v>80738.170000000187</v>
      </c>
      <c r="C66" s="2">
        <v>80759.530000000188</v>
      </c>
      <c r="D66" s="2">
        <v>80770.36000000019</v>
      </c>
      <c r="E66" s="2">
        <v>80770.36000000019</v>
      </c>
      <c r="F66" s="2">
        <v>80770.36000000019</v>
      </c>
      <c r="G66" s="2">
        <v>80772.440000000192</v>
      </c>
      <c r="H66" s="2">
        <v>80774.750000000189</v>
      </c>
      <c r="I66" s="2">
        <v>80774.750000000189</v>
      </c>
      <c r="J66" s="2">
        <v>80774.750000000189</v>
      </c>
      <c r="K66" s="2">
        <v>80788.160000000193</v>
      </c>
      <c r="L66" s="2">
        <v>80802.600000000195</v>
      </c>
      <c r="M66" s="2">
        <v>80813.310000000201</v>
      </c>
      <c r="N66" s="2">
        <v>80823.070000000196</v>
      </c>
      <c r="O66" s="2">
        <v>80836.760000000198</v>
      </c>
      <c r="P66" s="2">
        <v>80839.370000000199</v>
      </c>
      <c r="Q66" s="2">
        <v>80846.490000000194</v>
      </c>
      <c r="R66" s="2">
        <v>80861.410000000193</v>
      </c>
      <c r="S66" s="2">
        <v>80881.940000000192</v>
      </c>
      <c r="T66" s="2">
        <v>80897.520000000193</v>
      </c>
      <c r="U66" s="2">
        <v>80900.620000000199</v>
      </c>
      <c r="V66" s="2">
        <v>80909.620000000199</v>
      </c>
      <c r="W66" s="2">
        <v>80919.060000000201</v>
      </c>
      <c r="X66" s="2">
        <v>80933.190000000206</v>
      </c>
      <c r="Y66" s="2">
        <v>80945.030000000203</v>
      </c>
      <c r="Z66" s="2">
        <v>80951.420000000202</v>
      </c>
      <c r="AA66" s="2">
        <v>80964.250000000204</v>
      </c>
      <c r="AB66" s="2">
        <v>80973.150000000198</v>
      </c>
      <c r="AC66" s="2">
        <v>80983.2300000002</v>
      </c>
      <c r="AD66" s="2">
        <v>80983.2300000002</v>
      </c>
      <c r="AE66" s="2">
        <v>80983.2300000002</v>
      </c>
      <c r="AF66" s="3">
        <v>81001.940000000206</v>
      </c>
      <c r="AG66" s="51">
        <f t="shared" si="1"/>
        <v>81001.940000000206</v>
      </c>
      <c r="AH66" s="44">
        <v>80716.89</v>
      </c>
    </row>
    <row r="67" spans="1:34" x14ac:dyDescent="0.35">
      <c r="A67" s="33" t="s">
        <v>73</v>
      </c>
      <c r="B67" s="10">
        <v>83295.739999999976</v>
      </c>
      <c r="C67" s="2">
        <v>83316.629999999976</v>
      </c>
      <c r="D67" s="2">
        <v>83336.869999999981</v>
      </c>
      <c r="E67" s="2">
        <v>83358.019999999975</v>
      </c>
      <c r="F67" s="2">
        <v>83374.689999999973</v>
      </c>
      <c r="G67" s="2">
        <v>83393.669999999969</v>
      </c>
      <c r="H67" s="2">
        <v>83396.979999999967</v>
      </c>
      <c r="I67" s="2">
        <v>83414.239999999962</v>
      </c>
      <c r="J67" s="2">
        <v>83434.389999999956</v>
      </c>
      <c r="K67" s="2">
        <v>83453.929999999949</v>
      </c>
      <c r="L67" s="2">
        <v>83473.589999999953</v>
      </c>
      <c r="M67" s="2">
        <v>83474.899999999951</v>
      </c>
      <c r="N67" s="2">
        <v>83474.899999999951</v>
      </c>
      <c r="O67" s="2">
        <v>83474.899999999951</v>
      </c>
      <c r="P67" s="2">
        <v>83474.899999999951</v>
      </c>
      <c r="Q67" s="2">
        <v>83474.899999999951</v>
      </c>
      <c r="R67" s="2">
        <v>83474.899999999951</v>
      </c>
      <c r="S67" s="2">
        <v>83474.899999999951</v>
      </c>
      <c r="T67" s="2">
        <v>83474.899999999951</v>
      </c>
      <c r="U67" s="2">
        <v>83479.099999999948</v>
      </c>
      <c r="V67" s="2">
        <v>83496.78999999995</v>
      </c>
      <c r="W67" s="2">
        <v>83502.099999999948</v>
      </c>
      <c r="X67" s="2">
        <v>83518.299999999945</v>
      </c>
      <c r="Y67" s="2">
        <v>83529.159999999945</v>
      </c>
      <c r="Z67" s="2">
        <v>83533.269999999946</v>
      </c>
      <c r="AA67" s="2">
        <v>83546.729999999952</v>
      </c>
      <c r="AB67" s="2">
        <v>83562.099999999948</v>
      </c>
      <c r="AC67" s="2">
        <v>83563.799999999945</v>
      </c>
      <c r="AD67" s="2">
        <v>83563.799999999945</v>
      </c>
      <c r="AE67" s="2">
        <v>83576.859999999942</v>
      </c>
      <c r="AF67" s="3">
        <v>83598.369999999937</v>
      </c>
      <c r="AG67" s="51">
        <f t="shared" si="1"/>
        <v>83598.369999999937</v>
      </c>
      <c r="AH67" s="44">
        <v>83285.55</v>
      </c>
    </row>
    <row r="68" spans="1:34" x14ac:dyDescent="0.35">
      <c r="A68" s="33" t="s">
        <v>74</v>
      </c>
      <c r="B68" s="10">
        <v>80681.189999999769</v>
      </c>
      <c r="C68" s="2">
        <v>80699.649999999776</v>
      </c>
      <c r="D68" s="2">
        <v>80718.609999999782</v>
      </c>
      <c r="E68" s="2">
        <v>80731.359999999782</v>
      </c>
      <c r="F68" s="2">
        <v>80744.529999999781</v>
      </c>
      <c r="G68" s="2">
        <v>80757.379999999786</v>
      </c>
      <c r="H68" s="2">
        <v>80767.339999999793</v>
      </c>
      <c r="I68" s="2">
        <v>80777.569999999789</v>
      </c>
      <c r="J68" s="2">
        <v>80782.14999999979</v>
      </c>
      <c r="K68" s="2">
        <v>80793.699999999793</v>
      </c>
      <c r="L68" s="2">
        <v>80810.949999999793</v>
      </c>
      <c r="M68" s="2">
        <v>80825.0199999998</v>
      </c>
      <c r="N68" s="2">
        <v>80832.599999999802</v>
      </c>
      <c r="O68" s="2">
        <v>80840.949999999808</v>
      </c>
      <c r="P68" s="2">
        <v>80849.459999999803</v>
      </c>
      <c r="Q68" s="2">
        <v>80870.999999999796</v>
      </c>
      <c r="R68" s="2">
        <v>80891.319999999803</v>
      </c>
      <c r="S68" s="2">
        <v>80900.979999999807</v>
      </c>
      <c r="T68" s="2">
        <v>80913.6599999998</v>
      </c>
      <c r="U68" s="2">
        <v>80932.859999999797</v>
      </c>
      <c r="V68" s="2">
        <v>80953.469999999797</v>
      </c>
      <c r="W68" s="2">
        <v>80958.689999999799</v>
      </c>
      <c r="X68" s="2">
        <v>80975.819999999803</v>
      </c>
      <c r="Y68" s="2">
        <v>80991.219999999797</v>
      </c>
      <c r="Z68" s="2">
        <v>81008.619999999792</v>
      </c>
      <c r="AA68" s="2">
        <v>81028.069999999789</v>
      </c>
      <c r="AB68" s="2">
        <v>81044.859999999782</v>
      </c>
      <c r="AC68" s="2">
        <v>81060.239999999787</v>
      </c>
      <c r="AD68" s="2">
        <v>81081.269999999786</v>
      </c>
      <c r="AE68" s="2">
        <v>81100.199999999779</v>
      </c>
      <c r="AF68" s="3">
        <v>81121.109999999782</v>
      </c>
      <c r="AG68" s="51">
        <f t="shared" ref="AG68:AG99" si="2">MAX(B68:AF68)</f>
        <v>81121.109999999782</v>
      </c>
      <c r="AH68" s="44">
        <v>80670.64</v>
      </c>
    </row>
    <row r="69" spans="1:34" x14ac:dyDescent="0.35">
      <c r="A69" s="33" t="s">
        <v>75</v>
      </c>
      <c r="B69" s="10">
        <v>84172.290000000081</v>
      </c>
      <c r="C69" s="2">
        <v>84194.170000000086</v>
      </c>
      <c r="D69" s="2">
        <v>84211.660000000091</v>
      </c>
      <c r="E69" s="2">
        <v>84229.370000000097</v>
      </c>
      <c r="F69" s="2">
        <v>84250.700000000099</v>
      </c>
      <c r="G69" s="2">
        <v>84269.150000000096</v>
      </c>
      <c r="H69" s="2">
        <v>84287.870000000097</v>
      </c>
      <c r="I69" s="2">
        <v>84302.390000000101</v>
      </c>
      <c r="J69" s="2">
        <v>84321.570000000094</v>
      </c>
      <c r="K69" s="2">
        <v>84342.9200000001</v>
      </c>
      <c r="L69" s="2">
        <v>84363.390000000101</v>
      </c>
      <c r="M69" s="2">
        <v>84376.940000000104</v>
      </c>
      <c r="N69" s="2">
        <v>84397.300000000105</v>
      </c>
      <c r="O69" s="2">
        <v>84417.6700000001</v>
      </c>
      <c r="P69" s="2">
        <v>84437.5600000001</v>
      </c>
      <c r="Q69" s="2">
        <v>84452.110000000102</v>
      </c>
      <c r="R69" s="2">
        <v>84460.050000000105</v>
      </c>
      <c r="S69" s="2">
        <v>84478.79000000011</v>
      </c>
      <c r="T69" s="2">
        <v>84495.980000000112</v>
      </c>
      <c r="U69" s="2">
        <v>84499.980000000112</v>
      </c>
      <c r="V69" s="2">
        <v>84520.980000000112</v>
      </c>
      <c r="W69" s="2">
        <v>84540.840000000113</v>
      </c>
      <c r="X69" s="2">
        <v>84543.730000000112</v>
      </c>
      <c r="Y69" s="2">
        <v>84560.130000000107</v>
      </c>
      <c r="Z69" s="2">
        <v>84570.510000000111</v>
      </c>
      <c r="AA69" s="2">
        <v>84590.370000000112</v>
      </c>
      <c r="AB69" s="2">
        <v>84612.180000000109</v>
      </c>
      <c r="AC69" s="2">
        <v>84633.660000000105</v>
      </c>
      <c r="AD69" s="2">
        <v>84655.230000000112</v>
      </c>
      <c r="AE69" s="2">
        <v>84676.730000000112</v>
      </c>
      <c r="AF69" s="3">
        <v>84691.950000000114</v>
      </c>
      <c r="AG69" s="51">
        <f t="shared" si="2"/>
        <v>84691.950000000114</v>
      </c>
      <c r="AH69" s="44">
        <v>84150.93</v>
      </c>
    </row>
    <row r="70" spans="1:34" x14ac:dyDescent="0.35">
      <c r="A70" s="33" t="s">
        <v>76</v>
      </c>
      <c r="B70" s="10">
        <v>82746.410000000033</v>
      </c>
      <c r="C70" s="2">
        <v>82747.98000000004</v>
      </c>
      <c r="D70" s="2">
        <v>82748.810000000041</v>
      </c>
      <c r="E70" s="2">
        <v>82755.000000000044</v>
      </c>
      <c r="F70" s="2">
        <v>82774.180000000037</v>
      </c>
      <c r="G70" s="2">
        <v>82794.920000000042</v>
      </c>
      <c r="H70" s="2">
        <v>82803.290000000037</v>
      </c>
      <c r="I70" s="2">
        <v>82814.380000000034</v>
      </c>
      <c r="J70" s="2">
        <v>82831.370000000039</v>
      </c>
      <c r="K70" s="2">
        <v>82846.09000000004</v>
      </c>
      <c r="L70" s="2">
        <v>82857.530000000042</v>
      </c>
      <c r="M70" s="2">
        <v>82869.060000000041</v>
      </c>
      <c r="N70" s="2">
        <v>82881.09000000004</v>
      </c>
      <c r="O70" s="2">
        <v>82894.84000000004</v>
      </c>
      <c r="P70" s="2">
        <v>82909.780000000042</v>
      </c>
      <c r="Q70" s="2">
        <v>82911.420000000042</v>
      </c>
      <c r="R70" s="2">
        <v>82915.390000000043</v>
      </c>
      <c r="S70" s="2">
        <v>82934.820000000036</v>
      </c>
      <c r="T70" s="2">
        <v>82945.000000000029</v>
      </c>
      <c r="U70" s="2">
        <v>82960.690000000031</v>
      </c>
      <c r="V70" s="2">
        <v>82969.97000000003</v>
      </c>
      <c r="W70" s="2">
        <v>82975.650000000023</v>
      </c>
      <c r="X70" s="2">
        <v>82975.700000000026</v>
      </c>
      <c r="Y70" s="2">
        <v>82977.86000000003</v>
      </c>
      <c r="Z70" s="2">
        <v>82980.520000000033</v>
      </c>
      <c r="AA70" s="2">
        <v>82996.040000000037</v>
      </c>
      <c r="AB70" s="2">
        <v>83017.22000000003</v>
      </c>
      <c r="AC70" s="2">
        <v>83036.690000000031</v>
      </c>
      <c r="AD70" s="2">
        <v>83037.11000000003</v>
      </c>
      <c r="AE70" s="2">
        <v>83037.11000000003</v>
      </c>
      <c r="AF70" s="3">
        <v>83037.11000000003</v>
      </c>
      <c r="AG70" s="51">
        <f t="shared" si="2"/>
        <v>83037.11000000003</v>
      </c>
      <c r="AH70" s="44">
        <v>82727.710000000006</v>
      </c>
    </row>
    <row r="71" spans="1:34" x14ac:dyDescent="0.35">
      <c r="A71" s="33" t="s">
        <v>77</v>
      </c>
      <c r="B71" s="10">
        <v>72658.200000000084</v>
      </c>
      <c r="C71" s="2">
        <v>72666.580000000089</v>
      </c>
      <c r="D71" s="2">
        <v>72686.000000000087</v>
      </c>
      <c r="E71" s="2">
        <v>72697.69000000009</v>
      </c>
      <c r="F71" s="2">
        <v>72712.060000000085</v>
      </c>
      <c r="G71" s="2">
        <v>72728.360000000088</v>
      </c>
      <c r="H71" s="2">
        <v>72748.760000000082</v>
      </c>
      <c r="I71" s="2">
        <v>72766.510000000082</v>
      </c>
      <c r="J71" s="2">
        <v>72785.640000000087</v>
      </c>
      <c r="K71" s="2">
        <v>72803.530000000086</v>
      </c>
      <c r="L71" s="2">
        <v>72816.380000000092</v>
      </c>
      <c r="M71" s="2">
        <v>72834.570000000094</v>
      </c>
      <c r="N71" s="2">
        <v>72855.770000000091</v>
      </c>
      <c r="O71" s="2">
        <v>72878.630000000092</v>
      </c>
      <c r="P71" s="2">
        <v>72881.410000000091</v>
      </c>
      <c r="Q71" s="2">
        <v>72901.480000000098</v>
      </c>
      <c r="R71" s="2">
        <v>72903.690000000104</v>
      </c>
      <c r="S71" s="2">
        <v>72904.680000000109</v>
      </c>
      <c r="T71" s="2">
        <v>72907.120000000112</v>
      </c>
      <c r="U71" s="2">
        <v>72908.440000000119</v>
      </c>
      <c r="V71" s="2">
        <v>72914.050000000119</v>
      </c>
      <c r="W71" s="2">
        <v>72935.750000000116</v>
      </c>
      <c r="X71" s="2">
        <v>72942.680000000109</v>
      </c>
      <c r="Y71" s="2">
        <v>72947.120000000112</v>
      </c>
      <c r="Z71" s="2">
        <v>72954.740000000107</v>
      </c>
      <c r="AA71" s="2">
        <v>72976.480000000112</v>
      </c>
      <c r="AB71" s="2">
        <v>72998.720000000118</v>
      </c>
      <c r="AC71" s="2">
        <v>73020.920000000115</v>
      </c>
      <c r="AD71" s="2">
        <v>73042.710000000108</v>
      </c>
      <c r="AE71" s="2">
        <v>73061.450000000114</v>
      </c>
      <c r="AF71" s="3">
        <v>73083.050000000119</v>
      </c>
      <c r="AG71" s="51">
        <f t="shared" si="2"/>
        <v>73083.050000000119</v>
      </c>
      <c r="AH71" s="44">
        <v>72639.539999999994</v>
      </c>
    </row>
    <row r="72" spans="1:34" x14ac:dyDescent="0.35">
      <c r="A72" s="33" t="s">
        <v>78</v>
      </c>
      <c r="B72" s="10">
        <v>76042.699999999852</v>
      </c>
      <c r="C72" s="2">
        <v>76062.259999999849</v>
      </c>
      <c r="D72" s="2">
        <v>76069.499999999854</v>
      </c>
      <c r="E72" s="2">
        <v>76069.499999999854</v>
      </c>
      <c r="F72" s="2">
        <v>76069.499999999854</v>
      </c>
      <c r="G72" s="2">
        <v>76069.499999999854</v>
      </c>
      <c r="H72" s="2">
        <v>76078.499999999854</v>
      </c>
      <c r="I72" s="2">
        <v>76089.189999999857</v>
      </c>
      <c r="J72" s="2">
        <v>76089.189999999857</v>
      </c>
      <c r="K72" s="2">
        <v>76089.189999999857</v>
      </c>
      <c r="L72" s="2">
        <v>76089.189999999857</v>
      </c>
      <c r="M72" s="2">
        <v>76090.749999999854</v>
      </c>
      <c r="N72" s="2">
        <v>76094.319999999861</v>
      </c>
      <c r="O72" s="2">
        <v>76100.089999999866</v>
      </c>
      <c r="P72" s="2">
        <v>76116.189999999871</v>
      </c>
      <c r="Q72" s="2">
        <v>76125.009999999878</v>
      </c>
      <c r="R72" s="2">
        <v>76125.859999999884</v>
      </c>
      <c r="S72" s="2">
        <v>76143.599999999889</v>
      </c>
      <c r="T72" s="2">
        <v>76143.599999999889</v>
      </c>
      <c r="U72" s="2">
        <v>76164.439999999886</v>
      </c>
      <c r="V72" s="2">
        <v>76170.809999999881</v>
      </c>
      <c r="W72" s="2">
        <v>76171.249999999884</v>
      </c>
      <c r="X72" s="2">
        <v>76172.169999999882</v>
      </c>
      <c r="Y72" s="2">
        <v>76174.989999999889</v>
      </c>
      <c r="Z72" s="2">
        <v>76184.189999999886</v>
      </c>
      <c r="AA72" s="2">
        <v>76202.069999999891</v>
      </c>
      <c r="AB72" s="2">
        <v>76210.829999999885</v>
      </c>
      <c r="AC72" s="2">
        <v>76232.159999999887</v>
      </c>
      <c r="AD72" s="2">
        <v>76253.179999999891</v>
      </c>
      <c r="AE72" s="2">
        <v>76274.039999999892</v>
      </c>
      <c r="AF72" s="3">
        <v>76294.529999999897</v>
      </c>
      <c r="AG72" s="51">
        <f t="shared" si="2"/>
        <v>76294.529999999897</v>
      </c>
      <c r="AH72" s="44">
        <v>76024.100000000006</v>
      </c>
    </row>
    <row r="73" spans="1:34" x14ac:dyDescent="0.35">
      <c r="A73" s="33" t="s">
        <v>79</v>
      </c>
      <c r="B73" s="10">
        <v>78307.36999999985</v>
      </c>
      <c r="C73" s="2">
        <v>78312.949999999852</v>
      </c>
      <c r="D73" s="2">
        <v>78335.099999999846</v>
      </c>
      <c r="E73" s="2">
        <v>78356.599999999846</v>
      </c>
      <c r="F73" s="2">
        <v>78365.879999999845</v>
      </c>
      <c r="G73" s="2">
        <v>78379.22999999985</v>
      </c>
      <c r="H73" s="2">
        <v>78389.459999999846</v>
      </c>
      <c r="I73" s="2">
        <v>78398.789999999848</v>
      </c>
      <c r="J73" s="2">
        <v>78400.699999999852</v>
      </c>
      <c r="K73" s="2">
        <v>78416.799999999857</v>
      </c>
      <c r="L73" s="2">
        <v>78431.549999999857</v>
      </c>
      <c r="M73" s="2">
        <v>78442.509999999864</v>
      </c>
      <c r="N73" s="2">
        <v>78463.569999999861</v>
      </c>
      <c r="O73" s="2">
        <v>78483.819999999861</v>
      </c>
      <c r="P73" s="2">
        <v>78504.649999999863</v>
      </c>
      <c r="Q73" s="2">
        <v>78525.23999999986</v>
      </c>
      <c r="R73" s="2">
        <v>78545.299999999857</v>
      </c>
      <c r="S73" s="2">
        <v>78565.759999999864</v>
      </c>
      <c r="T73" s="2">
        <v>78584.189999999857</v>
      </c>
      <c r="U73" s="2">
        <v>78602.219999999856</v>
      </c>
      <c r="V73" s="2">
        <v>78623.689999999857</v>
      </c>
      <c r="W73" s="2">
        <v>78645.589999999851</v>
      </c>
      <c r="X73" s="2">
        <v>78657.649999999849</v>
      </c>
      <c r="Y73" s="2">
        <v>78667.389999999854</v>
      </c>
      <c r="Z73" s="2">
        <v>78680.34999999986</v>
      </c>
      <c r="AA73" s="2">
        <v>78682.369999999864</v>
      </c>
      <c r="AB73" s="2">
        <v>78701.59999999986</v>
      </c>
      <c r="AC73" s="2">
        <v>78716.999999999854</v>
      </c>
      <c r="AD73" s="2">
        <v>78731.909999999858</v>
      </c>
      <c r="AE73" s="2">
        <v>78745.039999999863</v>
      </c>
      <c r="AF73" s="3">
        <v>78766.409999999858</v>
      </c>
      <c r="AG73" s="51">
        <f t="shared" si="2"/>
        <v>78766.409999999858</v>
      </c>
      <c r="AH73" s="44">
        <v>78307.37</v>
      </c>
    </row>
    <row r="74" spans="1:34" x14ac:dyDescent="0.35">
      <c r="A74" s="33" t="s">
        <v>80</v>
      </c>
      <c r="B74" s="10">
        <v>83093.020000000019</v>
      </c>
      <c r="C74" s="2">
        <v>83105.080000000016</v>
      </c>
      <c r="D74" s="2">
        <v>83126.900000000023</v>
      </c>
      <c r="E74" s="2">
        <v>83147.440000000017</v>
      </c>
      <c r="F74" s="2">
        <v>83163.470000000016</v>
      </c>
      <c r="G74" s="2">
        <v>83185.430000000022</v>
      </c>
      <c r="H74" s="2">
        <v>83206.190000000017</v>
      </c>
      <c r="I74" s="2">
        <v>83206.35000000002</v>
      </c>
      <c r="J74" s="2">
        <v>83216.830000000016</v>
      </c>
      <c r="K74" s="2">
        <v>83236.260000000009</v>
      </c>
      <c r="L74" s="2">
        <v>83257.070000000007</v>
      </c>
      <c r="M74" s="2">
        <v>83264.850000000006</v>
      </c>
      <c r="N74" s="2">
        <v>83284.990000000005</v>
      </c>
      <c r="O74" s="2">
        <v>83302.64</v>
      </c>
      <c r="P74" s="2">
        <v>83320.56</v>
      </c>
      <c r="Q74" s="2">
        <v>83328.28</v>
      </c>
      <c r="R74" s="2">
        <v>83330.44</v>
      </c>
      <c r="S74" s="2">
        <v>83350.67</v>
      </c>
      <c r="T74" s="2">
        <v>83366.34</v>
      </c>
      <c r="U74" s="2">
        <v>83384.95</v>
      </c>
      <c r="V74" s="2">
        <v>83406.17</v>
      </c>
      <c r="W74" s="2">
        <v>83425.149999999994</v>
      </c>
      <c r="X74" s="2">
        <v>83442.48</v>
      </c>
      <c r="Y74" s="2">
        <v>83463.06</v>
      </c>
      <c r="Z74" s="2">
        <v>83467.319999999992</v>
      </c>
      <c r="AA74" s="2">
        <v>83483.069999999992</v>
      </c>
      <c r="AB74" s="2">
        <v>83504.579999999987</v>
      </c>
      <c r="AC74" s="2">
        <v>83514.799999999988</v>
      </c>
      <c r="AD74" s="2">
        <v>83536.219999999987</v>
      </c>
      <c r="AE74" s="2">
        <v>83557.719999999987</v>
      </c>
      <c r="AF74" s="3">
        <v>83560.209999999992</v>
      </c>
      <c r="AG74" s="51">
        <f t="shared" si="2"/>
        <v>83560.209999999992</v>
      </c>
      <c r="AH74" s="44">
        <v>83071.67</v>
      </c>
    </row>
    <row r="75" spans="1:34" x14ac:dyDescent="0.35">
      <c r="A75" s="33" t="s">
        <v>81</v>
      </c>
      <c r="B75" s="10">
        <v>82165.159999999887</v>
      </c>
      <c r="C75" s="2">
        <v>82182.939999999886</v>
      </c>
      <c r="D75" s="2">
        <v>82200.009999999893</v>
      </c>
      <c r="E75" s="2">
        <v>82213.509999999893</v>
      </c>
      <c r="F75" s="2">
        <v>82230.599999999889</v>
      </c>
      <c r="G75" s="2">
        <v>82252.20999999989</v>
      </c>
      <c r="H75" s="2">
        <v>82263.689999999886</v>
      </c>
      <c r="I75" s="2">
        <v>82278.069999999891</v>
      </c>
      <c r="J75" s="2">
        <v>82297.579999999885</v>
      </c>
      <c r="K75" s="2">
        <v>82314.429999999891</v>
      </c>
      <c r="L75" s="2">
        <v>82317.349999999889</v>
      </c>
      <c r="M75" s="2">
        <v>82337.269999999888</v>
      </c>
      <c r="N75" s="2">
        <v>82355.949999999881</v>
      </c>
      <c r="O75" s="2">
        <v>82373.58999999988</v>
      </c>
      <c r="P75" s="2">
        <v>82391.029999999882</v>
      </c>
      <c r="Q75" s="2">
        <v>82403.029999999882</v>
      </c>
      <c r="R75" s="2">
        <v>82423.279999999882</v>
      </c>
      <c r="S75" s="2">
        <v>82430.069999999876</v>
      </c>
      <c r="T75" s="2">
        <v>82439.849999999875</v>
      </c>
      <c r="U75" s="2">
        <v>82455.619999999879</v>
      </c>
      <c r="V75" s="2">
        <v>82468.249999999884</v>
      </c>
      <c r="W75" s="2">
        <v>82484.489999999889</v>
      </c>
      <c r="X75" s="2">
        <v>82492.189999999886</v>
      </c>
      <c r="Y75" s="2">
        <v>82493.389999999883</v>
      </c>
      <c r="Z75" s="2">
        <v>82506.249999999884</v>
      </c>
      <c r="AA75" s="2">
        <v>82527.679999999877</v>
      </c>
      <c r="AB75" s="2">
        <v>82540.989999999874</v>
      </c>
      <c r="AC75" s="2">
        <v>82559.22999999988</v>
      </c>
      <c r="AD75" s="2">
        <v>82579.309999999881</v>
      </c>
      <c r="AE75" s="2">
        <v>82600.769999999888</v>
      </c>
      <c r="AF75" s="3">
        <v>82620.429999999891</v>
      </c>
      <c r="AG75" s="51">
        <f t="shared" si="2"/>
        <v>82620.429999999891</v>
      </c>
      <c r="AH75" s="44">
        <v>82164.25</v>
      </c>
    </row>
    <row r="76" spans="1:34" x14ac:dyDescent="0.35">
      <c r="A76" s="33" t="s">
        <v>82</v>
      </c>
      <c r="B76" s="10">
        <v>82091.510000000228</v>
      </c>
      <c r="C76" s="2">
        <v>82106.820000000225</v>
      </c>
      <c r="D76" s="2">
        <v>82126.460000000225</v>
      </c>
      <c r="E76" s="2">
        <v>82135.490000000224</v>
      </c>
      <c r="F76" s="2">
        <v>82147.970000000219</v>
      </c>
      <c r="G76" s="2">
        <v>82165.030000000217</v>
      </c>
      <c r="H76" s="2">
        <v>82184.930000000211</v>
      </c>
      <c r="I76" s="2">
        <v>82202.990000000209</v>
      </c>
      <c r="J76" s="2">
        <v>82217.700000000215</v>
      </c>
      <c r="K76" s="2">
        <v>82234.750000000218</v>
      </c>
      <c r="L76" s="2">
        <v>82249.660000000222</v>
      </c>
      <c r="M76" s="2">
        <v>82270.860000000219</v>
      </c>
      <c r="N76" s="2">
        <v>82292.660000000222</v>
      </c>
      <c r="O76" s="2">
        <v>82313.410000000222</v>
      </c>
      <c r="P76" s="2">
        <v>82333.890000000218</v>
      </c>
      <c r="Q76" s="2">
        <v>82355.150000000212</v>
      </c>
      <c r="R76" s="2">
        <v>82375.480000000214</v>
      </c>
      <c r="S76" s="2">
        <v>82380.180000000211</v>
      </c>
      <c r="T76" s="2">
        <v>82380.180000000211</v>
      </c>
      <c r="U76" s="2">
        <v>82380.180000000211</v>
      </c>
      <c r="V76" s="2">
        <v>82380.180000000211</v>
      </c>
      <c r="W76" s="2">
        <v>82380.180000000211</v>
      </c>
      <c r="X76" s="2">
        <v>82385.910000000207</v>
      </c>
      <c r="Y76" s="2">
        <v>82396.35000000021</v>
      </c>
      <c r="Z76" s="2">
        <v>82416.35000000021</v>
      </c>
      <c r="AA76" s="2">
        <v>82427.620000000214</v>
      </c>
      <c r="AB76" s="2">
        <v>82444.790000000212</v>
      </c>
      <c r="AC76" s="2">
        <v>82466.200000000215</v>
      </c>
      <c r="AD76" s="2">
        <v>82487.380000000208</v>
      </c>
      <c r="AE76" s="2">
        <v>82507.650000000212</v>
      </c>
      <c r="AF76" s="3">
        <v>82529.290000000212</v>
      </c>
      <c r="AG76" s="51">
        <f t="shared" si="2"/>
        <v>82529.290000000212</v>
      </c>
      <c r="AH76" s="44">
        <v>82070.19</v>
      </c>
    </row>
    <row r="77" spans="1:34" x14ac:dyDescent="0.35">
      <c r="A77" s="33" t="s">
        <v>83</v>
      </c>
      <c r="B77" s="10">
        <v>81950.490000000005</v>
      </c>
      <c r="C77" s="2">
        <v>81972.25</v>
      </c>
      <c r="D77" s="2">
        <v>81992.86</v>
      </c>
      <c r="E77" s="2">
        <v>82013.899999999994</v>
      </c>
      <c r="F77" s="2">
        <v>82022.349999999991</v>
      </c>
      <c r="G77" s="2">
        <v>82043.829999999987</v>
      </c>
      <c r="H77" s="2">
        <v>82065.599999999991</v>
      </c>
      <c r="I77" s="2">
        <v>82083.289999999994</v>
      </c>
      <c r="J77" s="2">
        <v>82104.599999999991</v>
      </c>
      <c r="K77" s="2">
        <v>82124.81</v>
      </c>
      <c r="L77" s="2">
        <v>82145.289999999994</v>
      </c>
      <c r="M77" s="2">
        <v>82163.969999999987</v>
      </c>
      <c r="N77" s="2">
        <v>82178.319999999992</v>
      </c>
      <c r="O77" s="2">
        <v>82181.87999999999</v>
      </c>
      <c r="P77" s="2">
        <v>82181.87999999999</v>
      </c>
      <c r="Q77" s="2">
        <v>82181.87999999999</v>
      </c>
      <c r="R77" s="2">
        <v>82181.87999999999</v>
      </c>
      <c r="S77" s="2">
        <v>82181.87999999999</v>
      </c>
      <c r="T77" s="2">
        <v>82181.87999999999</v>
      </c>
      <c r="U77" s="2">
        <v>82181.87999999999</v>
      </c>
      <c r="V77" s="2">
        <v>82181.87999999999</v>
      </c>
      <c r="W77" s="2">
        <v>82181.87999999999</v>
      </c>
      <c r="X77" s="2">
        <v>82181.87999999999</v>
      </c>
      <c r="Y77" s="2">
        <v>82192.479999999996</v>
      </c>
      <c r="Z77" s="2">
        <v>82202.959999999992</v>
      </c>
      <c r="AA77" s="2">
        <v>82206.45</v>
      </c>
      <c r="AB77" s="2">
        <v>82227.37999999999</v>
      </c>
      <c r="AC77" s="2">
        <v>82249.789999999994</v>
      </c>
      <c r="AD77" s="2">
        <v>82271.53</v>
      </c>
      <c r="AE77" s="2">
        <v>82291.959999999992</v>
      </c>
      <c r="AF77" s="3">
        <v>82296.649999999994</v>
      </c>
      <c r="AG77" s="51">
        <f t="shared" si="2"/>
        <v>82296.649999999994</v>
      </c>
      <c r="AH77" s="44">
        <v>81928.97</v>
      </c>
    </row>
    <row r="78" spans="1:34" x14ac:dyDescent="0.35">
      <c r="A78" s="33" t="s">
        <v>84</v>
      </c>
      <c r="B78" s="10">
        <v>83948.469999999943</v>
      </c>
      <c r="C78" s="2">
        <v>83971.009999999937</v>
      </c>
      <c r="D78" s="2">
        <v>83993.009999999937</v>
      </c>
      <c r="E78" s="2">
        <v>84014.889999999941</v>
      </c>
      <c r="F78" s="2">
        <v>84030.389999999941</v>
      </c>
      <c r="G78" s="2">
        <v>84037.779999999941</v>
      </c>
      <c r="H78" s="2">
        <v>84051.829999999944</v>
      </c>
      <c r="I78" s="2">
        <v>84062.66999999994</v>
      </c>
      <c r="J78" s="2">
        <v>84062.66999999994</v>
      </c>
      <c r="K78" s="2">
        <v>84083.879999999946</v>
      </c>
      <c r="L78" s="2">
        <v>84103.649999999951</v>
      </c>
      <c r="M78" s="2">
        <v>84119.029999999955</v>
      </c>
      <c r="N78" s="2">
        <v>84140.959999999948</v>
      </c>
      <c r="O78" s="2">
        <v>84155.929999999949</v>
      </c>
      <c r="P78" s="2">
        <v>84177.309999999954</v>
      </c>
      <c r="Q78" s="2">
        <v>84198.849999999948</v>
      </c>
      <c r="R78" s="2">
        <v>84218.799999999945</v>
      </c>
      <c r="S78" s="2">
        <v>84229.659999999945</v>
      </c>
      <c r="T78" s="2">
        <v>84245.069999999949</v>
      </c>
      <c r="U78" s="2">
        <v>84261.159999999945</v>
      </c>
      <c r="V78" s="2">
        <v>84275.199999999939</v>
      </c>
      <c r="W78" s="2">
        <v>84282.029999999941</v>
      </c>
      <c r="X78" s="2">
        <v>84300.779999999941</v>
      </c>
      <c r="Y78" s="2">
        <v>84322.049999999945</v>
      </c>
      <c r="Z78" s="2">
        <v>84331.709999999948</v>
      </c>
      <c r="AA78" s="2">
        <v>84351.929999999949</v>
      </c>
      <c r="AB78" s="2">
        <v>84365.809999999954</v>
      </c>
      <c r="AC78" s="2">
        <v>84371.819999999949</v>
      </c>
      <c r="AD78" s="2">
        <v>84393.209999999948</v>
      </c>
      <c r="AE78" s="2">
        <v>84410.149999999951</v>
      </c>
      <c r="AF78" s="3">
        <v>84431.399999999951</v>
      </c>
      <c r="AG78" s="51">
        <f t="shared" si="2"/>
        <v>84431.399999999951</v>
      </c>
      <c r="AH78" s="44">
        <v>83926.46</v>
      </c>
    </row>
    <row r="79" spans="1:34" x14ac:dyDescent="0.35">
      <c r="A79" s="33" t="s">
        <v>85</v>
      </c>
      <c r="B79" s="10">
        <v>84048.919999999867</v>
      </c>
      <c r="C79" s="2">
        <v>84070.409999999873</v>
      </c>
      <c r="D79" s="2">
        <v>84070.409999999873</v>
      </c>
      <c r="E79" s="2">
        <v>84083.149999999878</v>
      </c>
      <c r="F79" s="2">
        <v>84104.33999999988</v>
      </c>
      <c r="G79" s="2">
        <v>84125.749999999884</v>
      </c>
      <c r="H79" s="2">
        <v>84146.83999999988</v>
      </c>
      <c r="I79" s="2">
        <v>84162.909999999887</v>
      </c>
      <c r="J79" s="2">
        <v>84180.239999999889</v>
      </c>
      <c r="K79" s="2">
        <v>84201.899999999892</v>
      </c>
      <c r="L79" s="2">
        <v>84221.299999999886</v>
      </c>
      <c r="M79" s="2">
        <v>84242.129999999888</v>
      </c>
      <c r="N79" s="2">
        <v>84263.229999999894</v>
      </c>
      <c r="O79" s="2">
        <v>84283.489999999889</v>
      </c>
      <c r="P79" s="2">
        <v>84305.319999999891</v>
      </c>
      <c r="Q79" s="2">
        <v>84326.799999999886</v>
      </c>
      <c r="R79" s="2">
        <v>84345.359999999884</v>
      </c>
      <c r="S79" s="2">
        <v>84365.599999999889</v>
      </c>
      <c r="T79" s="2">
        <v>84382.089999999895</v>
      </c>
      <c r="U79" s="2">
        <v>84389.699999999895</v>
      </c>
      <c r="V79" s="2">
        <v>84408.629999999888</v>
      </c>
      <c r="W79" s="2">
        <v>84425.189999999886</v>
      </c>
      <c r="X79" s="2">
        <v>84446.469999999885</v>
      </c>
      <c r="Y79" s="2">
        <v>84467.389999999883</v>
      </c>
      <c r="Z79" s="2">
        <v>84479.179999999877</v>
      </c>
      <c r="AA79" s="2">
        <v>84499.069999999876</v>
      </c>
      <c r="AB79" s="2">
        <v>84520.099999999875</v>
      </c>
      <c r="AC79" s="2">
        <v>84541.259999999878</v>
      </c>
      <c r="AD79" s="2">
        <v>84562.209999999875</v>
      </c>
      <c r="AE79" s="2">
        <v>84577.96999999987</v>
      </c>
      <c r="AF79" s="3">
        <v>84597.579999999871</v>
      </c>
      <c r="AG79" s="51">
        <f t="shared" si="2"/>
        <v>84597.579999999871</v>
      </c>
      <c r="AH79" s="44">
        <v>84028.96</v>
      </c>
    </row>
    <row r="80" spans="1:34" x14ac:dyDescent="0.35">
      <c r="A80" s="33" t="s">
        <v>86</v>
      </c>
      <c r="B80" s="10">
        <v>82468.00999999982</v>
      </c>
      <c r="C80" s="2">
        <v>82489.089999999822</v>
      </c>
      <c r="D80" s="2">
        <v>82508.89999999982</v>
      </c>
      <c r="E80" s="2">
        <v>82530.779999999824</v>
      </c>
      <c r="F80" s="2">
        <v>82530.889999999825</v>
      </c>
      <c r="G80" s="2">
        <v>82540.059999999823</v>
      </c>
      <c r="H80" s="2">
        <v>82556.39999999982</v>
      </c>
      <c r="I80" s="2">
        <v>82575.859999999826</v>
      </c>
      <c r="J80" s="2">
        <v>82594.429999999833</v>
      </c>
      <c r="K80" s="2">
        <v>82615.919999999838</v>
      </c>
      <c r="L80" s="2">
        <v>82637.759999999835</v>
      </c>
      <c r="M80" s="2">
        <v>82657.819999999832</v>
      </c>
      <c r="N80" s="2">
        <v>82679.279999999839</v>
      </c>
      <c r="O80" s="2">
        <v>82699.079999999842</v>
      </c>
      <c r="P80" s="2">
        <v>82720.649999999849</v>
      </c>
      <c r="Q80" s="2">
        <v>82741.179999999847</v>
      </c>
      <c r="R80" s="2">
        <v>82762.36999999985</v>
      </c>
      <c r="S80" s="2">
        <v>82784.299999999843</v>
      </c>
      <c r="T80" s="2">
        <v>82805.699999999837</v>
      </c>
      <c r="U80" s="2">
        <v>82822.829999999842</v>
      </c>
      <c r="V80" s="2">
        <v>82837.919999999838</v>
      </c>
      <c r="W80" s="2">
        <v>82859.349999999831</v>
      </c>
      <c r="X80" s="2">
        <v>82877.949999999837</v>
      </c>
      <c r="Y80" s="2">
        <v>82899.549999999843</v>
      </c>
      <c r="Z80" s="2">
        <v>82909.139999999839</v>
      </c>
      <c r="AA80" s="2">
        <v>82922.779999999839</v>
      </c>
      <c r="AB80" s="2">
        <v>82922.779999999839</v>
      </c>
      <c r="AC80" s="2">
        <v>82922.779999999839</v>
      </c>
      <c r="AD80" s="2">
        <v>82922.779999999839</v>
      </c>
      <c r="AE80" s="2">
        <v>82922.779999999839</v>
      </c>
      <c r="AF80" s="3">
        <v>82922.779999999839</v>
      </c>
      <c r="AG80" s="51">
        <f t="shared" si="2"/>
        <v>82922.779999999839</v>
      </c>
      <c r="AH80" s="44">
        <v>82447.53</v>
      </c>
    </row>
    <row r="81" spans="1:34" x14ac:dyDescent="0.35">
      <c r="A81" s="33" t="s">
        <v>87</v>
      </c>
      <c r="B81" s="10">
        <v>82323.390000000087</v>
      </c>
      <c r="C81" s="2">
        <v>82331.780000000086</v>
      </c>
      <c r="D81" s="2">
        <v>82353.520000000091</v>
      </c>
      <c r="E81" s="2">
        <v>82374.910000000091</v>
      </c>
      <c r="F81" s="2">
        <v>82390.520000000091</v>
      </c>
      <c r="G81" s="2">
        <v>82406.010000000097</v>
      </c>
      <c r="H81" s="2">
        <v>82423.700000000099</v>
      </c>
      <c r="I81" s="2">
        <v>82437.180000000095</v>
      </c>
      <c r="J81" s="2">
        <v>82445.740000000093</v>
      </c>
      <c r="K81" s="2">
        <v>82456.520000000091</v>
      </c>
      <c r="L81" s="2">
        <v>82467.510000000097</v>
      </c>
      <c r="M81" s="2">
        <v>82478.69000000009</v>
      </c>
      <c r="N81" s="2">
        <v>82499.650000000096</v>
      </c>
      <c r="O81" s="2">
        <v>82521.360000000102</v>
      </c>
      <c r="P81" s="2">
        <v>82535.020000000106</v>
      </c>
      <c r="Q81" s="2">
        <v>82556.820000000109</v>
      </c>
      <c r="R81" s="2">
        <v>82573.530000000115</v>
      </c>
      <c r="S81" s="2">
        <v>82584.860000000117</v>
      </c>
      <c r="T81" s="2">
        <v>82600.630000000121</v>
      </c>
      <c r="U81" s="2">
        <v>82610.630000000121</v>
      </c>
      <c r="V81" s="2">
        <v>82620.040000000125</v>
      </c>
      <c r="W81" s="2">
        <v>82641.130000000121</v>
      </c>
      <c r="X81" s="2">
        <v>82662.100000000122</v>
      </c>
      <c r="Y81" s="2">
        <v>82678.120000000126</v>
      </c>
      <c r="Z81" s="2">
        <v>82687.960000000123</v>
      </c>
      <c r="AA81" s="2">
        <v>82709.180000000124</v>
      </c>
      <c r="AB81" s="2">
        <v>82730.450000000128</v>
      </c>
      <c r="AC81" s="2">
        <v>82751.620000000126</v>
      </c>
      <c r="AD81" s="2">
        <v>82772.940000000133</v>
      </c>
      <c r="AE81" s="2">
        <v>82795.320000000138</v>
      </c>
      <c r="AF81" s="3">
        <v>82813.860000000132</v>
      </c>
      <c r="AG81" s="51">
        <f t="shared" si="2"/>
        <v>82813.860000000132</v>
      </c>
      <c r="AH81" s="44">
        <v>82309.88</v>
      </c>
    </row>
    <row r="82" spans="1:34" x14ac:dyDescent="0.35">
      <c r="A82" s="33" t="s">
        <v>88</v>
      </c>
      <c r="B82" s="10">
        <v>82375.409999999945</v>
      </c>
      <c r="C82" s="2">
        <v>82396.799999999945</v>
      </c>
      <c r="D82" s="2">
        <v>82418.319999999949</v>
      </c>
      <c r="E82" s="2">
        <v>82440.249999999942</v>
      </c>
      <c r="F82" s="2">
        <v>82461.749999999942</v>
      </c>
      <c r="G82" s="2">
        <v>82479.969999999943</v>
      </c>
      <c r="H82" s="2">
        <v>82493.509999999937</v>
      </c>
      <c r="I82" s="2">
        <v>82509.649999999936</v>
      </c>
      <c r="J82" s="2">
        <v>82531.379999999932</v>
      </c>
      <c r="K82" s="2">
        <v>82547.139999999927</v>
      </c>
      <c r="L82" s="2">
        <v>82564.159999999931</v>
      </c>
      <c r="M82" s="2">
        <v>82573.399999999936</v>
      </c>
      <c r="N82" s="2">
        <v>82594.719999999943</v>
      </c>
      <c r="O82" s="2">
        <v>82615.569999999949</v>
      </c>
      <c r="P82" s="2">
        <v>82637.219999999943</v>
      </c>
      <c r="Q82" s="2">
        <v>82658.899999999936</v>
      </c>
      <c r="R82" s="2">
        <v>82676.569999999934</v>
      </c>
      <c r="S82" s="2">
        <v>82698.389999999941</v>
      </c>
      <c r="T82" s="2">
        <v>82718.91999999994</v>
      </c>
      <c r="U82" s="2">
        <v>82740.989999999947</v>
      </c>
      <c r="V82" s="2">
        <v>82762.969999999943</v>
      </c>
      <c r="W82" s="2">
        <v>82776.099999999948</v>
      </c>
      <c r="X82" s="2">
        <v>82789.139999999941</v>
      </c>
      <c r="Y82" s="2">
        <v>82798.999999999942</v>
      </c>
      <c r="Z82" s="2">
        <v>82818.709999999948</v>
      </c>
      <c r="AA82" s="2">
        <v>82839.959999999948</v>
      </c>
      <c r="AB82" s="2">
        <v>82860.829999999944</v>
      </c>
      <c r="AC82" s="2">
        <v>82882.629999999946</v>
      </c>
      <c r="AD82" s="2">
        <v>82903.019999999946</v>
      </c>
      <c r="AE82" s="2">
        <v>82924.969999999943</v>
      </c>
      <c r="AF82" s="3">
        <v>82943.729999999938</v>
      </c>
      <c r="AG82" s="51">
        <f t="shared" si="2"/>
        <v>82943.729999999938</v>
      </c>
      <c r="AH82" s="44">
        <v>82358.75</v>
      </c>
    </row>
    <row r="83" spans="1:34" x14ac:dyDescent="0.35">
      <c r="A83" s="33" t="s">
        <v>89</v>
      </c>
      <c r="B83" s="10">
        <v>82353.61999999969</v>
      </c>
      <c r="C83" s="2">
        <v>82375.069999999687</v>
      </c>
      <c r="D83" s="2">
        <v>82396.679999999687</v>
      </c>
      <c r="E83" s="2">
        <v>82414.97999999969</v>
      </c>
      <c r="F83" s="2">
        <v>82431.049999999697</v>
      </c>
      <c r="G83" s="2">
        <v>82451.109999999695</v>
      </c>
      <c r="H83" s="2">
        <v>82466.399999999689</v>
      </c>
      <c r="I83" s="2">
        <v>82474.559999999692</v>
      </c>
      <c r="J83" s="2">
        <v>82487.529999999693</v>
      </c>
      <c r="K83" s="2">
        <v>82508.61999999969</v>
      </c>
      <c r="L83" s="2">
        <v>82521.079999999696</v>
      </c>
      <c r="M83" s="2">
        <v>82535.799999999697</v>
      </c>
      <c r="N83" s="2">
        <v>82539.069999999701</v>
      </c>
      <c r="O83" s="2">
        <v>82546.249999999694</v>
      </c>
      <c r="P83" s="2">
        <v>82567.839999999691</v>
      </c>
      <c r="Q83" s="2">
        <v>82589.419999999693</v>
      </c>
      <c r="R83" s="2">
        <v>82610.319999999687</v>
      </c>
      <c r="S83" s="2">
        <v>82610.919999999693</v>
      </c>
      <c r="T83" s="2">
        <v>82623.759999999689</v>
      </c>
      <c r="U83" s="2">
        <v>82641.319999999687</v>
      </c>
      <c r="V83" s="2">
        <v>82661.24999999968</v>
      </c>
      <c r="W83" s="2">
        <v>82678.479999999676</v>
      </c>
      <c r="X83" s="2">
        <v>82685.219999999681</v>
      </c>
      <c r="Y83" s="2">
        <v>82705.699999999677</v>
      </c>
      <c r="Z83" s="2">
        <v>82727.339999999676</v>
      </c>
      <c r="AA83" s="2">
        <v>82748.99999999968</v>
      </c>
      <c r="AB83" s="2">
        <v>82766.019999999684</v>
      </c>
      <c r="AC83" s="2">
        <v>82777.35999999968</v>
      </c>
      <c r="AD83" s="2">
        <v>82798.629999999685</v>
      </c>
      <c r="AE83" s="2">
        <v>82816.569999999687</v>
      </c>
      <c r="AF83" s="3">
        <v>82838.509999999689</v>
      </c>
      <c r="AG83" s="51">
        <f t="shared" si="2"/>
        <v>82838.509999999689</v>
      </c>
      <c r="AH83" s="44">
        <v>82332.94</v>
      </c>
    </row>
    <row r="84" spans="1:34" x14ac:dyDescent="0.35">
      <c r="A84" s="33" t="s">
        <v>90</v>
      </c>
      <c r="B84" s="10">
        <v>83867</v>
      </c>
      <c r="C84" s="2">
        <v>83888.66</v>
      </c>
      <c r="D84" s="2">
        <v>83909.64</v>
      </c>
      <c r="E84" s="2">
        <v>83930.66</v>
      </c>
      <c r="F84" s="2">
        <v>83951.12000000001</v>
      </c>
      <c r="G84" s="2">
        <v>83971.580000000016</v>
      </c>
      <c r="H84" s="2">
        <v>83986.520000000019</v>
      </c>
      <c r="I84" s="2">
        <v>84006.180000000022</v>
      </c>
      <c r="J84" s="2">
        <v>84025.880000000019</v>
      </c>
      <c r="K84" s="2">
        <v>84034.330000000016</v>
      </c>
      <c r="L84" s="2">
        <v>84037.510000000009</v>
      </c>
      <c r="M84" s="2">
        <v>84039.290000000008</v>
      </c>
      <c r="N84" s="2">
        <v>84054.840000000011</v>
      </c>
      <c r="O84" s="2">
        <v>84070.62000000001</v>
      </c>
      <c r="P84" s="2">
        <v>84074.220000000016</v>
      </c>
      <c r="Q84" s="2">
        <v>84086.310000000012</v>
      </c>
      <c r="R84" s="2">
        <v>84107.520000000019</v>
      </c>
      <c r="S84" s="2">
        <v>84129.210000000021</v>
      </c>
      <c r="T84" s="2">
        <v>84148.99000000002</v>
      </c>
      <c r="U84" s="2">
        <v>84169.720000000016</v>
      </c>
      <c r="V84" s="2">
        <v>84190.440000000017</v>
      </c>
      <c r="W84" s="2">
        <v>84211.840000000011</v>
      </c>
      <c r="X84" s="2">
        <v>84233.52</v>
      </c>
      <c r="Y84" s="2">
        <v>84249.540000000008</v>
      </c>
      <c r="Z84" s="2">
        <v>84268.98000000001</v>
      </c>
      <c r="AA84" s="2">
        <v>84290.340000000011</v>
      </c>
      <c r="AB84" s="2">
        <v>84291.88</v>
      </c>
      <c r="AC84" s="2">
        <v>84309.05</v>
      </c>
      <c r="AD84" s="2">
        <v>84330.180000000008</v>
      </c>
      <c r="AE84" s="2">
        <v>84352.000000000015</v>
      </c>
      <c r="AF84" s="3">
        <v>84373.590000000011</v>
      </c>
      <c r="AG84" s="51">
        <f t="shared" si="2"/>
        <v>84373.590000000011</v>
      </c>
      <c r="AH84" s="44">
        <v>83845.23</v>
      </c>
    </row>
    <row r="85" spans="1:34" x14ac:dyDescent="0.35">
      <c r="A85" s="33" t="s">
        <v>91</v>
      </c>
      <c r="B85" s="10">
        <v>84218.019999999771</v>
      </c>
      <c r="C85" s="2">
        <v>84239.329999999769</v>
      </c>
      <c r="D85" s="2">
        <v>84260.769999999771</v>
      </c>
      <c r="E85" s="2">
        <v>84282.519999999771</v>
      </c>
      <c r="F85" s="2">
        <v>84285.999999999767</v>
      </c>
      <c r="G85" s="2">
        <v>84285.999999999767</v>
      </c>
      <c r="H85" s="2">
        <v>84285.999999999767</v>
      </c>
      <c r="I85" s="2">
        <v>84285.999999999767</v>
      </c>
      <c r="J85" s="2">
        <v>84285.999999999767</v>
      </c>
      <c r="K85" s="2">
        <v>84285.999999999767</v>
      </c>
      <c r="L85" s="2">
        <v>84285.999999999767</v>
      </c>
      <c r="M85" s="2">
        <v>84285.999999999767</v>
      </c>
      <c r="N85" s="2">
        <v>84285.999999999767</v>
      </c>
      <c r="O85" s="2">
        <v>84285.999999999767</v>
      </c>
      <c r="P85" s="2">
        <v>84285.999999999767</v>
      </c>
      <c r="Q85" s="2">
        <v>84285.999999999767</v>
      </c>
      <c r="R85" s="2">
        <v>84285.999999999767</v>
      </c>
      <c r="S85" s="2">
        <v>84285.999999999767</v>
      </c>
      <c r="T85" s="2">
        <v>84285.999999999767</v>
      </c>
      <c r="U85" s="2">
        <v>84285.999999999767</v>
      </c>
      <c r="V85" s="2">
        <v>84285.999999999767</v>
      </c>
      <c r="W85" s="2">
        <v>84285.999999999767</v>
      </c>
      <c r="X85" s="2">
        <v>84285.999999999767</v>
      </c>
      <c r="Y85" s="2">
        <v>84285.999999999767</v>
      </c>
      <c r="Z85" s="2">
        <v>84285.999999999767</v>
      </c>
      <c r="AA85" s="2">
        <v>84285.999999999767</v>
      </c>
      <c r="AB85" s="2">
        <v>84285.999999999767</v>
      </c>
      <c r="AC85" s="2">
        <v>84285.999999999767</v>
      </c>
      <c r="AD85" s="2">
        <v>84285.999999999767</v>
      </c>
      <c r="AE85" s="2">
        <v>84285.999999999767</v>
      </c>
      <c r="AF85" s="3">
        <v>84285.999999999767</v>
      </c>
      <c r="AG85" s="51">
        <f t="shared" si="2"/>
        <v>84285.999999999767</v>
      </c>
      <c r="AH85" s="44">
        <v>84196.75</v>
      </c>
    </row>
    <row r="86" spans="1:34" x14ac:dyDescent="0.35">
      <c r="A86" s="33" t="s">
        <v>92</v>
      </c>
      <c r="B86" s="10">
        <v>83526.120000000141</v>
      </c>
      <c r="C86" s="2">
        <v>83541.300000000134</v>
      </c>
      <c r="D86" s="2">
        <v>83556.380000000136</v>
      </c>
      <c r="E86" s="2">
        <v>83578.460000000137</v>
      </c>
      <c r="F86" s="2">
        <v>83599.540000000139</v>
      </c>
      <c r="G86" s="2">
        <v>83615.950000000143</v>
      </c>
      <c r="H86" s="2">
        <v>83635.180000000139</v>
      </c>
      <c r="I86" s="2">
        <v>83650.820000000138</v>
      </c>
      <c r="J86" s="2">
        <v>83670.290000000139</v>
      </c>
      <c r="K86" s="2">
        <v>83689.790000000139</v>
      </c>
      <c r="L86" s="2">
        <v>83703.850000000137</v>
      </c>
      <c r="M86" s="2">
        <v>83723.740000000136</v>
      </c>
      <c r="N86" s="2">
        <v>83742.660000000134</v>
      </c>
      <c r="O86" s="2">
        <v>83758.51000000014</v>
      </c>
      <c r="P86" s="2">
        <v>83778.640000000145</v>
      </c>
      <c r="Q86" s="2">
        <v>83799.950000000143</v>
      </c>
      <c r="R86" s="2">
        <v>83820.65000000014</v>
      </c>
      <c r="S86" s="2">
        <v>83840.610000000146</v>
      </c>
      <c r="T86" s="2">
        <v>83862.040000000139</v>
      </c>
      <c r="U86" s="2">
        <v>83883.640000000145</v>
      </c>
      <c r="V86" s="2">
        <v>83905.440000000148</v>
      </c>
      <c r="W86" s="2">
        <v>83924.450000000143</v>
      </c>
      <c r="X86" s="2">
        <v>83946.450000000143</v>
      </c>
      <c r="Y86" s="2">
        <v>83967.460000000137</v>
      </c>
      <c r="Z86" s="2">
        <v>83988.800000000134</v>
      </c>
      <c r="AA86" s="2">
        <v>84008.210000000137</v>
      </c>
      <c r="AB86" s="2">
        <v>84027.460000000137</v>
      </c>
      <c r="AC86" s="2">
        <v>84048.64000000013</v>
      </c>
      <c r="AD86" s="2">
        <v>84057.170000000129</v>
      </c>
      <c r="AE86" s="2">
        <v>84071.730000000127</v>
      </c>
      <c r="AF86" s="3">
        <v>84073.070000000123</v>
      </c>
      <c r="AG86" s="51">
        <f t="shared" si="2"/>
        <v>84073.070000000123</v>
      </c>
      <c r="AH86" s="44">
        <v>83524.740000000005</v>
      </c>
    </row>
    <row r="87" spans="1:34" x14ac:dyDescent="0.35">
      <c r="A87" s="33" t="s">
        <v>93</v>
      </c>
      <c r="B87" s="10">
        <v>77223.619999999893</v>
      </c>
      <c r="C87" s="2">
        <v>77241.559999999896</v>
      </c>
      <c r="D87" s="2">
        <v>77259.519999999902</v>
      </c>
      <c r="E87" s="2">
        <v>77279.149999999907</v>
      </c>
      <c r="F87" s="2">
        <v>77300.469999999914</v>
      </c>
      <c r="G87" s="2">
        <v>77319.94999999991</v>
      </c>
      <c r="H87" s="2">
        <v>77341.259999999907</v>
      </c>
      <c r="I87" s="2">
        <v>77357.889999999912</v>
      </c>
      <c r="J87" s="2">
        <v>77379.319999999905</v>
      </c>
      <c r="K87" s="2">
        <v>77397.909999999902</v>
      </c>
      <c r="L87" s="2">
        <v>77416.289999999906</v>
      </c>
      <c r="M87" s="2">
        <v>77437.959999999905</v>
      </c>
      <c r="N87" s="2">
        <v>77457.049999999901</v>
      </c>
      <c r="O87" s="2">
        <v>77475.4399999999</v>
      </c>
      <c r="P87" s="2">
        <v>77480.839999999895</v>
      </c>
      <c r="Q87" s="2">
        <v>77502.899999999892</v>
      </c>
      <c r="R87" s="2">
        <v>77524.759999999893</v>
      </c>
      <c r="S87" s="2">
        <v>77544.839999999895</v>
      </c>
      <c r="T87" s="2">
        <v>77551.899999999892</v>
      </c>
      <c r="U87" s="2">
        <v>77555.269999999888</v>
      </c>
      <c r="V87" s="2">
        <v>77555.269999999888</v>
      </c>
      <c r="W87" s="2">
        <v>77555.269999999888</v>
      </c>
      <c r="X87" s="2">
        <v>77571.299999999886</v>
      </c>
      <c r="Y87" s="2">
        <v>77592.889999999883</v>
      </c>
      <c r="Z87" s="2">
        <v>77614.749999999884</v>
      </c>
      <c r="AA87" s="2">
        <v>77636.329999999885</v>
      </c>
      <c r="AB87" s="2">
        <v>77657.83999999988</v>
      </c>
      <c r="AC87" s="2">
        <v>77678.859999999884</v>
      </c>
      <c r="AD87" s="2">
        <v>77700.149999999878</v>
      </c>
      <c r="AE87" s="2">
        <v>77721.649999999878</v>
      </c>
      <c r="AF87" s="3">
        <v>77743.169999999882</v>
      </c>
      <c r="AG87" s="51">
        <f t="shared" si="2"/>
        <v>77743.169999999882</v>
      </c>
      <c r="AH87" s="44">
        <v>77202.399999999994</v>
      </c>
    </row>
    <row r="88" spans="1:34" x14ac:dyDescent="0.35">
      <c r="A88" s="33" t="s">
        <v>94</v>
      </c>
      <c r="B88" s="10">
        <v>85402.289999999979</v>
      </c>
      <c r="C88" s="2">
        <v>85402.289999999979</v>
      </c>
      <c r="D88" s="2">
        <v>85402.289999999979</v>
      </c>
      <c r="E88" s="2">
        <v>85402.289999999979</v>
      </c>
      <c r="F88" s="2">
        <v>85402.289999999979</v>
      </c>
      <c r="G88" s="2">
        <v>85402.289999999979</v>
      </c>
      <c r="H88" s="2">
        <v>85402.289999999979</v>
      </c>
      <c r="I88" s="2">
        <v>85402.289999999979</v>
      </c>
      <c r="J88" s="2">
        <v>85402.289999999979</v>
      </c>
      <c r="K88" s="2">
        <v>85402.289999999979</v>
      </c>
      <c r="L88" s="2">
        <v>85402.289999999979</v>
      </c>
      <c r="M88" s="2">
        <v>85402.289999999979</v>
      </c>
      <c r="N88" s="2">
        <v>85406.709999999977</v>
      </c>
      <c r="O88" s="2">
        <v>85425.369999999981</v>
      </c>
      <c r="P88" s="2">
        <v>85438.519999999975</v>
      </c>
      <c r="Q88" s="2">
        <v>85443.799999999974</v>
      </c>
      <c r="R88" s="2">
        <v>85457.999999999971</v>
      </c>
      <c r="S88" s="2">
        <v>85476.429999999964</v>
      </c>
      <c r="T88" s="2">
        <v>85483.849999999962</v>
      </c>
      <c r="U88" s="2">
        <v>85502.90999999996</v>
      </c>
      <c r="V88" s="2">
        <v>85524.889999999956</v>
      </c>
      <c r="W88" s="2">
        <v>85545.149999999951</v>
      </c>
      <c r="X88" s="2">
        <v>85564.939999999944</v>
      </c>
      <c r="Y88" s="2">
        <v>85579.159999999945</v>
      </c>
      <c r="Z88" s="2">
        <v>85596.219999999943</v>
      </c>
      <c r="AA88" s="2">
        <v>85617.66999999994</v>
      </c>
      <c r="AB88" s="2">
        <v>85621.999999999942</v>
      </c>
      <c r="AC88" s="2">
        <v>85635.289999999935</v>
      </c>
      <c r="AD88" s="2">
        <v>85656.709999999934</v>
      </c>
      <c r="AE88" s="2">
        <v>85677.889999999927</v>
      </c>
      <c r="AF88" s="3">
        <v>85697.989999999932</v>
      </c>
      <c r="AG88" s="51">
        <f t="shared" si="2"/>
        <v>85697.989999999932</v>
      </c>
      <c r="AH88" s="44">
        <v>85401.77</v>
      </c>
    </row>
    <row r="89" spans="1:34" x14ac:dyDescent="0.35">
      <c r="A89" s="33" t="s">
        <v>95</v>
      </c>
      <c r="B89" s="10">
        <v>81360.279999999781</v>
      </c>
      <c r="C89" s="2">
        <v>81382.429999999775</v>
      </c>
      <c r="D89" s="2">
        <v>81398.599999999773</v>
      </c>
      <c r="E89" s="2">
        <v>81418.589999999778</v>
      </c>
      <c r="F89" s="2">
        <v>81439.769999999771</v>
      </c>
      <c r="G89" s="2">
        <v>81444.949999999764</v>
      </c>
      <c r="H89" s="2">
        <v>81461.92999999976</v>
      </c>
      <c r="I89" s="2">
        <v>81476.939999999755</v>
      </c>
      <c r="J89" s="2">
        <v>81493.879999999757</v>
      </c>
      <c r="K89" s="2">
        <v>81493.879999999757</v>
      </c>
      <c r="L89" s="2">
        <v>81493.879999999757</v>
      </c>
      <c r="M89" s="2">
        <v>81493.879999999757</v>
      </c>
      <c r="N89" s="2">
        <v>81493.879999999757</v>
      </c>
      <c r="O89" s="2">
        <v>81493.879999999757</v>
      </c>
      <c r="P89" s="2">
        <v>81493.879999999757</v>
      </c>
      <c r="Q89" s="2">
        <v>81493.879999999757</v>
      </c>
      <c r="R89" s="2">
        <v>81493.879999999757</v>
      </c>
      <c r="S89" s="2">
        <v>81493.879999999757</v>
      </c>
      <c r="T89" s="2">
        <v>81493.879999999757</v>
      </c>
      <c r="U89" s="2">
        <v>81493.879999999757</v>
      </c>
      <c r="V89" s="2">
        <v>81501.779999999751</v>
      </c>
      <c r="W89" s="2">
        <v>81521.959999999744</v>
      </c>
      <c r="X89" s="2">
        <v>81536.289999999746</v>
      </c>
      <c r="Y89" s="2">
        <v>81547.959999999744</v>
      </c>
      <c r="Z89" s="2">
        <v>81565.769999999742</v>
      </c>
      <c r="AA89" s="2">
        <v>81586.499999999738</v>
      </c>
      <c r="AB89" s="2">
        <v>81607.709999999744</v>
      </c>
      <c r="AC89" s="2">
        <v>81609.289999999746</v>
      </c>
      <c r="AD89" s="2">
        <v>81623.399999999747</v>
      </c>
      <c r="AE89" s="2">
        <v>81637.099999999744</v>
      </c>
      <c r="AF89" s="3">
        <v>81658.069999999745</v>
      </c>
      <c r="AG89" s="51">
        <f t="shared" si="2"/>
        <v>81658.069999999745</v>
      </c>
      <c r="AH89" s="44">
        <v>81344.38</v>
      </c>
    </row>
    <row r="90" spans="1:34" x14ac:dyDescent="0.35">
      <c r="A90" s="33" t="s">
        <v>96</v>
      </c>
      <c r="B90" s="10">
        <v>82804.519999999888</v>
      </c>
      <c r="C90" s="2">
        <v>82804.519999999888</v>
      </c>
      <c r="D90" s="2">
        <v>82804.519999999888</v>
      </c>
      <c r="E90" s="2">
        <v>82804.519999999888</v>
      </c>
      <c r="F90" s="2">
        <v>82804.519999999888</v>
      </c>
      <c r="G90" s="2">
        <v>82804.519999999888</v>
      </c>
      <c r="H90" s="2">
        <v>82804.519999999888</v>
      </c>
      <c r="I90" s="2">
        <v>82804.519999999888</v>
      </c>
      <c r="J90" s="2">
        <v>82804.519999999888</v>
      </c>
      <c r="K90" s="2">
        <v>82811.219999999885</v>
      </c>
      <c r="L90" s="2">
        <v>82827.299999999886</v>
      </c>
      <c r="M90" s="2">
        <v>82845.629999999888</v>
      </c>
      <c r="N90" s="2">
        <v>82864.949999999895</v>
      </c>
      <c r="O90" s="2">
        <v>82885.45999999989</v>
      </c>
      <c r="P90" s="2">
        <v>82906.379999999888</v>
      </c>
      <c r="Q90" s="2">
        <v>82922.879999999888</v>
      </c>
      <c r="R90" s="2">
        <v>82944.269999999888</v>
      </c>
      <c r="S90" s="2">
        <v>82963.70999999989</v>
      </c>
      <c r="T90" s="2">
        <v>82975.649999999892</v>
      </c>
      <c r="U90" s="2">
        <v>82996.849999999889</v>
      </c>
      <c r="V90" s="2">
        <v>83008.479999999894</v>
      </c>
      <c r="W90" s="2">
        <v>83029.649999999892</v>
      </c>
      <c r="X90" s="2">
        <v>83050.899999999892</v>
      </c>
      <c r="Y90" s="2">
        <v>83071.429999999891</v>
      </c>
      <c r="Z90" s="2">
        <v>83092.299999999886</v>
      </c>
      <c r="AA90" s="2">
        <v>83113.549999999886</v>
      </c>
      <c r="AB90" s="2">
        <v>83132.72999999988</v>
      </c>
      <c r="AC90" s="2">
        <v>83146.509999999878</v>
      </c>
      <c r="AD90" s="2">
        <v>83168.069999999876</v>
      </c>
      <c r="AE90" s="2">
        <v>83189.749999999869</v>
      </c>
      <c r="AF90" s="3">
        <v>83211.519999999873</v>
      </c>
      <c r="AG90" s="51">
        <f t="shared" si="2"/>
        <v>83211.519999999873</v>
      </c>
      <c r="AH90" s="44">
        <v>82804.52</v>
      </c>
    </row>
    <row r="91" spans="1:34" x14ac:dyDescent="0.35">
      <c r="A91" s="33" t="s">
        <v>97</v>
      </c>
      <c r="B91" s="10">
        <v>83867.57000000008</v>
      </c>
      <c r="C91" s="2">
        <v>83873.900000000081</v>
      </c>
      <c r="D91" s="2">
        <v>83890.350000000079</v>
      </c>
      <c r="E91" s="2">
        <v>83911.060000000085</v>
      </c>
      <c r="F91" s="2">
        <v>83929.44000000009</v>
      </c>
      <c r="G91" s="2">
        <v>83950.760000000097</v>
      </c>
      <c r="H91" s="2">
        <v>83953.700000000099</v>
      </c>
      <c r="I91" s="2">
        <v>83966.460000000094</v>
      </c>
      <c r="J91" s="2">
        <v>83987.320000000094</v>
      </c>
      <c r="K91" s="2">
        <v>84005.490000000093</v>
      </c>
      <c r="L91" s="2">
        <v>84026.950000000099</v>
      </c>
      <c r="M91" s="2">
        <v>84048.660000000105</v>
      </c>
      <c r="N91" s="2">
        <v>84066.210000000108</v>
      </c>
      <c r="O91" s="2">
        <v>84074.700000000114</v>
      </c>
      <c r="P91" s="2">
        <v>84082.880000000107</v>
      </c>
      <c r="Q91" s="2">
        <v>84083.080000000104</v>
      </c>
      <c r="R91" s="2">
        <v>84087.980000000098</v>
      </c>
      <c r="S91" s="2">
        <v>84096.850000000093</v>
      </c>
      <c r="T91" s="2">
        <v>84110.30000000009</v>
      </c>
      <c r="U91" s="2">
        <v>84126.290000000095</v>
      </c>
      <c r="V91" s="2">
        <v>84147.520000000091</v>
      </c>
      <c r="W91" s="2">
        <v>84168.860000000088</v>
      </c>
      <c r="X91" s="2">
        <v>84189.380000000092</v>
      </c>
      <c r="Y91" s="2">
        <v>84199.770000000091</v>
      </c>
      <c r="Z91" s="2">
        <v>84215.640000000087</v>
      </c>
      <c r="AA91" s="2">
        <v>84223.990000000093</v>
      </c>
      <c r="AB91" s="2">
        <v>84243.530000000086</v>
      </c>
      <c r="AC91" s="2">
        <v>84253.82000000008</v>
      </c>
      <c r="AD91" s="2">
        <v>84275.080000000075</v>
      </c>
      <c r="AE91" s="2">
        <v>84292.530000000072</v>
      </c>
      <c r="AF91" s="3">
        <v>84313.850000000079</v>
      </c>
      <c r="AG91" s="51">
        <f t="shared" si="2"/>
        <v>84313.850000000079</v>
      </c>
      <c r="AH91" s="44">
        <v>83845.789999999994</v>
      </c>
    </row>
    <row r="92" spans="1:34" x14ac:dyDescent="0.35">
      <c r="A92" s="33" t="s">
        <v>98</v>
      </c>
      <c r="B92" s="10">
        <v>82782.400000000067</v>
      </c>
      <c r="C92" s="2">
        <v>82803.850000000064</v>
      </c>
      <c r="D92" s="2">
        <v>82825.770000000062</v>
      </c>
      <c r="E92" s="2">
        <v>82842.240000000063</v>
      </c>
      <c r="F92" s="2">
        <v>82857.790000000066</v>
      </c>
      <c r="G92" s="2">
        <v>82873.45000000007</v>
      </c>
      <c r="H92" s="2">
        <v>82877.880000000063</v>
      </c>
      <c r="I92" s="2">
        <v>82882.740000000063</v>
      </c>
      <c r="J92" s="2">
        <v>82888.000000000058</v>
      </c>
      <c r="K92" s="2">
        <v>82905.410000000062</v>
      </c>
      <c r="L92" s="2">
        <v>82925.720000000059</v>
      </c>
      <c r="M92" s="2">
        <v>82946.340000000055</v>
      </c>
      <c r="N92" s="2">
        <v>82949.310000000056</v>
      </c>
      <c r="O92" s="2">
        <v>82964.140000000058</v>
      </c>
      <c r="P92" s="2">
        <v>82985.550000000061</v>
      </c>
      <c r="Q92" s="2">
        <v>82993.030000000057</v>
      </c>
      <c r="R92" s="2">
        <v>82997.770000000062</v>
      </c>
      <c r="S92" s="2">
        <v>83019.700000000055</v>
      </c>
      <c r="T92" s="2">
        <v>83040.570000000051</v>
      </c>
      <c r="U92" s="2">
        <v>83055.050000000047</v>
      </c>
      <c r="V92" s="2">
        <v>83069.450000000041</v>
      </c>
      <c r="W92" s="2">
        <v>83090.740000000034</v>
      </c>
      <c r="X92" s="2">
        <v>83109.890000000029</v>
      </c>
      <c r="Y92" s="2">
        <v>83124.990000000034</v>
      </c>
      <c r="Z92" s="2">
        <v>83145.160000000033</v>
      </c>
      <c r="AA92" s="2">
        <v>83166.180000000037</v>
      </c>
      <c r="AB92" s="2">
        <v>83187.330000000031</v>
      </c>
      <c r="AC92" s="2">
        <v>83209.200000000026</v>
      </c>
      <c r="AD92" s="2">
        <v>83230.430000000022</v>
      </c>
      <c r="AE92" s="2">
        <v>83249.530000000028</v>
      </c>
      <c r="AF92" s="3">
        <v>83249.530000000028</v>
      </c>
      <c r="AG92" s="51">
        <f t="shared" si="2"/>
        <v>83249.530000000028</v>
      </c>
      <c r="AH92" s="44">
        <v>82765.52</v>
      </c>
    </row>
    <row r="93" spans="1:34" x14ac:dyDescent="0.35">
      <c r="A93" s="33" t="s">
        <v>99</v>
      </c>
      <c r="B93" s="10">
        <v>79933.800000000148</v>
      </c>
      <c r="C93" s="2">
        <v>79955.430000000153</v>
      </c>
      <c r="D93" s="2">
        <v>79975.860000000146</v>
      </c>
      <c r="E93" s="2">
        <v>79975.860000000146</v>
      </c>
      <c r="F93" s="2">
        <v>79995.560000000143</v>
      </c>
      <c r="G93" s="2">
        <v>80017.40000000014</v>
      </c>
      <c r="H93" s="2">
        <v>80039.160000000134</v>
      </c>
      <c r="I93" s="2">
        <v>80057.920000000129</v>
      </c>
      <c r="J93" s="2">
        <v>80062.450000000128</v>
      </c>
      <c r="K93" s="2">
        <v>80079.240000000122</v>
      </c>
      <c r="L93" s="2">
        <v>80100.730000000127</v>
      </c>
      <c r="M93" s="2">
        <v>80122.150000000125</v>
      </c>
      <c r="N93" s="2">
        <v>80143.420000000129</v>
      </c>
      <c r="O93" s="2">
        <v>80165.180000000124</v>
      </c>
      <c r="P93" s="2">
        <v>80185.810000000129</v>
      </c>
      <c r="Q93" s="2">
        <v>80205.78000000013</v>
      </c>
      <c r="R93" s="2">
        <v>80227.660000000134</v>
      </c>
      <c r="S93" s="2">
        <v>80249.560000000129</v>
      </c>
      <c r="T93" s="2">
        <v>80258.78000000013</v>
      </c>
      <c r="U93" s="2">
        <v>80273.630000000136</v>
      </c>
      <c r="V93" s="2">
        <v>80295.020000000135</v>
      </c>
      <c r="W93" s="2">
        <v>80316.40000000014</v>
      </c>
      <c r="X93" s="2">
        <v>80335.850000000137</v>
      </c>
      <c r="Y93" s="2">
        <v>80352.470000000132</v>
      </c>
      <c r="Z93" s="2">
        <v>80366.160000000134</v>
      </c>
      <c r="AA93" s="2">
        <v>80387.420000000129</v>
      </c>
      <c r="AB93" s="2">
        <v>80405.010000000126</v>
      </c>
      <c r="AC93" s="2">
        <v>80426.590000000127</v>
      </c>
      <c r="AD93" s="2">
        <v>80447.810000000129</v>
      </c>
      <c r="AE93" s="2">
        <v>80466.920000000129</v>
      </c>
      <c r="AF93" s="3">
        <v>80466.920000000129</v>
      </c>
      <c r="AG93" s="51">
        <f t="shared" si="2"/>
        <v>80466.920000000129</v>
      </c>
      <c r="AH93" s="44">
        <v>79912.14</v>
      </c>
    </row>
    <row r="94" spans="1:34" x14ac:dyDescent="0.35">
      <c r="A94" s="293" t="s">
        <v>100</v>
      </c>
      <c r="B94" s="10">
        <v>81277.610000000015</v>
      </c>
      <c r="C94" s="2">
        <v>81277.610000000015</v>
      </c>
      <c r="D94" s="2">
        <v>81277.610000000015</v>
      </c>
      <c r="E94" s="2">
        <v>81277.610000000015</v>
      </c>
      <c r="F94" s="2">
        <v>81277.610000000015</v>
      </c>
      <c r="G94" s="2">
        <v>81277.610000000015</v>
      </c>
      <c r="H94" s="2">
        <v>81277.610000000015</v>
      </c>
      <c r="I94" s="2">
        <v>81277.610000000015</v>
      </c>
      <c r="J94" s="2">
        <v>81277.610000000015</v>
      </c>
      <c r="K94" s="2">
        <v>81277.610000000015</v>
      </c>
      <c r="L94" s="2">
        <v>81277.610000000015</v>
      </c>
      <c r="M94" s="2">
        <v>81277.610000000015</v>
      </c>
      <c r="N94" s="2">
        <v>81277.610000000015</v>
      </c>
      <c r="O94" s="2">
        <v>81277.610000000015</v>
      </c>
      <c r="P94" s="2">
        <v>81277.610000000015</v>
      </c>
      <c r="Q94" s="2">
        <v>81277.610000000015</v>
      </c>
      <c r="R94" s="2">
        <v>81277.610000000015</v>
      </c>
      <c r="S94" s="2">
        <v>81277.610000000015</v>
      </c>
      <c r="T94" s="2">
        <v>81277.610000000015</v>
      </c>
      <c r="U94" s="2">
        <v>81277.610000000015</v>
      </c>
      <c r="V94" s="2">
        <v>81277.610000000015</v>
      </c>
      <c r="W94" s="2">
        <v>81277.610000000015</v>
      </c>
      <c r="X94" s="2">
        <v>81277.610000000015</v>
      </c>
      <c r="Y94" s="2">
        <v>81277.610000000015</v>
      </c>
      <c r="Z94" s="2">
        <v>81277.610000000015</v>
      </c>
      <c r="AA94" s="2">
        <v>81277.610000000015</v>
      </c>
      <c r="AB94" s="2">
        <v>81277.610000000015</v>
      </c>
      <c r="AC94" s="2">
        <v>81277.610000000015</v>
      </c>
      <c r="AD94" s="2">
        <v>81277.610000000015</v>
      </c>
      <c r="AE94" s="2">
        <v>81277.610000000015</v>
      </c>
      <c r="AF94" s="3">
        <v>81277.610000000015</v>
      </c>
      <c r="AG94" s="51">
        <f t="shared" si="2"/>
        <v>81277.610000000015</v>
      </c>
      <c r="AH94" s="44">
        <v>81277.61</v>
      </c>
    </row>
    <row r="95" spans="1:34" x14ac:dyDescent="0.35">
      <c r="A95" s="33" t="s">
        <v>101</v>
      </c>
      <c r="B95" s="10">
        <v>81823.729999999938</v>
      </c>
      <c r="C95" s="2">
        <v>81842.289999999935</v>
      </c>
      <c r="D95" s="2">
        <v>81859.149999999936</v>
      </c>
      <c r="E95" s="2">
        <v>81878.809999999939</v>
      </c>
      <c r="F95" s="2">
        <v>81900.189999999944</v>
      </c>
      <c r="G95" s="2">
        <v>81921.899999999951</v>
      </c>
      <c r="H95" s="2">
        <v>81932.329999999944</v>
      </c>
      <c r="I95" s="2">
        <v>81942.889999999941</v>
      </c>
      <c r="J95" s="2">
        <v>81943.449999999939</v>
      </c>
      <c r="K95" s="2">
        <v>81943.449999999939</v>
      </c>
      <c r="L95" s="2">
        <v>81943.449999999939</v>
      </c>
      <c r="M95" s="2">
        <v>81962.599999999933</v>
      </c>
      <c r="N95" s="2">
        <v>81982.109999999928</v>
      </c>
      <c r="O95" s="2">
        <v>82003.129999999932</v>
      </c>
      <c r="P95" s="2">
        <v>82024.139999999927</v>
      </c>
      <c r="Q95" s="2">
        <v>82045.079999999929</v>
      </c>
      <c r="R95" s="2">
        <v>82066.489999999932</v>
      </c>
      <c r="S95" s="2">
        <v>82087.999999999927</v>
      </c>
      <c r="T95" s="2">
        <v>82110.119999999923</v>
      </c>
      <c r="U95" s="2">
        <v>82124.419999999925</v>
      </c>
      <c r="V95" s="2">
        <v>82141.089999999924</v>
      </c>
      <c r="W95" s="2">
        <v>82162.359999999928</v>
      </c>
      <c r="X95" s="2">
        <v>82183.739999999932</v>
      </c>
      <c r="Y95" s="2">
        <v>82205.109999999928</v>
      </c>
      <c r="Z95" s="2">
        <v>82221.989999999932</v>
      </c>
      <c r="AA95" s="2">
        <v>82242.969999999928</v>
      </c>
      <c r="AB95" s="2">
        <v>82264.319999999934</v>
      </c>
      <c r="AC95" s="2">
        <v>82285.569999999934</v>
      </c>
      <c r="AD95" s="2">
        <v>82285.569999999934</v>
      </c>
      <c r="AE95" s="2">
        <v>82285.569999999934</v>
      </c>
      <c r="AF95" s="3">
        <v>82285.569999999934</v>
      </c>
      <c r="AG95" s="51">
        <f t="shared" si="2"/>
        <v>82285.569999999934</v>
      </c>
      <c r="AH95" s="44">
        <v>81808.55</v>
      </c>
    </row>
    <row r="96" spans="1:34" x14ac:dyDescent="0.35">
      <c r="A96" s="33" t="s">
        <v>102</v>
      </c>
      <c r="B96" s="10">
        <v>82411.880000000165</v>
      </c>
      <c r="C96" s="2">
        <v>82417.25000000016</v>
      </c>
      <c r="D96" s="2">
        <v>82438.510000000155</v>
      </c>
      <c r="E96" s="2">
        <v>82458.870000000155</v>
      </c>
      <c r="F96" s="2">
        <v>82476.340000000157</v>
      </c>
      <c r="G96" s="2">
        <v>82497.870000000155</v>
      </c>
      <c r="H96" s="2">
        <v>82510.760000000155</v>
      </c>
      <c r="I96" s="2">
        <v>82528.77000000015</v>
      </c>
      <c r="J96" s="2">
        <v>82549.720000000147</v>
      </c>
      <c r="K96" s="2">
        <v>82562.820000000153</v>
      </c>
      <c r="L96" s="2">
        <v>82582.050000000148</v>
      </c>
      <c r="M96" s="2">
        <v>82603.250000000146</v>
      </c>
      <c r="N96" s="2">
        <v>82624.360000000146</v>
      </c>
      <c r="O96" s="2">
        <v>82630.980000000141</v>
      </c>
      <c r="P96" s="2">
        <v>82647.680000000139</v>
      </c>
      <c r="Q96" s="2">
        <v>82664.40000000014</v>
      </c>
      <c r="R96" s="2">
        <v>82684.360000000146</v>
      </c>
      <c r="S96" s="2">
        <v>82705.300000000148</v>
      </c>
      <c r="T96" s="2">
        <v>82725.88000000015</v>
      </c>
      <c r="U96" s="2">
        <v>82740.040000000154</v>
      </c>
      <c r="V96" s="2">
        <v>82761.260000000155</v>
      </c>
      <c r="W96" s="2">
        <v>82782.350000000151</v>
      </c>
      <c r="X96" s="2">
        <v>82803.170000000158</v>
      </c>
      <c r="Y96" s="2">
        <v>82823.970000000161</v>
      </c>
      <c r="Z96" s="2">
        <v>82837.25000000016</v>
      </c>
      <c r="AA96" s="2">
        <v>82841.860000000161</v>
      </c>
      <c r="AB96" s="2">
        <v>82841.860000000161</v>
      </c>
      <c r="AC96" s="2">
        <v>82841.860000000161</v>
      </c>
      <c r="AD96" s="2">
        <v>82841.860000000161</v>
      </c>
      <c r="AE96" s="2">
        <v>82856.980000000156</v>
      </c>
      <c r="AF96" s="3">
        <v>82878.400000000154</v>
      </c>
      <c r="AG96" s="51">
        <f t="shared" si="2"/>
        <v>82878.400000000154</v>
      </c>
      <c r="AH96" s="44">
        <v>82402.7</v>
      </c>
    </row>
    <row r="97" spans="1:34" x14ac:dyDescent="0.35">
      <c r="A97" s="33" t="s">
        <v>103</v>
      </c>
      <c r="B97" s="10">
        <v>83162.419999999765</v>
      </c>
      <c r="C97" s="2">
        <v>83183.889999999767</v>
      </c>
      <c r="D97" s="2">
        <v>83200.529999999766</v>
      </c>
      <c r="E97" s="2">
        <v>83221.749999999767</v>
      </c>
      <c r="F97" s="2">
        <v>83236.67999999976</v>
      </c>
      <c r="G97" s="2">
        <v>83258.119999999763</v>
      </c>
      <c r="H97" s="2">
        <v>83277.92999999976</v>
      </c>
      <c r="I97" s="2">
        <v>83289.92999999976</v>
      </c>
      <c r="J97" s="2">
        <v>83306.599999999758</v>
      </c>
      <c r="K97" s="2">
        <v>83327.389999999752</v>
      </c>
      <c r="L97" s="2">
        <v>83342.469999999754</v>
      </c>
      <c r="M97" s="2">
        <v>83363.479999999749</v>
      </c>
      <c r="N97" s="2">
        <v>83383.519999999742</v>
      </c>
      <c r="O97" s="2">
        <v>83404.539999999746</v>
      </c>
      <c r="P97" s="2">
        <v>83425.759999999747</v>
      </c>
      <c r="Q97" s="2">
        <v>83438.789999999746</v>
      </c>
      <c r="R97" s="2">
        <v>83456.93999999974</v>
      </c>
      <c r="S97" s="2">
        <v>83477.949999999735</v>
      </c>
      <c r="T97" s="2">
        <v>83498.399999999732</v>
      </c>
      <c r="U97" s="2">
        <v>83504.499999999738</v>
      </c>
      <c r="V97" s="2">
        <v>83511.099999999744</v>
      </c>
      <c r="W97" s="2">
        <v>83533.039999999746</v>
      </c>
      <c r="X97" s="2">
        <v>83552.459999999744</v>
      </c>
      <c r="Y97" s="2">
        <v>83557.969999999739</v>
      </c>
      <c r="Z97" s="2">
        <v>83578.819999999745</v>
      </c>
      <c r="AA97" s="2">
        <v>83587.44999999975</v>
      </c>
      <c r="AB97" s="2">
        <v>83593.989999999743</v>
      </c>
      <c r="AC97" s="2">
        <v>83607.429999999746</v>
      </c>
      <c r="AD97" s="2">
        <v>83627.779999999751</v>
      </c>
      <c r="AE97" s="2">
        <v>83635.169999999751</v>
      </c>
      <c r="AF97" s="3">
        <v>83645.44999999975</v>
      </c>
      <c r="AG97" s="51">
        <f t="shared" si="2"/>
        <v>83645.44999999975</v>
      </c>
      <c r="AH97" s="44">
        <v>83140.679999999993</v>
      </c>
    </row>
    <row r="98" spans="1:34" x14ac:dyDescent="0.35">
      <c r="A98" s="33" t="s">
        <v>104</v>
      </c>
      <c r="B98" s="10">
        <v>81205.890000000203</v>
      </c>
      <c r="C98" s="2">
        <v>81227.900000000198</v>
      </c>
      <c r="D98" s="2">
        <v>81249.250000000204</v>
      </c>
      <c r="E98" s="2">
        <v>81271.160000000207</v>
      </c>
      <c r="F98" s="2">
        <v>81288.040000000212</v>
      </c>
      <c r="G98" s="2">
        <v>81301.260000000213</v>
      </c>
      <c r="H98" s="2">
        <v>81321.08000000022</v>
      </c>
      <c r="I98" s="2">
        <v>81337.180000000226</v>
      </c>
      <c r="J98" s="2">
        <v>81357.630000000223</v>
      </c>
      <c r="K98" s="2">
        <v>81378.900000000227</v>
      </c>
      <c r="L98" s="2">
        <v>81398.300000000221</v>
      </c>
      <c r="M98" s="2">
        <v>81420.700000000215</v>
      </c>
      <c r="N98" s="2">
        <v>81441.720000000219</v>
      </c>
      <c r="O98" s="2">
        <v>81463.040000000226</v>
      </c>
      <c r="P98" s="2">
        <v>81483.840000000229</v>
      </c>
      <c r="Q98" s="2">
        <v>81497.980000000229</v>
      </c>
      <c r="R98" s="2">
        <v>81499.990000000224</v>
      </c>
      <c r="S98" s="2">
        <v>81499.990000000224</v>
      </c>
      <c r="T98" s="2">
        <v>81499.990000000224</v>
      </c>
      <c r="U98" s="2">
        <v>81499.990000000224</v>
      </c>
      <c r="V98" s="2">
        <v>81499.990000000224</v>
      </c>
      <c r="W98" s="2">
        <v>81499.990000000224</v>
      </c>
      <c r="X98" s="2">
        <v>81499.990000000224</v>
      </c>
      <c r="Y98" s="2">
        <v>81507.010000000228</v>
      </c>
      <c r="Z98" s="2">
        <v>81522.960000000225</v>
      </c>
      <c r="AA98" s="2">
        <v>81534.08000000022</v>
      </c>
      <c r="AB98" s="2">
        <v>81534.08000000022</v>
      </c>
      <c r="AC98" s="2">
        <v>81534.08000000022</v>
      </c>
      <c r="AD98" s="2">
        <v>81534.08000000022</v>
      </c>
      <c r="AE98" s="2">
        <v>81554.450000000215</v>
      </c>
      <c r="AF98" s="3">
        <v>81575.390000000218</v>
      </c>
      <c r="AG98" s="51">
        <f t="shared" si="2"/>
        <v>81575.390000000218</v>
      </c>
      <c r="AH98" s="44">
        <v>81186.11</v>
      </c>
    </row>
    <row r="99" spans="1:34" x14ac:dyDescent="0.35">
      <c r="A99" s="33" t="s">
        <v>105</v>
      </c>
      <c r="B99" s="10">
        <v>80898.540000000023</v>
      </c>
      <c r="C99" s="2">
        <v>80912.630000000019</v>
      </c>
      <c r="D99" s="2">
        <v>80934.310000000012</v>
      </c>
      <c r="E99" s="2">
        <v>80955.520000000019</v>
      </c>
      <c r="F99" s="2">
        <v>80968.750000000015</v>
      </c>
      <c r="G99" s="2">
        <v>80986.860000000015</v>
      </c>
      <c r="H99" s="2">
        <v>81003.420000000013</v>
      </c>
      <c r="I99" s="2">
        <v>81007.170000000013</v>
      </c>
      <c r="J99" s="2">
        <v>81007.170000000013</v>
      </c>
      <c r="K99" s="2">
        <v>81024.900000000009</v>
      </c>
      <c r="L99" s="2">
        <v>81037.720000000016</v>
      </c>
      <c r="M99" s="2">
        <v>81058.87000000001</v>
      </c>
      <c r="N99" s="2">
        <v>81065.77</v>
      </c>
      <c r="O99" s="2">
        <v>81066.48000000001</v>
      </c>
      <c r="P99" s="2">
        <v>81088.160000000003</v>
      </c>
      <c r="Q99" s="2">
        <v>81109.510000000009</v>
      </c>
      <c r="R99" s="2">
        <v>81130.360000000015</v>
      </c>
      <c r="S99" s="2">
        <v>81151.720000000016</v>
      </c>
      <c r="T99" s="2">
        <v>81172.920000000013</v>
      </c>
      <c r="U99" s="2">
        <v>81194.110000000015</v>
      </c>
      <c r="V99" s="2">
        <v>81215.810000000012</v>
      </c>
      <c r="W99" s="2">
        <v>81237.390000000014</v>
      </c>
      <c r="X99" s="2">
        <v>81247.700000000012</v>
      </c>
      <c r="Y99" s="2">
        <v>81252.220000000016</v>
      </c>
      <c r="Z99" s="2">
        <v>81264.830000000016</v>
      </c>
      <c r="AA99" s="2">
        <v>81286.060000000012</v>
      </c>
      <c r="AB99" s="2">
        <v>81304.830000000016</v>
      </c>
      <c r="AC99" s="2">
        <v>81327.300000000017</v>
      </c>
      <c r="AD99" s="2">
        <v>81348.820000000022</v>
      </c>
      <c r="AE99" s="2">
        <v>81362.070000000022</v>
      </c>
      <c r="AF99" s="3">
        <v>81374.160000000018</v>
      </c>
      <c r="AG99" s="51">
        <f t="shared" si="2"/>
        <v>81374.160000000018</v>
      </c>
      <c r="AH99" s="44">
        <v>80876.800000000003</v>
      </c>
    </row>
    <row r="100" spans="1:34" x14ac:dyDescent="0.35">
      <c r="A100" s="33" t="s">
        <v>106</v>
      </c>
      <c r="B100" s="10">
        <v>78521.830000000118</v>
      </c>
      <c r="C100" s="2">
        <v>78531.650000000125</v>
      </c>
      <c r="D100" s="2">
        <v>78553.110000000132</v>
      </c>
      <c r="E100" s="2">
        <v>78565.040000000125</v>
      </c>
      <c r="F100" s="2">
        <v>78586.27000000012</v>
      </c>
      <c r="G100" s="2">
        <v>78601.230000000127</v>
      </c>
      <c r="H100" s="2">
        <v>78613.210000000123</v>
      </c>
      <c r="I100" s="2">
        <v>78634.02000000012</v>
      </c>
      <c r="J100" s="2">
        <v>78642.060000000114</v>
      </c>
      <c r="K100" s="2">
        <v>78662.900000000111</v>
      </c>
      <c r="L100" s="2">
        <v>78683.630000000107</v>
      </c>
      <c r="M100" s="2">
        <v>78688.470000000103</v>
      </c>
      <c r="N100" s="2">
        <v>78709.79000000011</v>
      </c>
      <c r="O100" s="2">
        <v>78730.310000000114</v>
      </c>
      <c r="P100" s="2">
        <v>78734.400000000111</v>
      </c>
      <c r="Q100" s="2">
        <v>78754.000000000116</v>
      </c>
      <c r="R100" s="2">
        <v>78774.190000000119</v>
      </c>
      <c r="S100" s="2">
        <v>78784.790000000125</v>
      </c>
      <c r="T100" s="2">
        <v>78804.600000000122</v>
      </c>
      <c r="U100" s="2">
        <v>78815.240000000122</v>
      </c>
      <c r="V100" s="2">
        <v>78816.820000000123</v>
      </c>
      <c r="W100" s="2">
        <v>78825.300000000119</v>
      </c>
      <c r="X100" s="2">
        <v>78838.370000000126</v>
      </c>
      <c r="Y100" s="2">
        <v>78856.190000000133</v>
      </c>
      <c r="Z100" s="2">
        <v>78868.130000000136</v>
      </c>
      <c r="AA100" s="2">
        <v>78878.320000000138</v>
      </c>
      <c r="AB100" s="2">
        <v>78891.320000000138</v>
      </c>
      <c r="AC100" s="2">
        <v>78910.940000000133</v>
      </c>
      <c r="AD100" s="2">
        <v>78929.990000000136</v>
      </c>
      <c r="AE100" s="2">
        <v>78948.770000000135</v>
      </c>
      <c r="AF100" s="3">
        <v>78958.490000000136</v>
      </c>
      <c r="AG100" s="51">
        <f t="shared" ref="AG100:AG106" si="3">MAX(B100:AF100)</f>
        <v>78958.490000000136</v>
      </c>
      <c r="AH100" s="44">
        <v>78500.66</v>
      </c>
    </row>
    <row r="101" spans="1:34" x14ac:dyDescent="0.35">
      <c r="A101" s="33" t="s">
        <v>107</v>
      </c>
      <c r="B101" s="10">
        <v>81179.640000000029</v>
      </c>
      <c r="C101" s="2">
        <v>81192.700000000026</v>
      </c>
      <c r="D101" s="2">
        <v>81200.710000000021</v>
      </c>
      <c r="E101" s="2">
        <v>81215.040000000023</v>
      </c>
      <c r="F101" s="2">
        <v>81218.820000000022</v>
      </c>
      <c r="G101" s="2">
        <v>81239.570000000022</v>
      </c>
      <c r="H101" s="2">
        <v>81257.270000000019</v>
      </c>
      <c r="I101" s="2">
        <v>81269.560000000012</v>
      </c>
      <c r="J101" s="2">
        <v>81288.270000000019</v>
      </c>
      <c r="K101" s="2">
        <v>81309.450000000012</v>
      </c>
      <c r="L101" s="2">
        <v>81330.910000000018</v>
      </c>
      <c r="M101" s="2">
        <v>81353.49000000002</v>
      </c>
      <c r="N101" s="2">
        <v>81367.300000000017</v>
      </c>
      <c r="O101" s="2">
        <v>81380.950000000012</v>
      </c>
      <c r="P101" s="2">
        <v>81399.250000000015</v>
      </c>
      <c r="Q101" s="2">
        <v>81418.390000000014</v>
      </c>
      <c r="R101" s="2">
        <v>81422.24000000002</v>
      </c>
      <c r="S101" s="2">
        <v>81438.60000000002</v>
      </c>
      <c r="T101" s="2">
        <v>81454.170000000027</v>
      </c>
      <c r="U101" s="2">
        <v>81475.22000000003</v>
      </c>
      <c r="V101" s="2">
        <v>81488.930000000037</v>
      </c>
      <c r="W101" s="2">
        <v>81497.23000000004</v>
      </c>
      <c r="X101" s="2">
        <v>81505.010000000038</v>
      </c>
      <c r="Y101" s="2">
        <v>81524.640000000043</v>
      </c>
      <c r="Z101" s="2">
        <v>81536.520000000048</v>
      </c>
      <c r="AA101" s="2">
        <v>81557.830000000045</v>
      </c>
      <c r="AB101" s="2">
        <v>81578.550000000047</v>
      </c>
      <c r="AC101" s="2">
        <v>81597.010000000053</v>
      </c>
      <c r="AD101" s="2">
        <v>81597.190000000046</v>
      </c>
      <c r="AE101" s="2">
        <v>81617.970000000045</v>
      </c>
      <c r="AF101" s="3">
        <v>81638.400000000038</v>
      </c>
      <c r="AG101" s="51">
        <f t="shared" si="3"/>
        <v>81638.400000000038</v>
      </c>
      <c r="AH101" s="44">
        <v>81171.39</v>
      </c>
    </row>
    <row r="102" spans="1:34" x14ac:dyDescent="0.35">
      <c r="A102" s="33" t="s">
        <v>108</v>
      </c>
      <c r="B102" s="10">
        <v>81670.479999999894</v>
      </c>
      <c r="C102" s="2">
        <v>81670.479999999894</v>
      </c>
      <c r="D102" s="2">
        <v>81670.479999999894</v>
      </c>
      <c r="E102" s="2">
        <v>81686.029999999897</v>
      </c>
      <c r="F102" s="2">
        <v>81705.139999999898</v>
      </c>
      <c r="G102" s="2">
        <v>81726.389999999898</v>
      </c>
      <c r="H102" s="2">
        <v>81747.039999999892</v>
      </c>
      <c r="I102" s="2">
        <v>81766.269999999888</v>
      </c>
      <c r="J102" s="2">
        <v>81787.539999999892</v>
      </c>
      <c r="K102" s="2">
        <v>81808.549999999886</v>
      </c>
      <c r="L102" s="2">
        <v>81829.699999999881</v>
      </c>
      <c r="M102" s="2">
        <v>81851.409999999887</v>
      </c>
      <c r="N102" s="2">
        <v>81872.479999999894</v>
      </c>
      <c r="O102" s="2">
        <v>81892.1899999999</v>
      </c>
      <c r="P102" s="2">
        <v>81908.8299999999</v>
      </c>
      <c r="Q102" s="2">
        <v>81919.049999999901</v>
      </c>
      <c r="R102" s="2">
        <v>81925.539999999906</v>
      </c>
      <c r="S102" s="2">
        <v>81925.539999999906</v>
      </c>
      <c r="T102" s="2">
        <v>81944.4399999999</v>
      </c>
      <c r="U102" s="2">
        <v>81961.369999999893</v>
      </c>
      <c r="V102" s="2">
        <v>81974.389999999898</v>
      </c>
      <c r="W102" s="2">
        <v>81995.259999999893</v>
      </c>
      <c r="X102" s="2">
        <v>82016.609999999899</v>
      </c>
      <c r="Y102" s="2">
        <v>82038.409999999902</v>
      </c>
      <c r="Z102" s="2">
        <v>82041.8299999999</v>
      </c>
      <c r="AA102" s="2">
        <v>82062.379999999903</v>
      </c>
      <c r="AB102" s="2">
        <v>82063.219999999899</v>
      </c>
      <c r="AC102" s="2">
        <v>82071.519999999902</v>
      </c>
      <c r="AD102" s="2">
        <v>82093.159999999902</v>
      </c>
      <c r="AE102" s="2">
        <v>82115.129999999903</v>
      </c>
      <c r="AF102" s="3">
        <v>82136.649999999907</v>
      </c>
      <c r="AG102" s="51">
        <f t="shared" si="3"/>
        <v>82136.649999999907</v>
      </c>
      <c r="AH102" s="44">
        <v>81670.48</v>
      </c>
    </row>
    <row r="103" spans="1:34" x14ac:dyDescent="0.35">
      <c r="A103" s="33" t="s">
        <v>109</v>
      </c>
      <c r="B103" s="10">
        <v>80644.750000000102</v>
      </c>
      <c r="C103" s="2">
        <v>80656.230000000098</v>
      </c>
      <c r="D103" s="2">
        <v>80670.040000000095</v>
      </c>
      <c r="E103" s="2">
        <v>80673.910000000091</v>
      </c>
      <c r="F103" s="2">
        <v>80683.760000000097</v>
      </c>
      <c r="G103" s="2">
        <v>80702.600000000093</v>
      </c>
      <c r="H103" s="2">
        <v>80722.430000000095</v>
      </c>
      <c r="I103" s="2">
        <v>80736.880000000092</v>
      </c>
      <c r="J103" s="2">
        <v>80742.660000000091</v>
      </c>
      <c r="K103" s="2">
        <v>80759.720000000088</v>
      </c>
      <c r="L103" s="2">
        <v>80772.80000000009</v>
      </c>
      <c r="M103" s="2">
        <v>80785.69000000009</v>
      </c>
      <c r="N103" s="2">
        <v>80802.950000000084</v>
      </c>
      <c r="O103" s="2">
        <v>80806.900000000081</v>
      </c>
      <c r="P103" s="2">
        <v>80818.360000000088</v>
      </c>
      <c r="Q103" s="2">
        <v>80839.670000000086</v>
      </c>
      <c r="R103" s="2">
        <v>80853.110000000088</v>
      </c>
      <c r="S103" s="2">
        <v>80860.160000000091</v>
      </c>
      <c r="T103" s="2">
        <v>80872.730000000098</v>
      </c>
      <c r="U103" s="2">
        <v>80893.330000000104</v>
      </c>
      <c r="V103" s="2">
        <v>80914.570000000109</v>
      </c>
      <c r="W103" s="2">
        <v>80935.720000000103</v>
      </c>
      <c r="X103" s="2">
        <v>80956.820000000109</v>
      </c>
      <c r="Y103" s="2">
        <v>80976.880000000107</v>
      </c>
      <c r="Z103" s="2">
        <v>80992.520000000106</v>
      </c>
      <c r="AA103" s="2">
        <v>81013.200000000099</v>
      </c>
      <c r="AB103" s="2">
        <v>81034.0600000001</v>
      </c>
      <c r="AC103" s="2">
        <v>81042.630000000107</v>
      </c>
      <c r="AD103" s="2">
        <v>81059.5600000001</v>
      </c>
      <c r="AE103" s="2">
        <v>81072.940000000104</v>
      </c>
      <c r="AF103" s="3">
        <v>81081.930000000109</v>
      </c>
      <c r="AG103" s="51">
        <f t="shared" si="3"/>
        <v>81081.930000000109</v>
      </c>
      <c r="AH103" s="44">
        <v>80631.259999999995</v>
      </c>
    </row>
    <row r="104" spans="1:34" x14ac:dyDescent="0.35">
      <c r="A104" s="33" t="s">
        <v>110</v>
      </c>
      <c r="B104" s="10">
        <v>81872.950000000128</v>
      </c>
      <c r="C104" s="2">
        <v>81888.410000000134</v>
      </c>
      <c r="D104" s="2">
        <v>81898.220000000132</v>
      </c>
      <c r="E104" s="2">
        <v>81913.230000000127</v>
      </c>
      <c r="F104" s="2">
        <v>81926.380000000121</v>
      </c>
      <c r="G104" s="2">
        <v>81945.840000000127</v>
      </c>
      <c r="H104" s="2">
        <v>81953.670000000129</v>
      </c>
      <c r="I104" s="2">
        <v>81971.660000000134</v>
      </c>
      <c r="J104" s="2">
        <v>81993.240000000136</v>
      </c>
      <c r="K104" s="2">
        <v>82014.060000000143</v>
      </c>
      <c r="L104" s="2">
        <v>82033.680000000139</v>
      </c>
      <c r="M104" s="2">
        <v>82054.890000000145</v>
      </c>
      <c r="N104" s="2">
        <v>82074.02000000015</v>
      </c>
      <c r="O104" s="2">
        <v>82089.740000000151</v>
      </c>
      <c r="P104" s="2">
        <v>82111.190000000148</v>
      </c>
      <c r="Q104" s="2">
        <v>82122.230000000141</v>
      </c>
      <c r="R104" s="2">
        <v>82122.740000000136</v>
      </c>
      <c r="S104" s="2">
        <v>82131.65000000014</v>
      </c>
      <c r="T104" s="2">
        <v>82152.850000000137</v>
      </c>
      <c r="U104" s="2">
        <v>82174.270000000135</v>
      </c>
      <c r="V104" s="2">
        <v>82194.670000000129</v>
      </c>
      <c r="W104" s="2">
        <v>82215.560000000129</v>
      </c>
      <c r="X104" s="2">
        <v>82236.560000000129</v>
      </c>
      <c r="Y104" s="2">
        <v>82257.920000000129</v>
      </c>
      <c r="Z104" s="2">
        <v>82278.740000000136</v>
      </c>
      <c r="AA104" s="2">
        <v>82286.40000000014</v>
      </c>
      <c r="AB104" s="2">
        <v>82306.580000000133</v>
      </c>
      <c r="AC104" s="2">
        <v>82326.290000000139</v>
      </c>
      <c r="AD104" s="2">
        <v>82347.950000000143</v>
      </c>
      <c r="AE104" s="2">
        <v>82369.640000000145</v>
      </c>
      <c r="AF104" s="3">
        <v>82383.490000000151</v>
      </c>
      <c r="AG104" s="51">
        <f t="shared" si="3"/>
        <v>82383.490000000151</v>
      </c>
      <c r="AH104" s="44">
        <v>81852.91</v>
      </c>
    </row>
    <row r="105" spans="1:34" x14ac:dyDescent="0.35">
      <c r="A105" s="33" t="s">
        <v>111</v>
      </c>
      <c r="B105" s="10">
        <v>74178.950000000026</v>
      </c>
      <c r="C105" s="2">
        <v>74189.370000000024</v>
      </c>
      <c r="D105" s="2">
        <v>74204.460000000021</v>
      </c>
      <c r="E105" s="2">
        <v>74224.480000000025</v>
      </c>
      <c r="F105" s="2">
        <v>74236.120000000024</v>
      </c>
      <c r="G105" s="2">
        <v>74252.040000000023</v>
      </c>
      <c r="H105" s="2">
        <v>74267.020000000019</v>
      </c>
      <c r="I105" s="2">
        <v>74285.900000000023</v>
      </c>
      <c r="J105" s="2">
        <v>74293.980000000025</v>
      </c>
      <c r="K105" s="2">
        <v>74314.870000000024</v>
      </c>
      <c r="L105" s="2">
        <v>74332.420000000027</v>
      </c>
      <c r="M105" s="2">
        <v>74354.210000000021</v>
      </c>
      <c r="N105" s="2">
        <v>74375.590000000026</v>
      </c>
      <c r="O105" s="2">
        <v>74394.800000000032</v>
      </c>
      <c r="P105" s="2">
        <v>74416.570000000036</v>
      </c>
      <c r="Q105" s="2">
        <v>74422.100000000035</v>
      </c>
      <c r="R105" s="2">
        <v>74433.690000000031</v>
      </c>
      <c r="S105" s="2">
        <v>74443.730000000025</v>
      </c>
      <c r="T105" s="2">
        <v>74461.480000000025</v>
      </c>
      <c r="U105" s="2">
        <v>74482.710000000021</v>
      </c>
      <c r="V105" s="2">
        <v>74503.590000000026</v>
      </c>
      <c r="W105" s="2">
        <v>74524.910000000033</v>
      </c>
      <c r="X105" s="2">
        <v>74546.180000000037</v>
      </c>
      <c r="Y105" s="2">
        <v>74567.530000000042</v>
      </c>
      <c r="Z105" s="2">
        <v>74583.540000000037</v>
      </c>
      <c r="AA105" s="2">
        <v>74599.850000000035</v>
      </c>
      <c r="AB105" s="2">
        <v>74619.370000000039</v>
      </c>
      <c r="AC105" s="2">
        <v>74634.260000000038</v>
      </c>
      <c r="AD105" s="2">
        <v>74655.48000000004</v>
      </c>
      <c r="AE105" s="2">
        <v>74677.330000000045</v>
      </c>
      <c r="AF105" s="3">
        <v>74690.220000000045</v>
      </c>
      <c r="AG105" s="51">
        <f t="shared" si="3"/>
        <v>74690.220000000045</v>
      </c>
      <c r="AH105" s="44">
        <v>74163.86</v>
      </c>
    </row>
    <row r="106" spans="1:34" ht="15" thickBot="1" x14ac:dyDescent="0.4">
      <c r="A106" s="34" t="s">
        <v>112</v>
      </c>
      <c r="B106" s="11">
        <v>81306.05999999991</v>
      </c>
      <c r="C106" s="4">
        <v>81327.399999999907</v>
      </c>
      <c r="D106" s="4">
        <v>81342.569999999905</v>
      </c>
      <c r="E106" s="4">
        <v>81359.289999999906</v>
      </c>
      <c r="F106" s="4">
        <v>81381.19999999991</v>
      </c>
      <c r="G106" s="4">
        <v>81398.409999999916</v>
      </c>
      <c r="H106" s="4">
        <v>81419.919999999911</v>
      </c>
      <c r="I106" s="4">
        <v>81436.719999999914</v>
      </c>
      <c r="J106" s="4">
        <v>81459.049999999916</v>
      </c>
      <c r="K106" s="4">
        <v>81480.30999999991</v>
      </c>
      <c r="L106" s="4">
        <v>81501.829999999914</v>
      </c>
      <c r="M106" s="4">
        <v>81523.05999999991</v>
      </c>
      <c r="N106" s="4">
        <v>81544.549999999916</v>
      </c>
      <c r="O106" s="4">
        <v>81566.119999999923</v>
      </c>
      <c r="P106" s="4">
        <v>81587.889999999927</v>
      </c>
      <c r="Q106" s="4">
        <v>81608.79999999993</v>
      </c>
      <c r="R106" s="4">
        <v>81630.669999999925</v>
      </c>
      <c r="S106" s="4">
        <v>81650.099999999919</v>
      </c>
      <c r="T106" s="4">
        <v>81671.909999999916</v>
      </c>
      <c r="U106" s="4">
        <v>81693.889999999912</v>
      </c>
      <c r="V106" s="4">
        <v>81715.489999999918</v>
      </c>
      <c r="W106" s="4">
        <v>81737.299999999916</v>
      </c>
      <c r="X106" s="4">
        <v>81758.849999999919</v>
      </c>
      <c r="Y106" s="4">
        <v>81774.619999999923</v>
      </c>
      <c r="Z106" s="4">
        <v>81782.989999999918</v>
      </c>
      <c r="AA106" s="4">
        <v>81804.369999999923</v>
      </c>
      <c r="AB106" s="4">
        <v>81823.519999999917</v>
      </c>
      <c r="AC106" s="4">
        <v>81829.629999999917</v>
      </c>
      <c r="AD106" s="4">
        <v>81851.259999999922</v>
      </c>
      <c r="AE106" s="4">
        <v>81873.499999999927</v>
      </c>
      <c r="AF106" s="5">
        <v>81891.959999999934</v>
      </c>
      <c r="AG106" s="52">
        <f t="shared" si="3"/>
        <v>81891.959999999934</v>
      </c>
      <c r="AH106" s="44">
        <v>81285.100000000006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45352</v>
      </c>
      <c r="C108" s="46">
        <v>45353</v>
      </c>
      <c r="D108" s="46">
        <v>45354</v>
      </c>
      <c r="E108" s="46">
        <v>45355</v>
      </c>
      <c r="F108" s="46">
        <v>45356</v>
      </c>
      <c r="G108" s="46">
        <v>45357</v>
      </c>
      <c r="H108" s="46">
        <v>45358</v>
      </c>
      <c r="I108" s="46">
        <v>45359</v>
      </c>
      <c r="J108" s="46">
        <v>45360</v>
      </c>
      <c r="K108" s="46">
        <v>45361</v>
      </c>
      <c r="L108" s="46">
        <v>45362</v>
      </c>
      <c r="M108" s="46">
        <v>45363</v>
      </c>
      <c r="N108" s="46">
        <v>45364</v>
      </c>
      <c r="O108" s="46">
        <v>45365</v>
      </c>
      <c r="P108" s="46">
        <v>45366</v>
      </c>
      <c r="Q108" s="46">
        <v>45367</v>
      </c>
      <c r="R108" s="46">
        <v>45368</v>
      </c>
      <c r="S108" s="46">
        <v>45369</v>
      </c>
      <c r="T108" s="46">
        <v>45370</v>
      </c>
      <c r="U108" s="46">
        <v>45371</v>
      </c>
      <c r="V108" s="46">
        <v>45372</v>
      </c>
      <c r="W108" s="46">
        <v>45373</v>
      </c>
      <c r="X108" s="46">
        <v>45374</v>
      </c>
      <c r="Y108" s="46">
        <v>45375</v>
      </c>
      <c r="Z108" s="46">
        <v>45376</v>
      </c>
      <c r="AA108" s="46">
        <v>45377</v>
      </c>
      <c r="AB108" s="46">
        <v>45378</v>
      </c>
      <c r="AC108" s="46">
        <v>45379</v>
      </c>
      <c r="AD108" s="46">
        <v>45380</v>
      </c>
      <c r="AE108" s="46">
        <v>45381</v>
      </c>
      <c r="AF108" s="49">
        <v>45382</v>
      </c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18">
        <v>37958.29</v>
      </c>
      <c r="C109" s="14">
        <v>37980.49</v>
      </c>
      <c r="D109" s="14">
        <v>37996.78</v>
      </c>
      <c r="E109" s="14">
        <v>37996.78</v>
      </c>
      <c r="F109" s="14">
        <v>38016.76</v>
      </c>
      <c r="G109" s="14">
        <v>38037.160000000003</v>
      </c>
      <c r="H109" s="14">
        <v>38054.69</v>
      </c>
      <c r="I109" s="14">
        <v>38066.380000000005</v>
      </c>
      <c r="J109" s="14">
        <v>38087.160000000003</v>
      </c>
      <c r="K109" s="14">
        <v>38108.120000000003</v>
      </c>
      <c r="L109" s="14">
        <v>38119.090000000004</v>
      </c>
      <c r="M109" s="14">
        <v>38140.69</v>
      </c>
      <c r="N109" s="14">
        <v>38162.01</v>
      </c>
      <c r="O109" s="14">
        <v>38180.75</v>
      </c>
      <c r="P109" s="14">
        <v>38202.519999999997</v>
      </c>
      <c r="Q109" s="14">
        <v>38224.119999999995</v>
      </c>
      <c r="R109" s="14">
        <v>38245.749999999993</v>
      </c>
      <c r="S109" s="14">
        <v>38266.859999999993</v>
      </c>
      <c r="T109" s="14">
        <v>38284.349999999991</v>
      </c>
      <c r="U109" s="14">
        <v>38290.19999999999</v>
      </c>
      <c r="V109" s="14">
        <v>38294.429999999993</v>
      </c>
      <c r="W109" s="14">
        <v>38304.989999999991</v>
      </c>
      <c r="X109" s="14">
        <v>38315.279999999992</v>
      </c>
      <c r="Y109" s="14">
        <v>38329.479999999989</v>
      </c>
      <c r="Z109" s="14">
        <v>38341.69999999999</v>
      </c>
      <c r="AA109" s="14">
        <v>38363.549999999988</v>
      </c>
      <c r="AB109" s="14">
        <v>38385.459999999992</v>
      </c>
      <c r="AC109" s="14">
        <v>38407.80999999999</v>
      </c>
      <c r="AD109" s="14">
        <v>38429.819999999992</v>
      </c>
      <c r="AE109" s="14">
        <v>38451.579999999994</v>
      </c>
      <c r="AF109" s="22">
        <v>38473.509999999995</v>
      </c>
      <c r="AG109" s="51">
        <f t="shared" ref="AG109:AG124" si="4">MAX(B109:AF109)</f>
        <v>38473.509999999995</v>
      </c>
      <c r="AH109" s="44">
        <v>37936.300000000003</v>
      </c>
    </row>
    <row r="110" spans="1:34" x14ac:dyDescent="0.35">
      <c r="A110" s="26" t="s">
        <v>114</v>
      </c>
      <c r="B110" s="19">
        <v>37952.620000000024</v>
      </c>
      <c r="C110" s="2">
        <v>37974.920000000027</v>
      </c>
      <c r="D110" s="2">
        <v>37997.240000000027</v>
      </c>
      <c r="E110" s="2">
        <v>38011.140000000029</v>
      </c>
      <c r="F110" s="2">
        <v>38020.54000000003</v>
      </c>
      <c r="G110" s="2">
        <v>38041.680000000029</v>
      </c>
      <c r="H110" s="2">
        <v>38051.350000000028</v>
      </c>
      <c r="I110" s="2">
        <v>38072.04000000003</v>
      </c>
      <c r="J110" s="2">
        <v>38093.870000000032</v>
      </c>
      <c r="K110" s="2">
        <v>38115.600000000035</v>
      </c>
      <c r="L110" s="2">
        <v>38128.260000000038</v>
      </c>
      <c r="M110" s="2">
        <v>38143.720000000038</v>
      </c>
      <c r="N110" s="2">
        <v>38164.540000000037</v>
      </c>
      <c r="O110" s="2">
        <v>38186.440000000039</v>
      </c>
      <c r="P110" s="2">
        <v>38208.390000000036</v>
      </c>
      <c r="Q110" s="2">
        <v>38230.310000000034</v>
      </c>
      <c r="R110" s="2">
        <v>38251.790000000037</v>
      </c>
      <c r="S110" s="2">
        <v>38273.120000000039</v>
      </c>
      <c r="T110" s="2">
        <v>38294.210000000036</v>
      </c>
      <c r="U110" s="2">
        <v>38305.070000000036</v>
      </c>
      <c r="V110" s="2">
        <v>38326.850000000035</v>
      </c>
      <c r="W110" s="2">
        <v>38338.590000000033</v>
      </c>
      <c r="X110" s="2">
        <v>38350.350000000035</v>
      </c>
      <c r="Y110" s="2">
        <v>38362.380000000034</v>
      </c>
      <c r="Z110" s="2">
        <v>38373.97000000003</v>
      </c>
      <c r="AA110" s="2">
        <v>38395.150000000031</v>
      </c>
      <c r="AB110" s="2">
        <v>38417.140000000029</v>
      </c>
      <c r="AC110" s="2">
        <v>38434.54000000003</v>
      </c>
      <c r="AD110" s="2">
        <v>38445.800000000032</v>
      </c>
      <c r="AE110" s="2">
        <v>38464.180000000029</v>
      </c>
      <c r="AF110" s="7">
        <v>38485.630000000026</v>
      </c>
      <c r="AG110" s="51">
        <f t="shared" si="4"/>
        <v>38485.630000000026</v>
      </c>
      <c r="AH110" s="44">
        <v>37936.720000000001</v>
      </c>
    </row>
    <row r="111" spans="1:34" x14ac:dyDescent="0.35">
      <c r="A111" s="26" t="s">
        <v>115</v>
      </c>
      <c r="B111" s="19">
        <v>33990.270000000004</v>
      </c>
      <c r="C111" s="2">
        <v>34012.000000000007</v>
      </c>
      <c r="D111" s="2">
        <v>34032.80000000001</v>
      </c>
      <c r="E111" s="2">
        <v>34053.55000000001</v>
      </c>
      <c r="F111" s="2">
        <v>34075.44000000001</v>
      </c>
      <c r="G111" s="2">
        <v>34091.500000000007</v>
      </c>
      <c r="H111" s="2">
        <v>34102.310000000005</v>
      </c>
      <c r="I111" s="2">
        <v>34110.970000000008</v>
      </c>
      <c r="J111" s="2">
        <v>34121.210000000006</v>
      </c>
      <c r="K111" s="2">
        <v>34126.900000000009</v>
      </c>
      <c r="L111" s="2">
        <v>34138.810000000012</v>
      </c>
      <c r="M111" s="2">
        <v>34147.23000000001</v>
      </c>
      <c r="N111" s="2">
        <v>34160.930000000008</v>
      </c>
      <c r="O111" s="2">
        <v>34182.270000000004</v>
      </c>
      <c r="P111" s="2">
        <v>34203.700000000004</v>
      </c>
      <c r="Q111" s="2">
        <v>34224.350000000006</v>
      </c>
      <c r="R111" s="2">
        <v>34240.700000000004</v>
      </c>
      <c r="S111" s="2">
        <v>34258.420000000006</v>
      </c>
      <c r="T111" s="2">
        <v>34269.820000000007</v>
      </c>
      <c r="U111" s="2">
        <v>34280.540000000008</v>
      </c>
      <c r="V111" s="2">
        <v>34286.760000000009</v>
      </c>
      <c r="W111" s="2">
        <v>34297.320000000007</v>
      </c>
      <c r="X111" s="2">
        <v>34311.040000000008</v>
      </c>
      <c r="Y111" s="2">
        <v>34321.69000000001</v>
      </c>
      <c r="Z111" s="2">
        <v>34342.880000000012</v>
      </c>
      <c r="AA111" s="2">
        <v>34358.390000000014</v>
      </c>
      <c r="AB111" s="2">
        <v>34379.700000000012</v>
      </c>
      <c r="AC111" s="2">
        <v>34400.880000000012</v>
      </c>
      <c r="AD111" s="2">
        <v>34422.920000000013</v>
      </c>
      <c r="AE111" s="2">
        <v>34427.810000000012</v>
      </c>
      <c r="AF111" s="7">
        <v>34442.130000000012</v>
      </c>
      <c r="AG111" s="51">
        <f t="shared" si="4"/>
        <v>34442.130000000012</v>
      </c>
      <c r="AH111" s="44">
        <v>33987.32</v>
      </c>
    </row>
    <row r="112" spans="1:34" x14ac:dyDescent="0.35">
      <c r="A112" s="26" t="s">
        <v>116</v>
      </c>
      <c r="B112" s="19">
        <v>33279.749999999935</v>
      </c>
      <c r="C112" s="2">
        <v>33290.009999999937</v>
      </c>
      <c r="D112" s="2">
        <v>33312.019999999939</v>
      </c>
      <c r="E112" s="2">
        <v>33331.479999999938</v>
      </c>
      <c r="F112" s="2">
        <v>33342.339999999938</v>
      </c>
      <c r="G112" s="2">
        <v>33363.309999999939</v>
      </c>
      <c r="H112" s="2">
        <v>33385.049999999937</v>
      </c>
      <c r="I112" s="2">
        <v>33404.869999999937</v>
      </c>
      <c r="J112" s="2">
        <v>33426.319999999934</v>
      </c>
      <c r="K112" s="2">
        <v>33446.569999999934</v>
      </c>
      <c r="L112" s="2">
        <v>33450.099999999933</v>
      </c>
      <c r="M112" s="2">
        <v>33470.399999999936</v>
      </c>
      <c r="N112" s="2">
        <v>33491.559999999939</v>
      </c>
      <c r="O112" s="2">
        <v>33502.189999999937</v>
      </c>
      <c r="P112" s="2">
        <v>33523.91999999994</v>
      </c>
      <c r="Q112" s="2">
        <v>33545.559999999939</v>
      </c>
      <c r="R112" s="2">
        <v>33567.539999999943</v>
      </c>
      <c r="S112" s="2">
        <v>33588.91999999994</v>
      </c>
      <c r="T112" s="2">
        <v>33609.109999999942</v>
      </c>
      <c r="U112" s="2">
        <v>33619.539999999943</v>
      </c>
      <c r="V112" s="2">
        <v>33640.459999999941</v>
      </c>
      <c r="W112" s="2">
        <v>33652.399999999943</v>
      </c>
      <c r="X112" s="2">
        <v>33662.579999999944</v>
      </c>
      <c r="Y112" s="2">
        <v>33674.029999999941</v>
      </c>
      <c r="Z112" s="2">
        <v>33686.449999999939</v>
      </c>
      <c r="AA112" s="2">
        <v>33708.209999999941</v>
      </c>
      <c r="AB112" s="2">
        <v>33726.879999999939</v>
      </c>
      <c r="AC112" s="2">
        <v>33745.459999999941</v>
      </c>
      <c r="AD112" s="2">
        <v>33761.629999999939</v>
      </c>
      <c r="AE112" s="2">
        <v>33778.189999999937</v>
      </c>
      <c r="AF112" s="7">
        <v>33796.189999999937</v>
      </c>
      <c r="AG112" s="51">
        <f t="shared" si="4"/>
        <v>33796.189999999937</v>
      </c>
      <c r="AH112" s="44">
        <v>33257.61</v>
      </c>
    </row>
    <row r="113" spans="1:34" x14ac:dyDescent="0.35">
      <c r="A113" s="26" t="s">
        <v>117</v>
      </c>
      <c r="B113" s="19">
        <v>32354.68999999997</v>
      </c>
      <c r="C113" s="2">
        <v>32372.569999999971</v>
      </c>
      <c r="D113" s="2">
        <v>32394.43999999997</v>
      </c>
      <c r="E113" s="2">
        <v>32415.499999999971</v>
      </c>
      <c r="F113" s="2">
        <v>32433.489999999972</v>
      </c>
      <c r="G113" s="2">
        <v>32445.169999999973</v>
      </c>
      <c r="H113" s="2">
        <v>32455.899999999972</v>
      </c>
      <c r="I113" s="2">
        <v>32466.769999999971</v>
      </c>
      <c r="J113" s="2">
        <v>32470.819999999971</v>
      </c>
      <c r="K113" s="2">
        <v>32480.989999999969</v>
      </c>
      <c r="L113" s="2">
        <v>32482.909999999967</v>
      </c>
      <c r="M113" s="2">
        <v>32496.449999999968</v>
      </c>
      <c r="N113" s="2">
        <v>32516.859999999968</v>
      </c>
      <c r="O113" s="2">
        <v>32537.429999999968</v>
      </c>
      <c r="P113" s="2">
        <v>32558.179999999968</v>
      </c>
      <c r="Q113" s="2">
        <v>32572.309999999969</v>
      </c>
      <c r="R113" s="2">
        <v>32585.319999999967</v>
      </c>
      <c r="S113" s="2">
        <v>32606.809999999969</v>
      </c>
      <c r="T113" s="2">
        <v>32627.789999999968</v>
      </c>
      <c r="U113" s="2">
        <v>32644.199999999968</v>
      </c>
      <c r="V113" s="2">
        <v>32655.319999999967</v>
      </c>
      <c r="W113" s="2">
        <v>32666.099999999966</v>
      </c>
      <c r="X113" s="2">
        <v>32667.849999999966</v>
      </c>
      <c r="Y113" s="2">
        <v>32680.039999999964</v>
      </c>
      <c r="Z113" s="2">
        <v>32691.929999999964</v>
      </c>
      <c r="AA113" s="2">
        <v>32708.399999999965</v>
      </c>
      <c r="AB113" s="2">
        <v>32730.099999999966</v>
      </c>
      <c r="AC113" s="2">
        <v>32751.889999999967</v>
      </c>
      <c r="AD113" s="2">
        <v>32773.609999999964</v>
      </c>
      <c r="AE113" s="2">
        <v>32795.039999999964</v>
      </c>
      <c r="AF113" s="7">
        <v>32816.689999999966</v>
      </c>
      <c r="AG113" s="51">
        <f t="shared" si="4"/>
        <v>32816.689999999966</v>
      </c>
      <c r="AH113" s="44">
        <v>32343.45</v>
      </c>
    </row>
    <row r="114" spans="1:34" x14ac:dyDescent="0.35">
      <c r="A114" s="26" t="s">
        <v>118</v>
      </c>
      <c r="B114" s="19">
        <v>24054.17</v>
      </c>
      <c r="C114" s="2">
        <v>24076.470000000027</v>
      </c>
      <c r="D114" s="2">
        <v>24098.100000000028</v>
      </c>
      <c r="E114" s="2">
        <v>24118.040000000026</v>
      </c>
      <c r="F114" s="2">
        <v>24138.980000000025</v>
      </c>
      <c r="G114" s="2">
        <v>24138.980000000025</v>
      </c>
      <c r="H114" s="2">
        <v>24141.880000000026</v>
      </c>
      <c r="I114" s="2">
        <v>24158.550000000025</v>
      </c>
      <c r="J114" s="2">
        <v>24160.960000000025</v>
      </c>
      <c r="K114" s="2">
        <v>24170.930000000026</v>
      </c>
      <c r="L114" s="2">
        <v>24182.840000000026</v>
      </c>
      <c r="M114" s="2">
        <v>24204.220000000027</v>
      </c>
      <c r="N114" s="2">
        <v>24226.000000000025</v>
      </c>
      <c r="O114" s="2">
        <v>24247.440000000024</v>
      </c>
      <c r="P114" s="2">
        <v>24268.930000000026</v>
      </c>
      <c r="Q114" s="2">
        <v>24289.350000000024</v>
      </c>
      <c r="R114" s="2">
        <v>24310.110000000022</v>
      </c>
      <c r="S114" s="2">
        <v>24326.760000000024</v>
      </c>
      <c r="T114" s="2">
        <v>24347.050000000025</v>
      </c>
      <c r="U114" s="2">
        <v>24368.070000000025</v>
      </c>
      <c r="V114" s="2">
        <v>24387.740000000023</v>
      </c>
      <c r="W114" s="2">
        <v>24409.420000000024</v>
      </c>
      <c r="X114" s="2">
        <v>24428.720000000023</v>
      </c>
      <c r="Y114" s="2">
        <v>24449.660000000022</v>
      </c>
      <c r="Z114" s="2">
        <v>24459.430000000022</v>
      </c>
      <c r="AA114" s="2">
        <v>24477.60000000002</v>
      </c>
      <c r="AB114" s="2">
        <v>24477.60000000002</v>
      </c>
      <c r="AC114" s="2">
        <v>24477.60000000002</v>
      </c>
      <c r="AD114" s="2">
        <v>24477.60000000002</v>
      </c>
      <c r="AE114" s="2">
        <v>24477.60000000002</v>
      </c>
      <c r="AF114" s="7">
        <v>24477.60000000002</v>
      </c>
      <c r="AG114" s="51">
        <f t="shared" si="4"/>
        <v>24477.60000000002</v>
      </c>
      <c r="AH114" s="44">
        <v>24034.94</v>
      </c>
    </row>
    <row r="115" spans="1:34" x14ac:dyDescent="0.35">
      <c r="A115" s="26" t="s">
        <v>119</v>
      </c>
      <c r="B115" s="19">
        <v>23177.29</v>
      </c>
      <c r="C115" s="2">
        <v>23197.75</v>
      </c>
      <c r="D115" s="2">
        <v>23217.94</v>
      </c>
      <c r="E115" s="2">
        <v>23238.239999999998</v>
      </c>
      <c r="F115" s="2">
        <v>23258.399999999998</v>
      </c>
      <c r="G115" s="2">
        <v>23272.449999999997</v>
      </c>
      <c r="H115" s="2">
        <v>23293.989999999998</v>
      </c>
      <c r="I115" s="2">
        <v>23313.789999999997</v>
      </c>
      <c r="J115" s="2">
        <v>23335.279999999999</v>
      </c>
      <c r="K115" s="2">
        <v>23355.829999999998</v>
      </c>
      <c r="L115" s="2">
        <v>23373.489999999998</v>
      </c>
      <c r="M115" s="2">
        <v>23387.929999999997</v>
      </c>
      <c r="N115" s="2">
        <v>23395.539999999997</v>
      </c>
      <c r="O115" s="2">
        <v>23409.339999999997</v>
      </c>
      <c r="P115" s="2">
        <v>23431.019999999997</v>
      </c>
      <c r="Q115" s="2">
        <v>23450.789999999997</v>
      </c>
      <c r="R115" s="2">
        <v>23467.799999999996</v>
      </c>
      <c r="S115" s="2">
        <v>23486.229999999996</v>
      </c>
      <c r="T115" s="2">
        <v>23507.299999999996</v>
      </c>
      <c r="U115" s="2">
        <v>23528.949999999997</v>
      </c>
      <c r="V115" s="2">
        <v>23549.499999999996</v>
      </c>
      <c r="W115" s="2">
        <v>23570.309999999998</v>
      </c>
      <c r="X115" s="2">
        <v>23590.499999999996</v>
      </c>
      <c r="Y115" s="2">
        <v>23611.659999999996</v>
      </c>
      <c r="Z115" s="2">
        <v>23632.249999999996</v>
      </c>
      <c r="AA115" s="2">
        <v>23640.779999999995</v>
      </c>
      <c r="AB115" s="2">
        <v>23662.719999999994</v>
      </c>
      <c r="AC115" s="2">
        <v>23683.319999999992</v>
      </c>
      <c r="AD115" s="2">
        <v>23700.379999999994</v>
      </c>
      <c r="AE115" s="2">
        <v>23706.899999999994</v>
      </c>
      <c r="AF115" s="7">
        <v>23706.899999999994</v>
      </c>
      <c r="AG115" s="51">
        <f t="shared" si="4"/>
        <v>23706.899999999994</v>
      </c>
      <c r="AH115" s="44">
        <v>23155.61</v>
      </c>
    </row>
    <row r="116" spans="1:34" x14ac:dyDescent="0.35">
      <c r="A116" s="26" t="s">
        <v>120</v>
      </c>
      <c r="B116" s="19">
        <v>23085.920000000024</v>
      </c>
      <c r="C116" s="2">
        <v>23107.220000000023</v>
      </c>
      <c r="D116" s="2">
        <v>23116.940000000024</v>
      </c>
      <c r="E116" s="2">
        <v>23138.200000000023</v>
      </c>
      <c r="F116" s="2">
        <v>23159.950000000023</v>
      </c>
      <c r="G116" s="2">
        <v>23168.640000000021</v>
      </c>
      <c r="H116" s="2">
        <v>23177.360000000022</v>
      </c>
      <c r="I116" s="2">
        <v>23184.250000000022</v>
      </c>
      <c r="J116" s="2">
        <v>23192.310000000023</v>
      </c>
      <c r="K116" s="2">
        <v>23202.470000000023</v>
      </c>
      <c r="L116" s="2">
        <v>23212.660000000022</v>
      </c>
      <c r="M116" s="2">
        <v>23234.560000000023</v>
      </c>
      <c r="N116" s="2">
        <v>23255.940000000024</v>
      </c>
      <c r="O116" s="2">
        <v>23277.770000000026</v>
      </c>
      <c r="P116" s="2">
        <v>23299.540000000026</v>
      </c>
      <c r="Q116" s="2">
        <v>23321.200000000026</v>
      </c>
      <c r="R116" s="2">
        <v>23342.160000000025</v>
      </c>
      <c r="S116" s="2">
        <v>23364.080000000024</v>
      </c>
      <c r="T116" s="2">
        <v>23383.560000000023</v>
      </c>
      <c r="U116" s="2">
        <v>23400.330000000024</v>
      </c>
      <c r="V116" s="2">
        <v>23418.690000000024</v>
      </c>
      <c r="W116" s="2">
        <v>23436.480000000025</v>
      </c>
      <c r="X116" s="2">
        <v>23457.070000000025</v>
      </c>
      <c r="Y116" s="2">
        <v>23467.840000000026</v>
      </c>
      <c r="Z116" s="2">
        <v>23478.480000000025</v>
      </c>
      <c r="AA116" s="2">
        <v>23497.340000000026</v>
      </c>
      <c r="AB116" s="2">
        <v>23519.020000000026</v>
      </c>
      <c r="AC116" s="2">
        <v>23540.570000000025</v>
      </c>
      <c r="AD116" s="2">
        <v>23562.500000000025</v>
      </c>
      <c r="AE116" s="2">
        <v>23584.230000000025</v>
      </c>
      <c r="AF116" s="7">
        <v>23585.430000000026</v>
      </c>
      <c r="AG116" s="51">
        <f t="shared" si="4"/>
        <v>23585.430000000026</v>
      </c>
      <c r="AH116" s="44">
        <v>23074.37</v>
      </c>
    </row>
    <row r="117" spans="1:34" x14ac:dyDescent="0.35">
      <c r="A117" s="26" t="s">
        <v>121</v>
      </c>
      <c r="B117" s="19">
        <v>22638.759999999991</v>
      </c>
      <c r="C117" s="2">
        <v>22657.549999999992</v>
      </c>
      <c r="D117" s="2">
        <v>22679.30999999999</v>
      </c>
      <c r="E117" s="2">
        <v>22698.979999999989</v>
      </c>
      <c r="F117" s="2">
        <v>22706.029999999988</v>
      </c>
      <c r="G117" s="2">
        <v>22727.299999999988</v>
      </c>
      <c r="H117" s="2">
        <v>22748.26999999999</v>
      </c>
      <c r="I117" s="2">
        <v>22767.299999999988</v>
      </c>
      <c r="J117" s="2">
        <v>22788.309999999987</v>
      </c>
      <c r="K117" s="2">
        <v>22806.469999999987</v>
      </c>
      <c r="L117" s="2">
        <v>22827.539999999986</v>
      </c>
      <c r="M117" s="2">
        <v>22838.099999999988</v>
      </c>
      <c r="N117" s="2">
        <v>22858.899999999987</v>
      </c>
      <c r="O117" s="2">
        <v>22879.809999999987</v>
      </c>
      <c r="P117" s="2">
        <v>22901.349999999988</v>
      </c>
      <c r="Q117" s="2">
        <v>22923.579999999987</v>
      </c>
      <c r="R117" s="2">
        <v>22945.069999999989</v>
      </c>
      <c r="S117" s="2">
        <v>22966.78999999999</v>
      </c>
      <c r="T117" s="2">
        <v>22970.87999999999</v>
      </c>
      <c r="U117" s="2">
        <v>22991.119999999992</v>
      </c>
      <c r="V117" s="2">
        <v>23001.089999999993</v>
      </c>
      <c r="W117" s="2">
        <v>23022.949999999993</v>
      </c>
      <c r="X117" s="2">
        <v>23043.369999999992</v>
      </c>
      <c r="Y117" s="2">
        <v>23052.71999999999</v>
      </c>
      <c r="Z117" s="2">
        <v>23054.169999999991</v>
      </c>
      <c r="AA117" s="2">
        <v>23065.85999999999</v>
      </c>
      <c r="AB117" s="2">
        <v>23074.009999999991</v>
      </c>
      <c r="AC117" s="2">
        <v>23094.979999999992</v>
      </c>
      <c r="AD117" s="2">
        <v>23095.519999999993</v>
      </c>
      <c r="AE117" s="2">
        <v>23106.849999999995</v>
      </c>
      <c r="AF117" s="7">
        <v>23128.369999999995</v>
      </c>
      <c r="AG117" s="51">
        <f t="shared" si="4"/>
        <v>23128.369999999995</v>
      </c>
      <c r="AH117" s="44">
        <v>22616.55</v>
      </c>
    </row>
    <row r="118" spans="1:34" x14ac:dyDescent="0.35">
      <c r="A118" s="26" t="s">
        <v>122</v>
      </c>
      <c r="B118" s="19">
        <v>4309.82</v>
      </c>
      <c r="C118" s="2">
        <v>4331.4399999999996</v>
      </c>
      <c r="D118" s="2">
        <v>4352</v>
      </c>
      <c r="E118" s="2">
        <v>4368.92</v>
      </c>
      <c r="F118" s="2">
        <v>4381.6499999999996</v>
      </c>
      <c r="G118" s="2">
        <v>4401.82</v>
      </c>
      <c r="H118" s="2">
        <v>4423.41</v>
      </c>
      <c r="I118" s="2">
        <v>4444.18</v>
      </c>
      <c r="J118" s="2">
        <v>4465.21</v>
      </c>
      <c r="K118" s="2">
        <v>4479.55</v>
      </c>
      <c r="L118" s="2">
        <v>4494.58</v>
      </c>
      <c r="M118" s="2">
        <v>4513.1400000000003</v>
      </c>
      <c r="N118" s="2">
        <v>4520.42</v>
      </c>
      <c r="O118" s="2">
        <v>4528.75</v>
      </c>
      <c r="P118" s="2">
        <v>4550.4799999999996</v>
      </c>
      <c r="Q118" s="2">
        <v>4571.9399999999996</v>
      </c>
      <c r="R118" s="2">
        <v>4593.5999999999995</v>
      </c>
      <c r="S118" s="2">
        <v>4615.6499999999996</v>
      </c>
      <c r="T118" s="2">
        <v>4636.25</v>
      </c>
      <c r="U118" s="2">
        <v>4657.7</v>
      </c>
      <c r="V118" s="2">
        <v>4678.6399999999994</v>
      </c>
      <c r="W118" s="2">
        <v>4699.579999999999</v>
      </c>
      <c r="X118" s="2">
        <v>4721.0699999999988</v>
      </c>
      <c r="Y118" s="2">
        <v>4742.1099999999988</v>
      </c>
      <c r="Z118" s="2">
        <v>4763.9399999999987</v>
      </c>
      <c r="AA118" s="2">
        <v>4782.4599999999991</v>
      </c>
      <c r="AB118" s="2">
        <v>4804.4199999999992</v>
      </c>
      <c r="AC118" s="2">
        <v>4826.3899999999994</v>
      </c>
      <c r="AD118" s="2">
        <v>4848.3399999999992</v>
      </c>
      <c r="AE118" s="2">
        <v>4870.2899999999991</v>
      </c>
      <c r="AF118" s="7">
        <v>4892.2599999999993</v>
      </c>
      <c r="AG118" s="51">
        <f t="shared" si="4"/>
        <v>4892.2599999999993</v>
      </c>
      <c r="AH118" s="44">
        <v>4287.84</v>
      </c>
    </row>
    <row r="119" spans="1:34" x14ac:dyDescent="0.35">
      <c r="A119" s="26" t="s">
        <v>123</v>
      </c>
      <c r="B119" s="19">
        <v>4616.2300000000014</v>
      </c>
      <c r="C119" s="2">
        <v>4626.6100000000015</v>
      </c>
      <c r="D119" s="2">
        <v>4644.2000000000016</v>
      </c>
      <c r="E119" s="2">
        <v>4664.2300000000014</v>
      </c>
      <c r="F119" s="2">
        <v>4685.6600000000017</v>
      </c>
      <c r="G119" s="2">
        <v>4707.1700000000019</v>
      </c>
      <c r="H119" s="2">
        <v>4727.3300000000017</v>
      </c>
      <c r="I119" s="2">
        <v>4736.5300000000016</v>
      </c>
      <c r="J119" s="2">
        <v>4757.1800000000012</v>
      </c>
      <c r="K119" s="2">
        <v>4778.4700000000012</v>
      </c>
      <c r="L119" s="2">
        <v>4800.1500000000015</v>
      </c>
      <c r="M119" s="2">
        <v>4821.9000000000015</v>
      </c>
      <c r="N119" s="2">
        <v>4843.5700000000015</v>
      </c>
      <c r="O119" s="2">
        <v>4863.4000000000015</v>
      </c>
      <c r="P119" s="2">
        <v>4885.1900000000014</v>
      </c>
      <c r="Q119" s="2">
        <v>4906.670000000001</v>
      </c>
      <c r="R119" s="2">
        <v>4928.2300000000014</v>
      </c>
      <c r="S119" s="2">
        <v>4950.1600000000017</v>
      </c>
      <c r="T119" s="2">
        <v>4964.9400000000014</v>
      </c>
      <c r="U119" s="2">
        <v>4976.7200000000012</v>
      </c>
      <c r="V119" s="2">
        <v>4982.4400000000014</v>
      </c>
      <c r="W119" s="2">
        <v>5003.4900000000016</v>
      </c>
      <c r="X119" s="2">
        <v>5023.8500000000013</v>
      </c>
      <c r="Y119" s="2">
        <v>5045.2800000000016</v>
      </c>
      <c r="Z119" s="2">
        <v>5056.3300000000017</v>
      </c>
      <c r="AA119" s="2">
        <v>5060.010000000002</v>
      </c>
      <c r="AB119" s="2">
        <v>5081.6300000000019</v>
      </c>
      <c r="AC119" s="2">
        <v>5103.1700000000019</v>
      </c>
      <c r="AD119" s="2">
        <v>5124.5000000000018</v>
      </c>
      <c r="AE119" s="2">
        <v>5146.3600000000015</v>
      </c>
      <c r="AF119" s="7">
        <v>5167.2800000000016</v>
      </c>
      <c r="AG119" s="51">
        <f t="shared" si="4"/>
        <v>5167.2800000000016</v>
      </c>
      <c r="AH119" s="44">
        <v>4596.43</v>
      </c>
    </row>
    <row r="120" spans="1:34" x14ac:dyDescent="0.35">
      <c r="A120" s="26" t="s">
        <v>124</v>
      </c>
      <c r="B120" s="19">
        <v>4211.38</v>
      </c>
      <c r="C120" s="2">
        <v>4233.38</v>
      </c>
      <c r="D120" s="2">
        <v>4254.95</v>
      </c>
      <c r="E120" s="2">
        <v>4275.38</v>
      </c>
      <c r="F120" s="2">
        <v>4296.24</v>
      </c>
      <c r="G120" s="2">
        <v>4312.92</v>
      </c>
      <c r="H120" s="2">
        <v>4325.58</v>
      </c>
      <c r="I120" s="2">
        <v>4325.58</v>
      </c>
      <c r="J120" s="2">
        <v>4325.58</v>
      </c>
      <c r="K120" s="2">
        <v>4325.58</v>
      </c>
      <c r="L120" s="2">
        <v>4325.58</v>
      </c>
      <c r="M120" s="2">
        <v>4325.58</v>
      </c>
      <c r="N120" s="2">
        <v>4325.58</v>
      </c>
      <c r="O120" s="2">
        <v>4328.82</v>
      </c>
      <c r="P120" s="2">
        <v>4339.9699999999993</v>
      </c>
      <c r="Q120" s="2">
        <v>4360.32</v>
      </c>
      <c r="R120" s="2">
        <v>4381.7999999999993</v>
      </c>
      <c r="S120" s="2">
        <v>4402.9899999999989</v>
      </c>
      <c r="T120" s="2">
        <v>4419.5599999999986</v>
      </c>
      <c r="U120" s="2">
        <v>4441.2699999999986</v>
      </c>
      <c r="V120" s="2">
        <v>4462.1999999999989</v>
      </c>
      <c r="W120" s="2">
        <v>4483.4299999999985</v>
      </c>
      <c r="X120" s="2">
        <v>4504.5799999999981</v>
      </c>
      <c r="Y120" s="2">
        <v>4525.3499999999985</v>
      </c>
      <c r="Z120" s="2">
        <v>4546.7199999999984</v>
      </c>
      <c r="AA120" s="2">
        <v>4567.3499999999985</v>
      </c>
      <c r="AB120" s="2">
        <v>4588.8799999999983</v>
      </c>
      <c r="AC120" s="2">
        <v>4610.0699999999979</v>
      </c>
      <c r="AD120" s="2">
        <v>4627.0799999999981</v>
      </c>
      <c r="AE120" s="2">
        <v>4648.9299999999985</v>
      </c>
      <c r="AF120" s="7">
        <v>4670.3399999999983</v>
      </c>
      <c r="AG120" s="51">
        <f t="shared" si="4"/>
        <v>4670.3399999999983</v>
      </c>
      <c r="AH120" s="44">
        <v>4191.3999999999996</v>
      </c>
    </row>
    <row r="121" spans="1:34" x14ac:dyDescent="0.35">
      <c r="A121" s="26" t="s">
        <v>125</v>
      </c>
      <c r="B121" s="19">
        <v>2473.1800000000017</v>
      </c>
      <c r="C121" s="2">
        <v>2494.9300000000017</v>
      </c>
      <c r="D121" s="2">
        <v>2516.2400000000016</v>
      </c>
      <c r="E121" s="2">
        <v>2531.4900000000016</v>
      </c>
      <c r="F121" s="2">
        <v>2534.9100000000017</v>
      </c>
      <c r="G121" s="2">
        <v>2554.7800000000016</v>
      </c>
      <c r="H121" s="2">
        <v>2576.2000000000016</v>
      </c>
      <c r="I121" s="2">
        <v>2588.5300000000016</v>
      </c>
      <c r="J121" s="2">
        <v>2606.4200000000014</v>
      </c>
      <c r="K121" s="2">
        <v>2628.0300000000016</v>
      </c>
      <c r="L121" s="2">
        <v>2649.8900000000017</v>
      </c>
      <c r="M121" s="2">
        <v>2665.8700000000017</v>
      </c>
      <c r="N121" s="2">
        <v>2687.6200000000017</v>
      </c>
      <c r="O121" s="2">
        <v>2698.9100000000017</v>
      </c>
      <c r="P121" s="2">
        <v>2698.9100000000017</v>
      </c>
      <c r="Q121" s="2">
        <v>2698.9100000000017</v>
      </c>
      <c r="R121" s="2">
        <v>2702.3000000000015</v>
      </c>
      <c r="S121" s="2">
        <v>2719.1700000000014</v>
      </c>
      <c r="T121" s="2">
        <v>2739.0400000000013</v>
      </c>
      <c r="U121" s="2">
        <v>2760.8600000000015</v>
      </c>
      <c r="V121" s="2">
        <v>2782.4100000000017</v>
      </c>
      <c r="W121" s="2">
        <v>2803.9900000000016</v>
      </c>
      <c r="X121" s="2">
        <v>2825.0300000000016</v>
      </c>
      <c r="Y121" s="2">
        <v>2841.5100000000016</v>
      </c>
      <c r="Z121" s="2">
        <v>2859.7600000000016</v>
      </c>
      <c r="AA121" s="2">
        <v>2859.7600000000016</v>
      </c>
      <c r="AB121" s="2">
        <v>2881.3600000000015</v>
      </c>
      <c r="AC121" s="2">
        <v>2902.7800000000016</v>
      </c>
      <c r="AD121" s="2">
        <v>2924.4000000000015</v>
      </c>
      <c r="AE121" s="2">
        <v>2946.2300000000014</v>
      </c>
      <c r="AF121" s="7">
        <v>2968.5600000000013</v>
      </c>
      <c r="AG121" s="51">
        <f t="shared" si="4"/>
        <v>2968.5600000000013</v>
      </c>
      <c r="AH121" s="44">
        <v>2452.04</v>
      </c>
    </row>
    <row r="122" spans="1:34" x14ac:dyDescent="0.35">
      <c r="A122" s="26" t="s">
        <v>126</v>
      </c>
      <c r="B122" s="19">
        <v>3508.8699999999976</v>
      </c>
      <c r="C122" s="2">
        <v>3531.1199999999976</v>
      </c>
      <c r="D122" s="2">
        <v>3553.4499999999975</v>
      </c>
      <c r="E122" s="2">
        <v>3561.6299999999974</v>
      </c>
      <c r="F122" s="2">
        <v>3581.5399999999972</v>
      </c>
      <c r="G122" s="2">
        <v>3603.0399999999972</v>
      </c>
      <c r="H122" s="2">
        <v>3623.4299999999971</v>
      </c>
      <c r="I122" s="2">
        <v>3639.9899999999971</v>
      </c>
      <c r="J122" s="2">
        <v>3661.5399999999972</v>
      </c>
      <c r="K122" s="2">
        <v>3683.279999999997</v>
      </c>
      <c r="L122" s="2">
        <v>3704.5199999999968</v>
      </c>
      <c r="M122" s="2">
        <v>3725.8999999999969</v>
      </c>
      <c r="N122" s="2">
        <v>3747.7699999999968</v>
      </c>
      <c r="O122" s="2">
        <v>3769.1799999999967</v>
      </c>
      <c r="P122" s="2">
        <v>3791.0799999999967</v>
      </c>
      <c r="Q122" s="2">
        <v>3812.8199999999965</v>
      </c>
      <c r="R122" s="2">
        <v>3834.0899999999965</v>
      </c>
      <c r="S122" s="2">
        <v>3855.6599999999967</v>
      </c>
      <c r="T122" s="2">
        <v>3876.1999999999966</v>
      </c>
      <c r="U122" s="2">
        <v>3897.6999999999966</v>
      </c>
      <c r="V122" s="2">
        <v>3919.1199999999967</v>
      </c>
      <c r="W122" s="2">
        <v>3940.9699999999966</v>
      </c>
      <c r="X122" s="2">
        <v>3947.4999999999968</v>
      </c>
      <c r="Y122" s="2">
        <v>3969.0599999999968</v>
      </c>
      <c r="Z122" s="2">
        <v>3990.8999999999969</v>
      </c>
      <c r="AA122" s="2">
        <v>4012.4399999999969</v>
      </c>
      <c r="AB122" s="2">
        <v>4019.7499999999968</v>
      </c>
      <c r="AC122" s="2">
        <v>4034.1299999999969</v>
      </c>
      <c r="AD122" s="2">
        <v>4056.4499999999971</v>
      </c>
      <c r="AE122" s="2">
        <v>4078.4499999999971</v>
      </c>
      <c r="AF122" s="7">
        <v>4100.4499999999971</v>
      </c>
      <c r="AG122" s="51">
        <f t="shared" si="4"/>
        <v>4100.4499999999971</v>
      </c>
      <c r="AH122" s="44">
        <v>3486.61</v>
      </c>
    </row>
    <row r="123" spans="1:34" x14ac:dyDescent="0.35">
      <c r="A123" s="26" t="s">
        <v>127</v>
      </c>
      <c r="B123" s="19">
        <v>3746.95</v>
      </c>
      <c r="C123" s="2">
        <v>3768.97</v>
      </c>
      <c r="D123" s="2">
        <v>3790.45</v>
      </c>
      <c r="E123" s="2">
        <v>3810.4399999999996</v>
      </c>
      <c r="F123" s="2">
        <v>3823.5099999999998</v>
      </c>
      <c r="G123" s="2">
        <v>3844.93</v>
      </c>
      <c r="H123" s="2">
        <v>3862.93</v>
      </c>
      <c r="I123" s="2">
        <v>3877.79</v>
      </c>
      <c r="J123" s="2">
        <v>3899.65</v>
      </c>
      <c r="K123" s="2">
        <v>3915.83</v>
      </c>
      <c r="L123" s="2">
        <v>3932.81</v>
      </c>
      <c r="M123" s="2">
        <v>3953.72</v>
      </c>
      <c r="N123" s="2">
        <v>3974.91</v>
      </c>
      <c r="O123" s="2">
        <v>3996.47</v>
      </c>
      <c r="P123" s="2">
        <v>4018.1499999999996</v>
      </c>
      <c r="Q123" s="2">
        <v>4039.7899999999995</v>
      </c>
      <c r="R123" s="2">
        <v>4061.7199999999993</v>
      </c>
      <c r="S123" s="2">
        <v>4083.6399999999994</v>
      </c>
      <c r="T123" s="2">
        <v>4090.2499999999995</v>
      </c>
      <c r="U123" s="2">
        <v>4110.75</v>
      </c>
      <c r="V123" s="2">
        <v>4122.6499999999996</v>
      </c>
      <c r="W123" s="2">
        <v>4140.57</v>
      </c>
      <c r="X123" s="2">
        <v>4150.41</v>
      </c>
      <c r="Y123" s="2">
        <v>4171.5199999999995</v>
      </c>
      <c r="Z123" s="2">
        <v>4191.99</v>
      </c>
      <c r="AA123" s="2">
        <v>4212.2199999999993</v>
      </c>
      <c r="AB123" s="2">
        <v>4226.53</v>
      </c>
      <c r="AC123" s="2">
        <v>4248.57</v>
      </c>
      <c r="AD123" s="2">
        <v>4270.0599999999995</v>
      </c>
      <c r="AE123" s="2">
        <v>4291.78</v>
      </c>
      <c r="AF123" s="7">
        <v>4313.6099999999997</v>
      </c>
      <c r="AG123" s="51">
        <f t="shared" si="4"/>
        <v>4313.6099999999997</v>
      </c>
      <c r="AH123" s="44">
        <v>3724.72</v>
      </c>
    </row>
    <row r="124" spans="1:34" ht="15" thickBot="1" x14ac:dyDescent="0.4">
      <c r="A124" s="36" t="s">
        <v>128</v>
      </c>
      <c r="B124" s="20">
        <v>3513.5499999999993</v>
      </c>
      <c r="C124" s="4">
        <v>3535.7599999999993</v>
      </c>
      <c r="D124" s="4">
        <v>3557.6899999999991</v>
      </c>
      <c r="E124" s="4">
        <v>3578.619999999999</v>
      </c>
      <c r="F124" s="4">
        <v>3593.4199999999992</v>
      </c>
      <c r="G124" s="4">
        <v>3603.4599999999991</v>
      </c>
      <c r="H124" s="4">
        <v>3624.9499999999989</v>
      </c>
      <c r="I124" s="4">
        <v>3646.4499999999989</v>
      </c>
      <c r="J124" s="4">
        <v>3667.809999999999</v>
      </c>
      <c r="K124" s="4">
        <v>3689.5699999999993</v>
      </c>
      <c r="L124" s="4">
        <v>3710.7299999999991</v>
      </c>
      <c r="M124" s="4">
        <v>3722.8399999999992</v>
      </c>
      <c r="N124" s="4">
        <v>3740.7199999999993</v>
      </c>
      <c r="O124" s="4">
        <v>3761.3799999999992</v>
      </c>
      <c r="P124" s="4">
        <v>3783.3199999999993</v>
      </c>
      <c r="Q124" s="4">
        <v>3805.4399999999991</v>
      </c>
      <c r="R124" s="4">
        <v>3827.1799999999989</v>
      </c>
      <c r="S124" s="4">
        <v>3848.6799999999989</v>
      </c>
      <c r="T124" s="4">
        <v>3870.309999999999</v>
      </c>
      <c r="U124" s="4">
        <v>3891.889999999999</v>
      </c>
      <c r="V124" s="4">
        <v>3913.4399999999991</v>
      </c>
      <c r="W124" s="4">
        <v>3935.1599999999989</v>
      </c>
      <c r="X124" s="4">
        <v>3956.809999999999</v>
      </c>
      <c r="Y124" s="4">
        <v>3978.2199999999989</v>
      </c>
      <c r="Z124" s="4">
        <v>3999.4499999999989</v>
      </c>
      <c r="AA124" s="4">
        <v>4020.4499999999989</v>
      </c>
      <c r="AB124" s="4">
        <v>4041.6599999999989</v>
      </c>
      <c r="AC124" s="4">
        <v>4063.8399999999988</v>
      </c>
      <c r="AD124" s="4">
        <v>4085.5599999999986</v>
      </c>
      <c r="AE124" s="4">
        <v>4107.4599999999982</v>
      </c>
      <c r="AF124" s="8">
        <v>4129.4399999999978</v>
      </c>
      <c r="AG124" s="52">
        <f t="shared" si="4"/>
        <v>4129.4399999999978</v>
      </c>
      <c r="AH124" s="44">
        <v>3491.34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45352</v>
      </c>
      <c r="C126" s="46">
        <v>45353</v>
      </c>
      <c r="D126" s="46">
        <v>45354</v>
      </c>
      <c r="E126" s="46">
        <v>45355</v>
      </c>
      <c r="F126" s="46">
        <v>45356</v>
      </c>
      <c r="G126" s="46">
        <v>45357</v>
      </c>
      <c r="H126" s="46">
        <v>45358</v>
      </c>
      <c r="I126" s="46">
        <v>45359</v>
      </c>
      <c r="J126" s="46">
        <v>45360</v>
      </c>
      <c r="K126" s="46">
        <v>45361</v>
      </c>
      <c r="L126" s="46">
        <v>45362</v>
      </c>
      <c r="M126" s="46">
        <v>45363</v>
      </c>
      <c r="N126" s="46">
        <v>45364</v>
      </c>
      <c r="O126" s="46">
        <v>45365</v>
      </c>
      <c r="P126" s="46">
        <v>45366</v>
      </c>
      <c r="Q126" s="46">
        <v>45367</v>
      </c>
      <c r="R126" s="46">
        <v>45368</v>
      </c>
      <c r="S126" s="46">
        <v>45369</v>
      </c>
      <c r="T126" s="46">
        <v>45370</v>
      </c>
      <c r="U126" s="46">
        <v>45371</v>
      </c>
      <c r="V126" s="46">
        <v>45372</v>
      </c>
      <c r="W126" s="46">
        <v>45373</v>
      </c>
      <c r="X126" s="46">
        <v>45374</v>
      </c>
      <c r="Y126" s="46">
        <v>45375</v>
      </c>
      <c r="Z126" s="46">
        <v>45376</v>
      </c>
      <c r="AA126" s="46">
        <v>45377</v>
      </c>
      <c r="AB126" s="46">
        <v>45378</v>
      </c>
      <c r="AC126" s="46">
        <v>45379</v>
      </c>
      <c r="AD126" s="46">
        <v>45380</v>
      </c>
      <c r="AE126" s="46">
        <v>45381</v>
      </c>
      <c r="AF126" s="46">
        <v>45382</v>
      </c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19">
        <v>87482</v>
      </c>
      <c r="C127" s="2">
        <v>87482</v>
      </c>
      <c r="D127" s="2">
        <v>87482</v>
      </c>
      <c r="E127" s="2">
        <v>87482</v>
      </c>
      <c r="F127" s="2">
        <v>87482</v>
      </c>
      <c r="G127" s="2">
        <v>87482</v>
      </c>
      <c r="H127" s="2">
        <v>87482</v>
      </c>
      <c r="I127" s="2">
        <v>87482</v>
      </c>
      <c r="J127" s="2">
        <v>87482</v>
      </c>
      <c r="K127" s="2">
        <v>87482</v>
      </c>
      <c r="L127" s="2">
        <v>87482</v>
      </c>
      <c r="M127" s="2">
        <v>87482</v>
      </c>
      <c r="N127" s="2">
        <v>87482</v>
      </c>
      <c r="O127" s="2">
        <v>87482</v>
      </c>
      <c r="P127" s="2">
        <v>87482</v>
      </c>
      <c r="Q127" s="2">
        <v>87482</v>
      </c>
      <c r="R127" s="2">
        <v>87482</v>
      </c>
      <c r="S127" s="2">
        <v>87482</v>
      </c>
      <c r="T127" s="2">
        <v>87482</v>
      </c>
      <c r="U127" s="2">
        <v>87482</v>
      </c>
      <c r="V127" s="2">
        <v>87482</v>
      </c>
      <c r="W127" s="2">
        <v>87482</v>
      </c>
      <c r="X127" s="2">
        <v>87482</v>
      </c>
      <c r="Y127" s="2">
        <v>87482</v>
      </c>
      <c r="Z127" s="2">
        <v>87482</v>
      </c>
      <c r="AA127" s="2">
        <v>87482</v>
      </c>
      <c r="AB127" s="2">
        <v>87482</v>
      </c>
      <c r="AC127" s="2">
        <v>87482</v>
      </c>
      <c r="AD127" s="2">
        <v>87482</v>
      </c>
      <c r="AE127" s="2">
        <v>87482</v>
      </c>
      <c r="AF127" s="7">
        <v>87482</v>
      </c>
      <c r="AG127" s="54">
        <f t="shared" ref="AG127:AG163" si="5">MAX(B127:AF127)</f>
        <v>87482</v>
      </c>
      <c r="AH127" s="44">
        <v>87482</v>
      </c>
    </row>
    <row r="128" spans="1:34" x14ac:dyDescent="0.35">
      <c r="A128" s="40" t="s">
        <v>297</v>
      </c>
      <c r="B128" s="18">
        <v>111226.9</v>
      </c>
      <c r="C128" s="14">
        <v>111226.9</v>
      </c>
      <c r="D128" s="14">
        <v>111283.29999999999</v>
      </c>
      <c r="E128" s="14">
        <v>111283.29999999999</v>
      </c>
      <c r="F128" s="14">
        <v>111283.29999999999</v>
      </c>
      <c r="G128" s="14">
        <v>111283.29999999999</v>
      </c>
      <c r="H128" s="14">
        <v>111283.29999999999</v>
      </c>
      <c r="I128" s="14">
        <v>111283.29999999999</v>
      </c>
      <c r="J128" s="14">
        <v>111283.29999999999</v>
      </c>
      <c r="K128" s="14">
        <v>111283.29999999999</v>
      </c>
      <c r="L128" s="14">
        <v>111283.29999999999</v>
      </c>
      <c r="M128" s="14">
        <v>111307.29999999999</v>
      </c>
      <c r="N128" s="14">
        <v>111314.79999999999</v>
      </c>
      <c r="O128" s="14">
        <v>111314.79999999999</v>
      </c>
      <c r="P128" s="14">
        <v>111314.79999999999</v>
      </c>
      <c r="Q128" s="14">
        <v>111314.79999999999</v>
      </c>
      <c r="R128" s="14">
        <v>111314.79999999999</v>
      </c>
      <c r="S128" s="14">
        <v>111316.49999999999</v>
      </c>
      <c r="T128" s="14">
        <v>111324.89999999998</v>
      </c>
      <c r="U128" s="14">
        <v>111347.08999999998</v>
      </c>
      <c r="V128" s="14">
        <v>111351.87999999998</v>
      </c>
      <c r="W128" s="14">
        <v>111351.87999999998</v>
      </c>
      <c r="X128" s="14">
        <v>111351.87999999998</v>
      </c>
      <c r="Y128" s="14">
        <v>111351.87999999998</v>
      </c>
      <c r="Z128" s="14">
        <v>111374</v>
      </c>
      <c r="AA128" s="14">
        <v>111394</v>
      </c>
      <c r="AB128" s="14">
        <v>111394</v>
      </c>
      <c r="AC128" s="14">
        <v>111394</v>
      </c>
      <c r="AD128" s="14">
        <v>111394</v>
      </c>
      <c r="AE128" s="14">
        <v>111394</v>
      </c>
      <c r="AF128" s="22">
        <v>111397</v>
      </c>
      <c r="AG128" s="53">
        <f t="shared" si="5"/>
        <v>111397</v>
      </c>
      <c r="AH128" s="44">
        <v>111226.9</v>
      </c>
    </row>
    <row r="129" spans="1:34" x14ac:dyDescent="0.35">
      <c r="A129" s="27" t="s">
        <v>271</v>
      </c>
      <c r="B129" s="19">
        <v>104167.2</v>
      </c>
      <c r="C129" s="2">
        <v>104167.2</v>
      </c>
      <c r="D129" s="2">
        <v>104167.2</v>
      </c>
      <c r="E129" s="2">
        <v>104167.2</v>
      </c>
      <c r="F129" s="2">
        <v>104167.2</v>
      </c>
      <c r="G129" s="2">
        <v>104167.2</v>
      </c>
      <c r="H129" s="2">
        <v>104167.2</v>
      </c>
      <c r="I129" s="2">
        <v>104167.2</v>
      </c>
      <c r="J129" s="2">
        <v>104167.2</v>
      </c>
      <c r="K129" s="2">
        <v>104167.2</v>
      </c>
      <c r="L129" s="2">
        <v>104167.2</v>
      </c>
      <c r="M129" s="2">
        <v>104167.2</v>
      </c>
      <c r="N129" s="2">
        <v>104167.2</v>
      </c>
      <c r="O129" s="2">
        <v>104167.2</v>
      </c>
      <c r="P129" s="2">
        <v>104167.2</v>
      </c>
      <c r="Q129" s="2">
        <v>104167.2</v>
      </c>
      <c r="R129" s="2">
        <v>104167.2</v>
      </c>
      <c r="S129" s="2">
        <v>104167.2</v>
      </c>
      <c r="T129" s="2">
        <v>104167.2</v>
      </c>
      <c r="U129" s="2">
        <v>104167.2</v>
      </c>
      <c r="V129" s="2">
        <v>104167.2</v>
      </c>
      <c r="W129" s="2">
        <v>104167.2</v>
      </c>
      <c r="X129" s="2">
        <v>104167.2</v>
      </c>
      <c r="Y129" s="2">
        <v>104167.2</v>
      </c>
      <c r="Z129" s="2">
        <v>104167.2</v>
      </c>
      <c r="AA129" s="2">
        <v>104167.2</v>
      </c>
      <c r="AB129" s="2">
        <v>104167.2</v>
      </c>
      <c r="AC129" s="2">
        <v>104167.2</v>
      </c>
      <c r="AD129" s="2">
        <v>104167.2</v>
      </c>
      <c r="AE129" s="2">
        <v>104167.2</v>
      </c>
      <c r="AF129" s="7">
        <v>104167.2</v>
      </c>
      <c r="AG129" s="9">
        <f t="shared" si="5"/>
        <v>104167.2</v>
      </c>
      <c r="AH129" s="44">
        <v>104167.2</v>
      </c>
    </row>
    <row r="130" spans="1:34" x14ac:dyDescent="0.35">
      <c r="A130" s="27" t="s">
        <v>274</v>
      </c>
      <c r="B130" s="19">
        <v>102717.5</v>
      </c>
      <c r="C130" s="2">
        <v>102717.5</v>
      </c>
      <c r="D130" s="2">
        <v>102717.5</v>
      </c>
      <c r="E130" s="2">
        <v>102717.5</v>
      </c>
      <c r="F130" s="2">
        <v>102717.5</v>
      </c>
      <c r="G130" s="2">
        <v>102717.5</v>
      </c>
      <c r="H130" s="2">
        <v>102728.4</v>
      </c>
      <c r="I130" s="2">
        <v>102728.4</v>
      </c>
      <c r="J130" s="2">
        <v>102728.4</v>
      </c>
      <c r="K130" s="2">
        <v>102763.29999999999</v>
      </c>
      <c r="L130" s="2">
        <v>102763.29999999999</v>
      </c>
      <c r="M130" s="2">
        <v>102763.29999999999</v>
      </c>
      <c r="N130" s="2">
        <v>102763.29999999999</v>
      </c>
      <c r="O130" s="2">
        <v>102763.29999999999</v>
      </c>
      <c r="P130" s="2">
        <v>102763.29999999999</v>
      </c>
      <c r="Q130" s="2">
        <v>102763.29999999999</v>
      </c>
      <c r="R130" s="2">
        <v>102763.29999999999</v>
      </c>
      <c r="S130" s="2">
        <v>102763.29999999999</v>
      </c>
      <c r="T130" s="2">
        <v>102771.09999999999</v>
      </c>
      <c r="U130" s="2">
        <v>102792.23999999999</v>
      </c>
      <c r="V130" s="2">
        <v>102810.54</v>
      </c>
      <c r="W130" s="2">
        <v>102810.54</v>
      </c>
      <c r="X130" s="2">
        <v>102810.54</v>
      </c>
      <c r="Y130" s="64">
        <v>102811</v>
      </c>
      <c r="Z130" s="2">
        <v>102819.54</v>
      </c>
      <c r="AA130" s="2">
        <v>102819.54</v>
      </c>
      <c r="AB130" s="2">
        <v>102819.54</v>
      </c>
      <c r="AC130" s="2">
        <v>102819.54</v>
      </c>
      <c r="AD130" s="2">
        <v>102819.54</v>
      </c>
      <c r="AE130" s="2">
        <v>102819.54</v>
      </c>
      <c r="AF130" s="7">
        <v>102824.7</v>
      </c>
      <c r="AG130" s="9">
        <f t="shared" si="5"/>
        <v>102824.7</v>
      </c>
      <c r="AH130" s="44">
        <v>102717.5</v>
      </c>
    </row>
    <row r="131" spans="1:34" x14ac:dyDescent="0.35">
      <c r="A131" s="27" t="s">
        <v>272</v>
      </c>
      <c r="B131" s="19">
        <v>102048.18999999999</v>
      </c>
      <c r="C131" s="2">
        <v>102048.18999999999</v>
      </c>
      <c r="D131" s="2">
        <v>102048.18999999999</v>
      </c>
      <c r="E131" s="2">
        <v>102048.18999999999</v>
      </c>
      <c r="F131" s="2">
        <v>102048.18999999999</v>
      </c>
      <c r="G131" s="2">
        <v>102048.18999999999</v>
      </c>
      <c r="H131" s="2">
        <v>102048.18999999999</v>
      </c>
      <c r="I131" s="2">
        <v>102048.18999999999</v>
      </c>
      <c r="J131" s="2">
        <v>102048.18999999999</v>
      </c>
      <c r="K131" s="2">
        <v>102048.18999999999</v>
      </c>
      <c r="L131" s="2">
        <v>102048.18999999999</v>
      </c>
      <c r="M131" s="2">
        <v>102048.18999999999</v>
      </c>
      <c r="N131" s="2">
        <v>102048.18999999999</v>
      </c>
      <c r="O131" s="2">
        <v>102048.18999999999</v>
      </c>
      <c r="P131" s="2">
        <v>102048.18999999999</v>
      </c>
      <c r="Q131" s="2">
        <v>102048.18999999999</v>
      </c>
      <c r="R131" s="2">
        <v>102048.18999999999</v>
      </c>
      <c r="S131" s="2">
        <v>102048.18999999999</v>
      </c>
      <c r="T131" s="2">
        <v>102048.18999999999</v>
      </c>
      <c r="U131" s="2">
        <v>102048.18999999999</v>
      </c>
      <c r="V131" s="2">
        <v>102048.18999999999</v>
      </c>
      <c r="W131" s="2">
        <v>102048.18999999999</v>
      </c>
      <c r="X131" s="2">
        <v>102048.18999999999</v>
      </c>
      <c r="Y131" s="2">
        <v>102048.18999999999</v>
      </c>
      <c r="Z131" s="2">
        <v>102048.18999999999</v>
      </c>
      <c r="AA131" s="2">
        <v>102048.18999999999</v>
      </c>
      <c r="AB131" s="2">
        <v>102048.18999999999</v>
      </c>
      <c r="AC131" s="2">
        <v>102048.18999999999</v>
      </c>
      <c r="AD131" s="2">
        <v>102048.18999999999</v>
      </c>
      <c r="AE131" s="2">
        <v>102048.18999999999</v>
      </c>
      <c r="AF131" s="2">
        <v>102048.18999999999</v>
      </c>
      <c r="AG131" s="9">
        <f t="shared" si="5"/>
        <v>102048.18999999999</v>
      </c>
      <c r="AH131" s="44">
        <v>102048.19</v>
      </c>
    </row>
    <row r="132" spans="1:34" x14ac:dyDescent="0.35">
      <c r="A132" s="27" t="s">
        <v>285</v>
      </c>
      <c r="B132" s="19">
        <v>101476.09999999999</v>
      </c>
      <c r="C132" s="2">
        <v>101476.09999999999</v>
      </c>
      <c r="D132" s="2">
        <v>101476.09999999999</v>
      </c>
      <c r="E132" s="2">
        <v>101476.09999999999</v>
      </c>
      <c r="F132" s="2">
        <v>101476.09999999999</v>
      </c>
      <c r="G132" s="2">
        <v>101476.09999999999</v>
      </c>
      <c r="H132" s="2">
        <v>101476.09999999999</v>
      </c>
      <c r="I132" s="2">
        <v>101476.09999999999</v>
      </c>
      <c r="J132" s="2">
        <v>101476.09999999999</v>
      </c>
      <c r="K132" s="2">
        <v>101476.09999999999</v>
      </c>
      <c r="L132" s="2">
        <v>101476.09999999999</v>
      </c>
      <c r="M132" s="2">
        <v>101476.09999999999</v>
      </c>
      <c r="N132" s="2">
        <v>101476.09999999999</v>
      </c>
      <c r="O132" s="2">
        <v>101476.09999999999</v>
      </c>
      <c r="P132" s="2">
        <v>101476.09999999999</v>
      </c>
      <c r="Q132" s="2">
        <v>101476.09999999999</v>
      </c>
      <c r="R132" s="2">
        <v>101476.09999999999</v>
      </c>
      <c r="S132" s="2">
        <v>101476.09999999999</v>
      </c>
      <c r="T132" s="2">
        <v>101476.09999999999</v>
      </c>
      <c r="U132" s="2">
        <v>101476.09999999999</v>
      </c>
      <c r="V132" s="2">
        <v>101476.09999999999</v>
      </c>
      <c r="W132" s="2">
        <v>101476.09999999999</v>
      </c>
      <c r="X132" s="2">
        <v>101476.09999999999</v>
      </c>
      <c r="Y132" s="2">
        <v>101476.09999999999</v>
      </c>
      <c r="Z132" s="2">
        <v>101476.09999999999</v>
      </c>
      <c r="AA132" s="2">
        <v>101476.09999999999</v>
      </c>
      <c r="AB132" s="2">
        <v>101476.09999999999</v>
      </c>
      <c r="AC132" s="2">
        <v>101476.09999999999</v>
      </c>
      <c r="AD132" s="2">
        <v>101476.09999999999</v>
      </c>
      <c r="AE132" s="2">
        <v>101476.09999999999</v>
      </c>
      <c r="AF132" s="7">
        <v>101476.09999999999</v>
      </c>
      <c r="AG132" s="9">
        <f t="shared" si="5"/>
        <v>101476.09999999999</v>
      </c>
      <c r="AH132" s="44">
        <v>101476.1</v>
      </c>
    </row>
    <row r="133" spans="1:34" x14ac:dyDescent="0.35">
      <c r="A133" s="27" t="s">
        <v>306</v>
      </c>
      <c r="B133" s="19">
        <v>100866.39000000003</v>
      </c>
      <c r="C133" s="2">
        <v>100866.39000000003</v>
      </c>
      <c r="D133" s="2">
        <v>100866.39000000003</v>
      </c>
      <c r="E133" s="2">
        <v>100866.39000000003</v>
      </c>
      <c r="F133" s="2">
        <v>100866.39000000003</v>
      </c>
      <c r="G133" s="2">
        <v>100866.39000000003</v>
      </c>
      <c r="H133" s="2">
        <v>100866.39000000003</v>
      </c>
      <c r="I133" s="2">
        <v>100866.39000000003</v>
      </c>
      <c r="J133" s="2">
        <v>100866.39000000003</v>
      </c>
      <c r="K133" s="2">
        <v>100866.39000000003</v>
      </c>
      <c r="L133" s="2">
        <v>100866.39000000003</v>
      </c>
      <c r="M133" s="2">
        <v>100866.39000000003</v>
      </c>
      <c r="N133" s="2">
        <v>100866.39000000003</v>
      </c>
      <c r="O133" s="2">
        <v>100866.39000000003</v>
      </c>
      <c r="P133" s="2">
        <v>100866.39000000003</v>
      </c>
      <c r="Q133" s="2">
        <v>100866.39000000003</v>
      </c>
      <c r="R133" s="2">
        <v>100866.39000000003</v>
      </c>
      <c r="S133" s="2">
        <v>100866.39000000003</v>
      </c>
      <c r="T133" s="2">
        <v>100866.39000000003</v>
      </c>
      <c r="U133" s="2">
        <v>100866.39000000003</v>
      </c>
      <c r="V133" s="2">
        <v>100866.39000000003</v>
      </c>
      <c r="W133" s="2">
        <v>100866.39000000003</v>
      </c>
      <c r="X133" s="2">
        <v>100866.39000000003</v>
      </c>
      <c r="Y133" s="2">
        <v>100866.39000000003</v>
      </c>
      <c r="Z133" s="2">
        <v>100866.39000000003</v>
      </c>
      <c r="AA133" s="2">
        <v>100866.39000000003</v>
      </c>
      <c r="AB133" s="2">
        <v>100866.39000000003</v>
      </c>
      <c r="AC133" s="2">
        <v>100866.39000000003</v>
      </c>
      <c r="AD133" s="2">
        <v>100866.39000000003</v>
      </c>
      <c r="AE133" s="2">
        <v>100866.39000000003</v>
      </c>
      <c r="AF133" s="7">
        <v>100866.39000000003</v>
      </c>
      <c r="AG133" s="9">
        <f t="shared" si="5"/>
        <v>100866.39000000003</v>
      </c>
      <c r="AH133" s="44">
        <v>100866.39</v>
      </c>
    </row>
    <row r="134" spans="1:34" x14ac:dyDescent="0.35">
      <c r="A134" s="28" t="s">
        <v>308</v>
      </c>
      <c r="B134" s="23">
        <v>101852.22</v>
      </c>
      <c r="C134" s="24">
        <v>101852.22</v>
      </c>
      <c r="D134" s="24">
        <v>101852.22</v>
      </c>
      <c r="E134" s="24">
        <v>101852.22</v>
      </c>
      <c r="F134" s="24">
        <v>101852.22</v>
      </c>
      <c r="G134" s="24">
        <v>101852.22</v>
      </c>
      <c r="H134" s="24">
        <v>101852.22</v>
      </c>
      <c r="I134" s="24">
        <v>101852.22</v>
      </c>
      <c r="J134" s="24">
        <v>101852.22</v>
      </c>
      <c r="K134" s="24">
        <v>101852.22</v>
      </c>
      <c r="L134" s="24">
        <v>101852.22</v>
      </c>
      <c r="M134" s="24">
        <v>101852.22</v>
      </c>
      <c r="N134" s="24">
        <v>101852.22</v>
      </c>
      <c r="O134" s="24">
        <v>101852.22</v>
      </c>
      <c r="P134" s="24">
        <v>101852.22</v>
      </c>
      <c r="Q134" s="24">
        <v>101852.22</v>
      </c>
      <c r="R134" s="24">
        <v>101852.22</v>
      </c>
      <c r="S134" s="24">
        <v>101852.22</v>
      </c>
      <c r="T134" s="24">
        <v>101852.22</v>
      </c>
      <c r="U134" s="24">
        <v>101852.22</v>
      </c>
      <c r="V134" s="24">
        <v>101852.22</v>
      </c>
      <c r="W134" s="24">
        <v>101852.22</v>
      </c>
      <c r="X134" s="24">
        <v>101852.22</v>
      </c>
      <c r="Y134" s="24">
        <v>101852.22</v>
      </c>
      <c r="Z134" s="24">
        <v>101852.22</v>
      </c>
      <c r="AA134" s="24">
        <v>101852.22</v>
      </c>
      <c r="AB134" s="24">
        <v>101852.22</v>
      </c>
      <c r="AC134" s="24">
        <v>101852.22</v>
      </c>
      <c r="AD134" s="24">
        <v>101852.22</v>
      </c>
      <c r="AE134" s="24">
        <v>101852.22</v>
      </c>
      <c r="AF134" s="25">
        <v>101852.22</v>
      </c>
      <c r="AG134" s="9">
        <f t="shared" si="5"/>
        <v>101852.22</v>
      </c>
      <c r="AH134" s="44">
        <v>101852.22</v>
      </c>
    </row>
    <row r="135" spans="1:34" ht="15" thickBot="1" x14ac:dyDescent="0.4">
      <c r="A135" s="27" t="s">
        <v>307</v>
      </c>
      <c r="B135" s="19">
        <v>102275.73000000001</v>
      </c>
      <c r="C135" s="2">
        <v>102275.73000000001</v>
      </c>
      <c r="D135" s="2">
        <v>102275.73000000001</v>
      </c>
      <c r="E135" s="2">
        <v>102275.73000000001</v>
      </c>
      <c r="F135" s="2">
        <v>102275.73000000001</v>
      </c>
      <c r="G135" s="2">
        <v>102275.73000000001</v>
      </c>
      <c r="H135" s="2">
        <v>102275.73000000001</v>
      </c>
      <c r="I135" s="2">
        <v>102275.73000000001</v>
      </c>
      <c r="J135" s="2">
        <v>102275.73000000001</v>
      </c>
      <c r="K135" s="2">
        <v>102275.73000000001</v>
      </c>
      <c r="L135" s="2">
        <v>102275.73000000001</v>
      </c>
      <c r="M135" s="2">
        <v>102275.73000000001</v>
      </c>
      <c r="N135" s="2">
        <v>102275.73000000001</v>
      </c>
      <c r="O135" s="2">
        <v>102275.73000000001</v>
      </c>
      <c r="P135" s="2">
        <v>102275.73000000001</v>
      </c>
      <c r="Q135" s="2">
        <v>102275.73000000001</v>
      </c>
      <c r="R135" s="2">
        <v>102275.73000000001</v>
      </c>
      <c r="S135" s="2">
        <v>102275.73000000001</v>
      </c>
      <c r="T135" s="2">
        <v>102275.73000000001</v>
      </c>
      <c r="U135" s="2">
        <v>102275.73000000001</v>
      </c>
      <c r="V135" s="2">
        <v>102275.73000000001</v>
      </c>
      <c r="W135" s="2">
        <v>102275.73000000001</v>
      </c>
      <c r="X135" s="2">
        <v>102275.73000000001</v>
      </c>
      <c r="Y135" s="2">
        <v>102275.73000000001</v>
      </c>
      <c r="Z135" s="2">
        <v>102275.73000000001</v>
      </c>
      <c r="AA135" s="2">
        <v>102275.73000000001</v>
      </c>
      <c r="AB135" s="2">
        <v>102275.73000000001</v>
      </c>
      <c r="AC135" s="2">
        <v>102275.73000000001</v>
      </c>
      <c r="AD135" s="2">
        <v>102275.73000000001</v>
      </c>
      <c r="AE135" s="2">
        <v>102275.73000000001</v>
      </c>
      <c r="AF135" s="2">
        <v>102275.73000000001</v>
      </c>
      <c r="AG135" s="16">
        <f t="shared" si="5"/>
        <v>102275.73000000001</v>
      </c>
      <c r="AH135" s="44">
        <v>102275.73</v>
      </c>
    </row>
    <row r="136" spans="1:34" x14ac:dyDescent="0.35">
      <c r="A136" s="29" t="s">
        <v>273</v>
      </c>
      <c r="B136" s="267">
        <v>112344.72</v>
      </c>
      <c r="C136" s="268">
        <v>112344.72</v>
      </c>
      <c r="D136" s="268">
        <v>112344.72</v>
      </c>
      <c r="E136" s="268">
        <v>112344.72</v>
      </c>
      <c r="F136" s="268">
        <v>112344.72</v>
      </c>
      <c r="G136" s="268">
        <v>112344.72</v>
      </c>
      <c r="H136" s="268">
        <v>112344.72</v>
      </c>
      <c r="I136" s="268">
        <v>112344.72</v>
      </c>
      <c r="J136" s="268">
        <v>112344.72</v>
      </c>
      <c r="K136" s="268">
        <v>112344.72</v>
      </c>
      <c r="L136" s="268">
        <v>112344.72</v>
      </c>
      <c r="M136" s="268">
        <v>112344.72</v>
      </c>
      <c r="N136" s="268">
        <v>112344.72</v>
      </c>
      <c r="O136" s="268">
        <v>112344.72</v>
      </c>
      <c r="P136" s="268">
        <v>112344.72</v>
      </c>
      <c r="Q136" s="268">
        <v>112344.72</v>
      </c>
      <c r="R136" s="268">
        <v>112344.72</v>
      </c>
      <c r="S136" s="268">
        <v>112344.72</v>
      </c>
      <c r="T136" s="268">
        <v>112344.72</v>
      </c>
      <c r="U136" s="268">
        <v>112344.72</v>
      </c>
      <c r="V136" s="268">
        <v>112344.72</v>
      </c>
      <c r="W136" s="268">
        <v>112344.72</v>
      </c>
      <c r="X136" s="268">
        <v>112344.72</v>
      </c>
      <c r="Y136" s="268">
        <v>112344.72</v>
      </c>
      <c r="Z136" s="268">
        <v>112344.72</v>
      </c>
      <c r="AA136" s="268">
        <v>112344.72</v>
      </c>
      <c r="AB136" s="268">
        <v>112344.72</v>
      </c>
      <c r="AC136" s="268">
        <v>112344.72</v>
      </c>
      <c r="AD136" s="268">
        <v>112344.72</v>
      </c>
      <c r="AE136" s="268">
        <v>112344.72</v>
      </c>
      <c r="AF136" s="269">
        <v>112344.72</v>
      </c>
      <c r="AG136" s="254">
        <f t="shared" si="5"/>
        <v>112344.72</v>
      </c>
      <c r="AH136" s="44">
        <v>112344.72</v>
      </c>
    </row>
    <row r="137" spans="1:34" x14ac:dyDescent="0.35">
      <c r="A137" s="30" t="s">
        <v>275</v>
      </c>
      <c r="B137" s="270">
        <v>106250.8</v>
      </c>
      <c r="C137" s="271">
        <v>106250.8</v>
      </c>
      <c r="D137" s="271">
        <v>106250.8</v>
      </c>
      <c r="E137" s="271">
        <v>106250.8</v>
      </c>
      <c r="F137" s="271">
        <v>106250.8</v>
      </c>
      <c r="G137" s="271">
        <v>106250.8</v>
      </c>
      <c r="H137" s="271">
        <v>106250.8</v>
      </c>
      <c r="I137" s="271">
        <v>106250.8</v>
      </c>
      <c r="J137" s="271">
        <v>106250.8</v>
      </c>
      <c r="K137" s="271">
        <v>106250.8</v>
      </c>
      <c r="L137" s="271">
        <v>106250.8</v>
      </c>
      <c r="M137" s="271">
        <v>106250.8</v>
      </c>
      <c r="N137" s="271">
        <v>106250.8</v>
      </c>
      <c r="O137" s="271">
        <v>106250.8</v>
      </c>
      <c r="P137" s="271">
        <v>106250.8</v>
      </c>
      <c r="Q137" s="271">
        <v>106250.8</v>
      </c>
      <c r="R137" s="271">
        <v>106250.8</v>
      </c>
      <c r="S137" s="271">
        <v>106250.8</v>
      </c>
      <c r="T137" s="271">
        <v>106250.8</v>
      </c>
      <c r="U137" s="271">
        <v>106250.8</v>
      </c>
      <c r="V137" s="271">
        <v>106250.8</v>
      </c>
      <c r="W137" s="271">
        <v>106250.8</v>
      </c>
      <c r="X137" s="271">
        <v>106250.8</v>
      </c>
      <c r="Y137" s="271">
        <v>106250.8</v>
      </c>
      <c r="Z137" s="271">
        <v>106250.8</v>
      </c>
      <c r="AA137" s="271">
        <v>106250.8</v>
      </c>
      <c r="AB137" s="271">
        <v>106250.8</v>
      </c>
      <c r="AC137" s="271">
        <v>106250.8</v>
      </c>
      <c r="AD137" s="271">
        <v>106250.8</v>
      </c>
      <c r="AE137" s="271">
        <v>106250.8</v>
      </c>
      <c r="AF137" s="272">
        <v>106250.8</v>
      </c>
      <c r="AG137" s="257">
        <f t="shared" si="5"/>
        <v>106250.8</v>
      </c>
      <c r="AH137" s="44">
        <v>106250.8</v>
      </c>
    </row>
    <row r="138" spans="1:34" x14ac:dyDescent="0.35">
      <c r="A138" s="30" t="s">
        <v>276</v>
      </c>
      <c r="B138" s="270">
        <v>440284</v>
      </c>
      <c r="C138" s="271">
        <v>440284</v>
      </c>
      <c r="D138" s="271">
        <v>440284</v>
      </c>
      <c r="E138" s="271">
        <v>440284</v>
      </c>
      <c r="F138" s="271">
        <v>440284</v>
      </c>
      <c r="G138" s="271">
        <v>440284</v>
      </c>
      <c r="H138" s="271">
        <v>440284</v>
      </c>
      <c r="I138" s="271">
        <v>440284</v>
      </c>
      <c r="J138" s="271">
        <v>440284</v>
      </c>
      <c r="K138" s="271">
        <v>440284</v>
      </c>
      <c r="L138" s="271">
        <v>440284</v>
      </c>
      <c r="M138" s="271">
        <v>440284</v>
      </c>
      <c r="N138" s="271">
        <v>440284</v>
      </c>
      <c r="O138" s="271">
        <v>440284</v>
      </c>
      <c r="P138" s="271">
        <v>440284</v>
      </c>
      <c r="Q138" s="271">
        <v>440284</v>
      </c>
      <c r="R138" s="271">
        <v>440284</v>
      </c>
      <c r="S138" s="271">
        <v>440284</v>
      </c>
      <c r="T138" s="271">
        <v>440284</v>
      </c>
      <c r="U138" s="271">
        <v>440284</v>
      </c>
      <c r="V138" s="271">
        <v>440284</v>
      </c>
      <c r="W138" s="271">
        <v>440284</v>
      </c>
      <c r="X138" s="271">
        <v>440284</v>
      </c>
      <c r="Y138" s="271">
        <v>440284</v>
      </c>
      <c r="Z138" s="271">
        <v>440284</v>
      </c>
      <c r="AA138" s="271">
        <v>440284</v>
      </c>
      <c r="AB138" s="271">
        <v>440284</v>
      </c>
      <c r="AC138" s="271">
        <v>440284</v>
      </c>
      <c r="AD138" s="271">
        <v>440284</v>
      </c>
      <c r="AE138" s="271">
        <v>440284</v>
      </c>
      <c r="AF138" s="272">
        <v>440284</v>
      </c>
      <c r="AG138" s="257">
        <f t="shared" si="5"/>
        <v>440284</v>
      </c>
      <c r="AH138" s="44">
        <v>440284</v>
      </c>
    </row>
    <row r="139" spans="1:34" x14ac:dyDescent="0.35">
      <c r="A139" s="30" t="s">
        <v>277</v>
      </c>
      <c r="B139" s="270">
        <v>439431.32</v>
      </c>
      <c r="C139" s="271">
        <v>439431.32</v>
      </c>
      <c r="D139" s="271">
        <v>439431.32</v>
      </c>
      <c r="E139" s="271">
        <v>439431.32</v>
      </c>
      <c r="F139" s="271">
        <v>439431.32</v>
      </c>
      <c r="G139" s="271">
        <v>439431.32</v>
      </c>
      <c r="H139" s="271">
        <v>439431.32</v>
      </c>
      <c r="I139" s="271">
        <v>439431.32</v>
      </c>
      <c r="J139" s="271">
        <v>439431.32</v>
      </c>
      <c r="K139" s="271">
        <v>439431.32</v>
      </c>
      <c r="L139" s="271">
        <v>439431.32</v>
      </c>
      <c r="M139" s="271">
        <v>439431.32</v>
      </c>
      <c r="N139" s="271">
        <v>439431.32</v>
      </c>
      <c r="O139" s="271">
        <v>439431.32</v>
      </c>
      <c r="P139" s="271">
        <v>439431.32</v>
      </c>
      <c r="Q139" s="271">
        <v>439431.32</v>
      </c>
      <c r="R139" s="271">
        <v>439431.32</v>
      </c>
      <c r="S139" s="271">
        <v>439431.32</v>
      </c>
      <c r="T139" s="271">
        <v>439431.32</v>
      </c>
      <c r="U139" s="271">
        <v>439431.32</v>
      </c>
      <c r="V139" s="271">
        <v>439431.32</v>
      </c>
      <c r="W139" s="271">
        <v>439431.32</v>
      </c>
      <c r="X139" s="271">
        <v>439431.32</v>
      </c>
      <c r="Y139" s="271">
        <v>439431.32</v>
      </c>
      <c r="Z139" s="271">
        <v>439431.32</v>
      </c>
      <c r="AA139" s="271">
        <v>439431.32</v>
      </c>
      <c r="AB139" s="271">
        <v>439431.32</v>
      </c>
      <c r="AC139" s="271">
        <v>439431.32</v>
      </c>
      <c r="AD139" s="271">
        <v>439431.32</v>
      </c>
      <c r="AE139" s="271">
        <v>439431.32</v>
      </c>
      <c r="AF139" s="272">
        <v>439431.32</v>
      </c>
      <c r="AG139" s="257">
        <f t="shared" si="5"/>
        <v>439431.32</v>
      </c>
      <c r="AH139" s="44">
        <v>439431.32</v>
      </c>
    </row>
    <row r="140" spans="1:34" x14ac:dyDescent="0.35">
      <c r="A140" s="30" t="s">
        <v>278</v>
      </c>
      <c r="B140" s="270">
        <v>413696</v>
      </c>
      <c r="C140" s="271">
        <v>413696</v>
      </c>
      <c r="D140" s="271">
        <v>413696</v>
      </c>
      <c r="E140" s="271">
        <v>413696</v>
      </c>
      <c r="F140" s="271">
        <v>413696</v>
      </c>
      <c r="G140" s="271">
        <v>413696</v>
      </c>
      <c r="H140" s="271">
        <v>413696</v>
      </c>
      <c r="I140" s="271">
        <v>413696</v>
      </c>
      <c r="J140" s="271">
        <v>413696</v>
      </c>
      <c r="K140" s="271">
        <v>413696</v>
      </c>
      <c r="L140" s="271">
        <v>413696</v>
      </c>
      <c r="M140" s="271">
        <v>413696</v>
      </c>
      <c r="N140" s="271">
        <v>413696</v>
      </c>
      <c r="O140" s="271">
        <v>413696</v>
      </c>
      <c r="P140" s="271">
        <v>413696</v>
      </c>
      <c r="Q140" s="271">
        <v>413696</v>
      </c>
      <c r="R140" s="271">
        <v>413696</v>
      </c>
      <c r="S140" s="271">
        <v>413696</v>
      </c>
      <c r="T140" s="271">
        <v>413696</v>
      </c>
      <c r="U140" s="271">
        <v>413696</v>
      </c>
      <c r="V140" s="271">
        <v>413696</v>
      </c>
      <c r="W140" s="271">
        <v>413696</v>
      </c>
      <c r="X140" s="271">
        <v>413696</v>
      </c>
      <c r="Y140" s="271">
        <v>413696</v>
      </c>
      <c r="Z140" s="271">
        <v>413696</v>
      </c>
      <c r="AA140" s="271">
        <v>413696</v>
      </c>
      <c r="AB140" s="271">
        <v>413696</v>
      </c>
      <c r="AC140" s="271">
        <v>413696</v>
      </c>
      <c r="AD140" s="271">
        <v>413696</v>
      </c>
      <c r="AE140" s="271">
        <v>413696</v>
      </c>
      <c r="AF140" s="272">
        <v>413696</v>
      </c>
      <c r="AG140" s="257">
        <f t="shared" si="5"/>
        <v>413696</v>
      </c>
      <c r="AH140" s="44">
        <v>413696</v>
      </c>
    </row>
    <row r="141" spans="1:34" x14ac:dyDescent="0.35">
      <c r="A141" s="30" t="s">
        <v>279</v>
      </c>
      <c r="B141" s="270">
        <v>427433.6</v>
      </c>
      <c r="C141" s="271">
        <v>427433.6</v>
      </c>
      <c r="D141" s="271">
        <v>427433.6</v>
      </c>
      <c r="E141" s="271">
        <v>427433.6</v>
      </c>
      <c r="F141" s="271">
        <v>427433.6</v>
      </c>
      <c r="G141" s="271">
        <v>427433.6</v>
      </c>
      <c r="H141" s="271">
        <v>427433.6</v>
      </c>
      <c r="I141" s="271">
        <v>427433.6</v>
      </c>
      <c r="J141" s="271">
        <v>427433.6</v>
      </c>
      <c r="K141" s="271">
        <v>427433.6</v>
      </c>
      <c r="L141" s="271">
        <v>427433.6</v>
      </c>
      <c r="M141" s="271">
        <v>427433.6</v>
      </c>
      <c r="N141" s="271">
        <v>427433.6</v>
      </c>
      <c r="O141" s="271">
        <v>427433.6</v>
      </c>
      <c r="P141" s="271">
        <v>427433.6</v>
      </c>
      <c r="Q141" s="271">
        <v>427433.6</v>
      </c>
      <c r="R141" s="271">
        <v>427433.6</v>
      </c>
      <c r="S141" s="271">
        <v>427433.6</v>
      </c>
      <c r="T141" s="271">
        <v>427433.6</v>
      </c>
      <c r="U141" s="271">
        <v>427433.6</v>
      </c>
      <c r="V141" s="271">
        <v>427433.6</v>
      </c>
      <c r="W141" s="271">
        <v>427433.6</v>
      </c>
      <c r="X141" s="271">
        <v>427433.6</v>
      </c>
      <c r="Y141" s="271">
        <v>427433.6</v>
      </c>
      <c r="Z141" s="271">
        <v>427433.6</v>
      </c>
      <c r="AA141" s="271">
        <v>427433.6</v>
      </c>
      <c r="AB141" s="271">
        <v>427433.6</v>
      </c>
      <c r="AC141" s="271">
        <v>427433.6</v>
      </c>
      <c r="AD141" s="271">
        <v>427433.6</v>
      </c>
      <c r="AE141" s="271">
        <v>427433.6</v>
      </c>
      <c r="AF141" s="272">
        <v>427433.6</v>
      </c>
      <c r="AG141" s="257">
        <f t="shared" si="5"/>
        <v>427433.6</v>
      </c>
      <c r="AH141" s="44">
        <v>427433.6</v>
      </c>
    </row>
    <row r="142" spans="1:34" x14ac:dyDescent="0.35">
      <c r="A142" s="30" t="s">
        <v>280</v>
      </c>
      <c r="B142" s="270">
        <v>417240</v>
      </c>
      <c r="C142" s="271">
        <v>417240</v>
      </c>
      <c r="D142" s="271">
        <v>417240</v>
      </c>
      <c r="E142" s="271">
        <v>417240</v>
      </c>
      <c r="F142" s="271">
        <v>417240</v>
      </c>
      <c r="G142" s="271">
        <v>417240</v>
      </c>
      <c r="H142" s="271">
        <v>417240</v>
      </c>
      <c r="I142" s="271">
        <v>417240</v>
      </c>
      <c r="J142" s="271">
        <v>417240</v>
      </c>
      <c r="K142" s="271">
        <v>417240</v>
      </c>
      <c r="L142" s="271">
        <v>417240</v>
      </c>
      <c r="M142" s="271">
        <v>417240</v>
      </c>
      <c r="N142" s="271">
        <v>417240</v>
      </c>
      <c r="O142" s="271">
        <v>417240</v>
      </c>
      <c r="P142" s="271">
        <v>417240</v>
      </c>
      <c r="Q142" s="271">
        <v>417240</v>
      </c>
      <c r="R142" s="271">
        <v>417240</v>
      </c>
      <c r="S142" s="271">
        <v>417240</v>
      </c>
      <c r="T142" s="271">
        <v>417240</v>
      </c>
      <c r="U142" s="271">
        <v>417240</v>
      </c>
      <c r="V142" s="271">
        <v>417240</v>
      </c>
      <c r="W142" s="271">
        <v>417240</v>
      </c>
      <c r="X142" s="271">
        <v>417240</v>
      </c>
      <c r="Y142" s="271">
        <v>417240</v>
      </c>
      <c r="Z142" s="271">
        <v>417240</v>
      </c>
      <c r="AA142" s="271">
        <v>417240</v>
      </c>
      <c r="AB142" s="271">
        <v>417240</v>
      </c>
      <c r="AC142" s="271">
        <v>417240</v>
      </c>
      <c r="AD142" s="271">
        <v>417240</v>
      </c>
      <c r="AE142" s="271">
        <v>417240</v>
      </c>
      <c r="AF142" s="272">
        <v>417240</v>
      </c>
      <c r="AG142" s="257">
        <f t="shared" si="5"/>
        <v>417240</v>
      </c>
      <c r="AH142" s="44">
        <v>417240</v>
      </c>
    </row>
    <row r="143" spans="1:34" x14ac:dyDescent="0.35">
      <c r="A143" s="30" t="s">
        <v>281</v>
      </c>
      <c r="B143" s="270">
        <v>415256</v>
      </c>
      <c r="C143" s="271">
        <v>415256</v>
      </c>
      <c r="D143" s="271">
        <v>415256</v>
      </c>
      <c r="E143" s="271">
        <v>415256</v>
      </c>
      <c r="F143" s="271">
        <v>415256</v>
      </c>
      <c r="G143" s="271">
        <v>415256</v>
      </c>
      <c r="H143" s="271">
        <v>415256</v>
      </c>
      <c r="I143" s="271">
        <v>415256</v>
      </c>
      <c r="J143" s="271">
        <v>415256</v>
      </c>
      <c r="K143" s="271">
        <v>415256</v>
      </c>
      <c r="L143" s="271">
        <v>415256</v>
      </c>
      <c r="M143" s="271">
        <v>415256</v>
      </c>
      <c r="N143" s="271">
        <v>415256</v>
      </c>
      <c r="O143" s="271">
        <v>415256</v>
      </c>
      <c r="P143" s="271">
        <v>415256</v>
      </c>
      <c r="Q143" s="271">
        <v>415256</v>
      </c>
      <c r="R143" s="271">
        <v>415256</v>
      </c>
      <c r="S143" s="271">
        <v>415256</v>
      </c>
      <c r="T143" s="271">
        <v>415256</v>
      </c>
      <c r="U143" s="271">
        <v>415256</v>
      </c>
      <c r="V143" s="271">
        <v>415256</v>
      </c>
      <c r="W143" s="271">
        <v>415256</v>
      </c>
      <c r="X143" s="271">
        <v>415256</v>
      </c>
      <c r="Y143" s="271">
        <v>415256</v>
      </c>
      <c r="Z143" s="271">
        <v>415256</v>
      </c>
      <c r="AA143" s="271">
        <v>415256</v>
      </c>
      <c r="AB143" s="271">
        <v>415256</v>
      </c>
      <c r="AC143" s="271">
        <v>415256</v>
      </c>
      <c r="AD143" s="271">
        <v>415256</v>
      </c>
      <c r="AE143" s="271">
        <v>415256</v>
      </c>
      <c r="AF143" s="272">
        <v>415256</v>
      </c>
      <c r="AG143" s="257">
        <f t="shared" si="5"/>
        <v>415256</v>
      </c>
      <c r="AH143" s="44">
        <v>415256</v>
      </c>
    </row>
    <row r="144" spans="1:34" x14ac:dyDescent="0.35">
      <c r="A144" s="30" t="s">
        <v>282</v>
      </c>
      <c r="B144" s="270">
        <v>398196.04</v>
      </c>
      <c r="C144" s="271">
        <v>398196.04</v>
      </c>
      <c r="D144" s="271">
        <v>398196.04</v>
      </c>
      <c r="E144" s="271">
        <v>398196.04</v>
      </c>
      <c r="F144" s="271">
        <v>398196.04</v>
      </c>
      <c r="G144" s="271">
        <v>398196.04</v>
      </c>
      <c r="H144" s="271">
        <v>398196.04</v>
      </c>
      <c r="I144" s="271">
        <v>398196.04</v>
      </c>
      <c r="J144" s="271">
        <v>398196.04</v>
      </c>
      <c r="K144" s="271">
        <v>398196.04</v>
      </c>
      <c r="L144" s="271">
        <v>398196.04</v>
      </c>
      <c r="M144" s="271">
        <v>398196.04</v>
      </c>
      <c r="N144" s="271">
        <v>398196.04</v>
      </c>
      <c r="O144" s="271">
        <v>398196.04</v>
      </c>
      <c r="P144" s="271">
        <v>398196.04</v>
      </c>
      <c r="Q144" s="271">
        <v>398196.04</v>
      </c>
      <c r="R144" s="271">
        <v>398196.04</v>
      </c>
      <c r="S144" s="271">
        <v>398196.04</v>
      </c>
      <c r="T144" s="271">
        <v>398196.04</v>
      </c>
      <c r="U144" s="271">
        <v>398196.04</v>
      </c>
      <c r="V144" s="271">
        <v>398196.04</v>
      </c>
      <c r="W144" s="271">
        <v>398196.04</v>
      </c>
      <c r="X144" s="271">
        <v>398196.04</v>
      </c>
      <c r="Y144" s="271">
        <v>398196.04</v>
      </c>
      <c r="Z144" s="271">
        <v>398196.04</v>
      </c>
      <c r="AA144" s="271">
        <v>398196.04</v>
      </c>
      <c r="AB144" s="271">
        <v>398196.04</v>
      </c>
      <c r="AC144" s="271">
        <v>398196.04</v>
      </c>
      <c r="AD144" s="271">
        <v>398196.04</v>
      </c>
      <c r="AE144" s="271">
        <v>398196.04</v>
      </c>
      <c r="AF144" s="272">
        <v>398196.04</v>
      </c>
      <c r="AG144" s="257">
        <f t="shared" si="5"/>
        <v>398196.04</v>
      </c>
      <c r="AH144" s="44">
        <v>398196.04</v>
      </c>
    </row>
    <row r="145" spans="1:34" x14ac:dyDescent="0.35">
      <c r="A145" s="30" t="s">
        <v>283</v>
      </c>
      <c r="B145" s="270">
        <v>433469</v>
      </c>
      <c r="C145" s="271">
        <v>433469</v>
      </c>
      <c r="D145" s="271">
        <v>433469</v>
      </c>
      <c r="E145" s="271">
        <v>433469</v>
      </c>
      <c r="F145" s="271">
        <v>433469</v>
      </c>
      <c r="G145" s="271">
        <v>433469</v>
      </c>
      <c r="H145" s="271">
        <v>433469</v>
      </c>
      <c r="I145" s="271">
        <v>433469</v>
      </c>
      <c r="J145" s="271">
        <v>433469</v>
      </c>
      <c r="K145" s="271">
        <v>433469</v>
      </c>
      <c r="L145" s="271">
        <v>433469</v>
      </c>
      <c r="M145" s="271">
        <v>433469</v>
      </c>
      <c r="N145" s="271">
        <v>433469</v>
      </c>
      <c r="O145" s="271">
        <v>433469</v>
      </c>
      <c r="P145" s="271">
        <v>433469</v>
      </c>
      <c r="Q145" s="271">
        <v>433469</v>
      </c>
      <c r="R145" s="271">
        <v>433469</v>
      </c>
      <c r="S145" s="271">
        <v>433469</v>
      </c>
      <c r="T145" s="271">
        <v>433469</v>
      </c>
      <c r="U145" s="271">
        <v>433469</v>
      </c>
      <c r="V145" s="271">
        <v>433469</v>
      </c>
      <c r="W145" s="271">
        <v>433469</v>
      </c>
      <c r="X145" s="271">
        <v>433469</v>
      </c>
      <c r="Y145" s="271">
        <v>433469</v>
      </c>
      <c r="Z145" s="271">
        <v>433469</v>
      </c>
      <c r="AA145" s="271">
        <v>433469</v>
      </c>
      <c r="AB145" s="271">
        <v>433469</v>
      </c>
      <c r="AC145" s="271">
        <v>433469</v>
      </c>
      <c r="AD145" s="271">
        <v>433469</v>
      </c>
      <c r="AE145" s="271">
        <v>433469</v>
      </c>
      <c r="AF145" s="272">
        <v>433469</v>
      </c>
      <c r="AG145" s="257">
        <f t="shared" si="5"/>
        <v>433469</v>
      </c>
      <c r="AH145" s="44">
        <v>433469</v>
      </c>
    </row>
    <row r="146" spans="1:34" x14ac:dyDescent="0.35">
      <c r="A146" s="30" t="s">
        <v>284</v>
      </c>
      <c r="B146" s="270">
        <v>416804</v>
      </c>
      <c r="C146" s="271">
        <v>416804</v>
      </c>
      <c r="D146" s="271">
        <v>416804</v>
      </c>
      <c r="E146" s="271">
        <v>416804</v>
      </c>
      <c r="F146" s="271">
        <v>416804</v>
      </c>
      <c r="G146" s="271">
        <v>416804</v>
      </c>
      <c r="H146" s="271">
        <v>416804</v>
      </c>
      <c r="I146" s="271">
        <v>416804</v>
      </c>
      <c r="J146" s="271">
        <v>416804</v>
      </c>
      <c r="K146" s="271">
        <v>416804</v>
      </c>
      <c r="L146" s="271">
        <v>416804</v>
      </c>
      <c r="M146" s="271">
        <v>416804</v>
      </c>
      <c r="N146" s="271">
        <v>416804</v>
      </c>
      <c r="O146" s="271">
        <v>416804</v>
      </c>
      <c r="P146" s="271">
        <v>416804</v>
      </c>
      <c r="Q146" s="271">
        <v>416804</v>
      </c>
      <c r="R146" s="271">
        <v>416804</v>
      </c>
      <c r="S146" s="271">
        <v>416804</v>
      </c>
      <c r="T146" s="271">
        <v>416804</v>
      </c>
      <c r="U146" s="271">
        <v>416804</v>
      </c>
      <c r="V146" s="271">
        <v>416804</v>
      </c>
      <c r="W146" s="271">
        <v>416804</v>
      </c>
      <c r="X146" s="271">
        <v>416804</v>
      </c>
      <c r="Y146" s="271">
        <v>416804</v>
      </c>
      <c r="Z146" s="271">
        <v>416804</v>
      </c>
      <c r="AA146" s="271">
        <v>416804</v>
      </c>
      <c r="AB146" s="271">
        <v>416804</v>
      </c>
      <c r="AC146" s="271">
        <v>416804</v>
      </c>
      <c r="AD146" s="271">
        <v>416804</v>
      </c>
      <c r="AE146" s="271">
        <v>416804</v>
      </c>
      <c r="AF146" s="272">
        <v>416804</v>
      </c>
      <c r="AG146" s="257">
        <f t="shared" si="5"/>
        <v>416804</v>
      </c>
      <c r="AH146" s="44">
        <v>416804</v>
      </c>
    </row>
    <row r="147" spans="1:34" x14ac:dyDescent="0.35">
      <c r="A147" s="30" t="s">
        <v>286</v>
      </c>
      <c r="B147" s="270">
        <v>407088</v>
      </c>
      <c r="C147" s="271">
        <v>407088</v>
      </c>
      <c r="D147" s="271">
        <v>407088</v>
      </c>
      <c r="E147" s="271">
        <v>407088</v>
      </c>
      <c r="F147" s="271">
        <v>407088</v>
      </c>
      <c r="G147" s="271">
        <v>407088</v>
      </c>
      <c r="H147" s="271">
        <v>407088</v>
      </c>
      <c r="I147" s="271">
        <v>407088</v>
      </c>
      <c r="J147" s="271">
        <v>407088</v>
      </c>
      <c r="K147" s="271">
        <v>407088</v>
      </c>
      <c r="L147" s="271">
        <v>407088</v>
      </c>
      <c r="M147" s="271">
        <v>407088</v>
      </c>
      <c r="N147" s="271">
        <v>407088</v>
      </c>
      <c r="O147" s="271">
        <v>407088</v>
      </c>
      <c r="P147" s="271">
        <v>407088</v>
      </c>
      <c r="Q147" s="271">
        <v>407088</v>
      </c>
      <c r="R147" s="271">
        <v>407088</v>
      </c>
      <c r="S147" s="271">
        <v>407088</v>
      </c>
      <c r="T147" s="271">
        <v>407088</v>
      </c>
      <c r="U147" s="271">
        <v>407088</v>
      </c>
      <c r="V147" s="271">
        <v>407088</v>
      </c>
      <c r="W147" s="271">
        <v>407088</v>
      </c>
      <c r="X147" s="271">
        <v>407088</v>
      </c>
      <c r="Y147" s="271">
        <v>407088</v>
      </c>
      <c r="Z147" s="271">
        <v>407088</v>
      </c>
      <c r="AA147" s="271">
        <v>407088</v>
      </c>
      <c r="AB147" s="271">
        <v>407088</v>
      </c>
      <c r="AC147" s="271">
        <v>407088</v>
      </c>
      <c r="AD147" s="271">
        <v>407088</v>
      </c>
      <c r="AE147" s="271">
        <v>407088</v>
      </c>
      <c r="AF147" s="272">
        <v>407088</v>
      </c>
      <c r="AG147" s="257">
        <f t="shared" si="5"/>
        <v>407088</v>
      </c>
      <c r="AH147" s="44">
        <v>407088</v>
      </c>
    </row>
    <row r="148" spans="1:34" x14ac:dyDescent="0.35">
      <c r="A148" s="30" t="s">
        <v>287</v>
      </c>
      <c r="B148" s="270">
        <v>415152</v>
      </c>
      <c r="C148" s="271">
        <v>415152</v>
      </c>
      <c r="D148" s="271">
        <v>415152</v>
      </c>
      <c r="E148" s="271">
        <v>415152</v>
      </c>
      <c r="F148" s="271">
        <v>415152</v>
      </c>
      <c r="G148" s="271">
        <v>415152</v>
      </c>
      <c r="H148" s="271">
        <v>415152</v>
      </c>
      <c r="I148" s="271">
        <v>415152</v>
      </c>
      <c r="J148" s="271">
        <v>415152</v>
      </c>
      <c r="K148" s="271">
        <v>415152</v>
      </c>
      <c r="L148" s="271">
        <v>415152</v>
      </c>
      <c r="M148" s="271">
        <v>415152</v>
      </c>
      <c r="N148" s="271">
        <v>415152</v>
      </c>
      <c r="O148" s="271">
        <v>415152</v>
      </c>
      <c r="P148" s="271">
        <v>415152</v>
      </c>
      <c r="Q148" s="271">
        <v>415152</v>
      </c>
      <c r="R148" s="271">
        <v>415152</v>
      </c>
      <c r="S148" s="271">
        <v>415152</v>
      </c>
      <c r="T148" s="271">
        <v>415152</v>
      </c>
      <c r="U148" s="271">
        <v>415152</v>
      </c>
      <c r="V148" s="271">
        <v>415152</v>
      </c>
      <c r="W148" s="271">
        <v>415152</v>
      </c>
      <c r="X148" s="271">
        <v>415152</v>
      </c>
      <c r="Y148" s="271">
        <v>415152</v>
      </c>
      <c r="Z148" s="271">
        <v>415152</v>
      </c>
      <c r="AA148" s="271">
        <v>415152</v>
      </c>
      <c r="AB148" s="271">
        <v>415152</v>
      </c>
      <c r="AC148" s="271">
        <v>415152</v>
      </c>
      <c r="AD148" s="271">
        <v>415152</v>
      </c>
      <c r="AE148" s="271">
        <v>415152</v>
      </c>
      <c r="AF148" s="272">
        <v>415152</v>
      </c>
      <c r="AG148" s="257">
        <f t="shared" si="5"/>
        <v>415152</v>
      </c>
      <c r="AH148" s="44">
        <v>415152</v>
      </c>
    </row>
    <row r="149" spans="1:34" x14ac:dyDescent="0.35">
      <c r="A149" s="30" t="s">
        <v>288</v>
      </c>
      <c r="B149" s="270">
        <v>410628</v>
      </c>
      <c r="C149" s="271">
        <v>410628</v>
      </c>
      <c r="D149" s="271">
        <v>410628</v>
      </c>
      <c r="E149" s="271">
        <v>410628</v>
      </c>
      <c r="F149" s="271">
        <v>410628</v>
      </c>
      <c r="G149" s="271">
        <v>410628</v>
      </c>
      <c r="H149" s="271">
        <v>410628</v>
      </c>
      <c r="I149" s="271">
        <v>410628</v>
      </c>
      <c r="J149" s="271">
        <v>410628</v>
      </c>
      <c r="K149" s="271">
        <v>410628</v>
      </c>
      <c r="L149" s="271">
        <v>410628</v>
      </c>
      <c r="M149" s="271">
        <v>410628</v>
      </c>
      <c r="N149" s="271">
        <v>410628</v>
      </c>
      <c r="O149" s="271">
        <v>410628</v>
      </c>
      <c r="P149" s="271">
        <v>410628</v>
      </c>
      <c r="Q149" s="271">
        <v>410628</v>
      </c>
      <c r="R149" s="271">
        <v>410628</v>
      </c>
      <c r="S149" s="271">
        <v>410628</v>
      </c>
      <c r="T149" s="271">
        <v>410628</v>
      </c>
      <c r="U149" s="271">
        <v>410628</v>
      </c>
      <c r="V149" s="271">
        <v>410628</v>
      </c>
      <c r="W149" s="271">
        <v>410628</v>
      </c>
      <c r="X149" s="271">
        <v>410628</v>
      </c>
      <c r="Y149" s="271">
        <v>410628</v>
      </c>
      <c r="Z149" s="271">
        <v>410628</v>
      </c>
      <c r="AA149" s="271">
        <v>410628</v>
      </c>
      <c r="AB149" s="271">
        <v>410628</v>
      </c>
      <c r="AC149" s="271">
        <v>410628</v>
      </c>
      <c r="AD149" s="271">
        <v>410628</v>
      </c>
      <c r="AE149" s="271">
        <v>410628</v>
      </c>
      <c r="AF149" s="272">
        <v>410628</v>
      </c>
      <c r="AG149" s="257">
        <f t="shared" si="5"/>
        <v>410628</v>
      </c>
      <c r="AH149" s="44">
        <v>410628</v>
      </c>
    </row>
    <row r="150" spans="1:34" x14ac:dyDescent="0.35">
      <c r="A150" s="30" t="s">
        <v>289</v>
      </c>
      <c r="B150" s="270">
        <v>430174.36</v>
      </c>
      <c r="C150" s="271">
        <v>430174.36</v>
      </c>
      <c r="D150" s="271">
        <v>430174.36</v>
      </c>
      <c r="E150" s="271">
        <v>430174.36</v>
      </c>
      <c r="F150" s="271">
        <v>430174.36</v>
      </c>
      <c r="G150" s="271">
        <v>430174.36</v>
      </c>
      <c r="H150" s="271">
        <v>430174.36</v>
      </c>
      <c r="I150" s="271">
        <v>430174.36</v>
      </c>
      <c r="J150" s="271">
        <v>430174.36</v>
      </c>
      <c r="K150" s="271">
        <v>430174.36</v>
      </c>
      <c r="L150" s="271">
        <v>430174.36</v>
      </c>
      <c r="M150" s="271">
        <v>430174.36</v>
      </c>
      <c r="N150" s="271">
        <v>430174.36</v>
      </c>
      <c r="O150" s="271">
        <v>430174.36</v>
      </c>
      <c r="P150" s="271">
        <v>430174.36</v>
      </c>
      <c r="Q150" s="271">
        <v>430174.36</v>
      </c>
      <c r="R150" s="271">
        <v>430174.36</v>
      </c>
      <c r="S150" s="271">
        <v>430174.36</v>
      </c>
      <c r="T150" s="271">
        <v>430174.36</v>
      </c>
      <c r="U150" s="271">
        <v>430174.36</v>
      </c>
      <c r="V150" s="271">
        <v>430174.36</v>
      </c>
      <c r="W150" s="271">
        <v>430174.36</v>
      </c>
      <c r="X150" s="271">
        <v>430174.36</v>
      </c>
      <c r="Y150" s="271">
        <v>430174.36</v>
      </c>
      <c r="Z150" s="271">
        <v>430174.36</v>
      </c>
      <c r="AA150" s="271">
        <v>430174.36</v>
      </c>
      <c r="AB150" s="271">
        <v>430174.36</v>
      </c>
      <c r="AC150" s="271">
        <v>430174.36</v>
      </c>
      <c r="AD150" s="271">
        <v>430174.36</v>
      </c>
      <c r="AE150" s="271">
        <v>430174.36</v>
      </c>
      <c r="AF150" s="272">
        <v>430174.36</v>
      </c>
      <c r="AG150" s="257">
        <f t="shared" si="5"/>
        <v>430174.36</v>
      </c>
      <c r="AH150" s="44">
        <v>430174.36</v>
      </c>
    </row>
    <row r="151" spans="1:34" x14ac:dyDescent="0.35">
      <c r="A151" s="30" t="s">
        <v>290</v>
      </c>
      <c r="B151" s="270">
        <v>410516</v>
      </c>
      <c r="C151" s="271">
        <v>410516</v>
      </c>
      <c r="D151" s="271">
        <v>410516</v>
      </c>
      <c r="E151" s="271">
        <v>410516</v>
      </c>
      <c r="F151" s="271">
        <v>410516</v>
      </c>
      <c r="G151" s="271">
        <v>410516</v>
      </c>
      <c r="H151" s="271">
        <v>410516</v>
      </c>
      <c r="I151" s="271">
        <v>410516</v>
      </c>
      <c r="J151" s="271">
        <v>410516</v>
      </c>
      <c r="K151" s="271">
        <v>410516</v>
      </c>
      <c r="L151" s="271">
        <v>410516</v>
      </c>
      <c r="M151" s="271">
        <v>410516</v>
      </c>
      <c r="N151" s="271">
        <v>410516</v>
      </c>
      <c r="O151" s="271">
        <v>410516</v>
      </c>
      <c r="P151" s="271">
        <v>410516</v>
      </c>
      <c r="Q151" s="271">
        <v>410516</v>
      </c>
      <c r="R151" s="271">
        <v>410516</v>
      </c>
      <c r="S151" s="271">
        <v>410516</v>
      </c>
      <c r="T151" s="271">
        <v>410516</v>
      </c>
      <c r="U151" s="271">
        <v>410516</v>
      </c>
      <c r="V151" s="271">
        <v>410516</v>
      </c>
      <c r="W151" s="271">
        <v>410516</v>
      </c>
      <c r="X151" s="271">
        <v>410516</v>
      </c>
      <c r="Y151" s="271">
        <v>410516</v>
      </c>
      <c r="Z151" s="271">
        <v>410516</v>
      </c>
      <c r="AA151" s="271">
        <v>410516</v>
      </c>
      <c r="AB151" s="271">
        <v>410516</v>
      </c>
      <c r="AC151" s="271">
        <v>410516</v>
      </c>
      <c r="AD151" s="271">
        <v>410516</v>
      </c>
      <c r="AE151" s="271">
        <v>410516</v>
      </c>
      <c r="AF151" s="272">
        <v>410516</v>
      </c>
      <c r="AG151" s="257">
        <f t="shared" si="5"/>
        <v>410516</v>
      </c>
      <c r="AH151" s="44">
        <v>410516</v>
      </c>
    </row>
    <row r="152" spans="1:34" x14ac:dyDescent="0.35">
      <c r="A152" s="30" t="s">
        <v>291</v>
      </c>
      <c r="B152" s="270">
        <v>404897.6</v>
      </c>
      <c r="C152" s="271">
        <v>404897.6</v>
      </c>
      <c r="D152" s="271">
        <v>404897.6</v>
      </c>
      <c r="E152" s="271">
        <v>404897.6</v>
      </c>
      <c r="F152" s="271">
        <v>404897.6</v>
      </c>
      <c r="G152" s="271">
        <v>404897.6</v>
      </c>
      <c r="H152" s="271">
        <v>404897.6</v>
      </c>
      <c r="I152" s="271">
        <v>404897.6</v>
      </c>
      <c r="J152" s="271">
        <v>404897.6</v>
      </c>
      <c r="K152" s="271">
        <v>404897.6</v>
      </c>
      <c r="L152" s="271">
        <v>404897.6</v>
      </c>
      <c r="M152" s="271">
        <v>404897.6</v>
      </c>
      <c r="N152" s="271">
        <v>404897.6</v>
      </c>
      <c r="O152" s="271">
        <v>404897.6</v>
      </c>
      <c r="P152" s="271">
        <v>404897.6</v>
      </c>
      <c r="Q152" s="271">
        <v>404897.6</v>
      </c>
      <c r="R152" s="271">
        <v>404897.6</v>
      </c>
      <c r="S152" s="271">
        <v>404897.6</v>
      </c>
      <c r="T152" s="271">
        <v>404897.6</v>
      </c>
      <c r="U152" s="271">
        <v>404897.6</v>
      </c>
      <c r="V152" s="271">
        <v>404897.6</v>
      </c>
      <c r="W152" s="271">
        <v>404897.6</v>
      </c>
      <c r="X152" s="271">
        <v>404897.6</v>
      </c>
      <c r="Y152" s="271">
        <v>404897.6</v>
      </c>
      <c r="Z152" s="271">
        <v>404897.6</v>
      </c>
      <c r="AA152" s="271">
        <v>404897.6</v>
      </c>
      <c r="AB152" s="271">
        <v>404897.6</v>
      </c>
      <c r="AC152" s="271">
        <v>404897.6</v>
      </c>
      <c r="AD152" s="271">
        <v>404897.6</v>
      </c>
      <c r="AE152" s="271">
        <v>404897.6</v>
      </c>
      <c r="AF152" s="272">
        <v>404897.6</v>
      </c>
      <c r="AG152" s="257">
        <f t="shared" si="5"/>
        <v>404897.6</v>
      </c>
      <c r="AH152" s="44">
        <v>404897.6</v>
      </c>
    </row>
    <row r="153" spans="1:34" x14ac:dyDescent="0.35">
      <c r="A153" s="30" t="s">
        <v>292</v>
      </c>
      <c r="B153" s="270">
        <v>427666.8</v>
      </c>
      <c r="C153" s="271">
        <v>427666.8</v>
      </c>
      <c r="D153" s="271">
        <v>427666.8</v>
      </c>
      <c r="E153" s="271">
        <v>427666.8</v>
      </c>
      <c r="F153" s="271">
        <v>427666.8</v>
      </c>
      <c r="G153" s="271">
        <v>427666.8</v>
      </c>
      <c r="H153" s="271">
        <v>427666.8</v>
      </c>
      <c r="I153" s="271">
        <v>427666.8</v>
      </c>
      <c r="J153" s="271">
        <v>427666.8</v>
      </c>
      <c r="K153" s="271">
        <v>427666.8</v>
      </c>
      <c r="L153" s="271">
        <v>427666.8</v>
      </c>
      <c r="M153" s="271">
        <v>427666.8</v>
      </c>
      <c r="N153" s="271">
        <v>427666.8</v>
      </c>
      <c r="O153" s="271">
        <v>427666.8</v>
      </c>
      <c r="P153" s="271">
        <v>427666.8</v>
      </c>
      <c r="Q153" s="271">
        <v>427666.8</v>
      </c>
      <c r="R153" s="271">
        <v>427666.8</v>
      </c>
      <c r="S153" s="271">
        <v>427666.8</v>
      </c>
      <c r="T153" s="271">
        <v>427666.8</v>
      </c>
      <c r="U153" s="271">
        <v>427666.8</v>
      </c>
      <c r="V153" s="271">
        <v>427666.8</v>
      </c>
      <c r="W153" s="271">
        <v>427666.8</v>
      </c>
      <c r="X153" s="271">
        <v>427666.8</v>
      </c>
      <c r="Y153" s="271">
        <v>427666.8</v>
      </c>
      <c r="Z153" s="271">
        <v>427666.8</v>
      </c>
      <c r="AA153" s="271">
        <v>427666.8</v>
      </c>
      <c r="AB153" s="271">
        <v>427666.8</v>
      </c>
      <c r="AC153" s="271">
        <v>427666.8</v>
      </c>
      <c r="AD153" s="271">
        <v>427666.8</v>
      </c>
      <c r="AE153" s="271">
        <v>427666.8</v>
      </c>
      <c r="AF153" s="272">
        <v>427666.8</v>
      </c>
      <c r="AG153" s="257">
        <f t="shared" si="5"/>
        <v>427666.8</v>
      </c>
      <c r="AH153" s="44">
        <v>427666.8</v>
      </c>
    </row>
    <row r="154" spans="1:34" x14ac:dyDescent="0.35">
      <c r="A154" s="30" t="s">
        <v>293</v>
      </c>
      <c r="B154" s="270">
        <v>425478.95999999996</v>
      </c>
      <c r="C154" s="271">
        <v>425478.95999999996</v>
      </c>
      <c r="D154" s="271">
        <v>425478.95999999996</v>
      </c>
      <c r="E154" s="271">
        <v>425478.95999999996</v>
      </c>
      <c r="F154" s="271">
        <v>425478.95999999996</v>
      </c>
      <c r="G154" s="271">
        <v>425478.95999999996</v>
      </c>
      <c r="H154" s="271">
        <v>425478.95999999996</v>
      </c>
      <c r="I154" s="271">
        <v>425478.95999999996</v>
      </c>
      <c r="J154" s="271">
        <v>425478.95999999996</v>
      </c>
      <c r="K154" s="271">
        <v>425478.95999999996</v>
      </c>
      <c r="L154" s="271">
        <v>425478.95999999996</v>
      </c>
      <c r="M154" s="271">
        <v>425478.95999999996</v>
      </c>
      <c r="N154" s="271">
        <v>425478.95999999996</v>
      </c>
      <c r="O154" s="271">
        <v>425478.95999999996</v>
      </c>
      <c r="P154" s="271">
        <v>425478.95999999996</v>
      </c>
      <c r="Q154" s="271">
        <v>425478.95999999996</v>
      </c>
      <c r="R154" s="271">
        <v>425478.95999999996</v>
      </c>
      <c r="S154" s="271">
        <v>425478.95999999996</v>
      </c>
      <c r="T154" s="271">
        <v>425478.95999999996</v>
      </c>
      <c r="U154" s="271">
        <v>425478.95999999996</v>
      </c>
      <c r="V154" s="271">
        <v>425478.95999999996</v>
      </c>
      <c r="W154" s="271">
        <v>425478.95999999996</v>
      </c>
      <c r="X154" s="271">
        <v>425478.95999999996</v>
      </c>
      <c r="Y154" s="271">
        <v>425478.95999999996</v>
      </c>
      <c r="Z154" s="271">
        <v>425478.95999999996</v>
      </c>
      <c r="AA154" s="271">
        <v>425478.95999999996</v>
      </c>
      <c r="AB154" s="271">
        <v>425478.95999999996</v>
      </c>
      <c r="AC154" s="271">
        <v>425478.95999999996</v>
      </c>
      <c r="AD154" s="271">
        <v>425478.95999999996</v>
      </c>
      <c r="AE154" s="271">
        <v>425478.95999999996</v>
      </c>
      <c r="AF154" s="272">
        <v>425478.95999999996</v>
      </c>
      <c r="AG154" s="257">
        <f t="shared" si="5"/>
        <v>425478.95999999996</v>
      </c>
      <c r="AH154" s="44">
        <v>425478.96</v>
      </c>
    </row>
    <row r="155" spans="1:34" x14ac:dyDescent="0.35">
      <c r="A155" s="30" t="s">
        <v>294</v>
      </c>
      <c r="B155" s="270">
        <v>394108</v>
      </c>
      <c r="C155" s="271">
        <v>394108</v>
      </c>
      <c r="D155" s="271">
        <v>394108</v>
      </c>
      <c r="E155" s="271">
        <v>394108</v>
      </c>
      <c r="F155" s="271">
        <v>394108</v>
      </c>
      <c r="G155" s="271">
        <v>394108</v>
      </c>
      <c r="H155" s="271">
        <v>394108</v>
      </c>
      <c r="I155" s="271">
        <v>394108</v>
      </c>
      <c r="J155" s="271">
        <v>394108</v>
      </c>
      <c r="K155" s="271">
        <v>394108</v>
      </c>
      <c r="L155" s="271">
        <v>394108</v>
      </c>
      <c r="M155" s="271">
        <v>394108</v>
      </c>
      <c r="N155" s="271">
        <v>394108</v>
      </c>
      <c r="O155" s="271">
        <v>394108</v>
      </c>
      <c r="P155" s="271">
        <v>394108</v>
      </c>
      <c r="Q155" s="271">
        <v>394108</v>
      </c>
      <c r="R155" s="271">
        <v>394108</v>
      </c>
      <c r="S155" s="271">
        <v>394108</v>
      </c>
      <c r="T155" s="271">
        <v>394108</v>
      </c>
      <c r="U155" s="271">
        <v>394108</v>
      </c>
      <c r="V155" s="271">
        <v>394108</v>
      </c>
      <c r="W155" s="271">
        <v>394108</v>
      </c>
      <c r="X155" s="271">
        <v>394108</v>
      </c>
      <c r="Y155" s="271">
        <v>394108</v>
      </c>
      <c r="Z155" s="271">
        <v>394108</v>
      </c>
      <c r="AA155" s="271">
        <v>394108</v>
      </c>
      <c r="AB155" s="271">
        <v>394108</v>
      </c>
      <c r="AC155" s="271">
        <v>394108</v>
      </c>
      <c r="AD155" s="271">
        <v>394108</v>
      </c>
      <c r="AE155" s="271">
        <v>394108</v>
      </c>
      <c r="AF155" s="272">
        <v>394108</v>
      </c>
      <c r="AG155" s="257">
        <f t="shared" si="5"/>
        <v>394108</v>
      </c>
      <c r="AH155" s="44">
        <v>394108</v>
      </c>
    </row>
    <row r="156" spans="1:34" x14ac:dyDescent="0.35">
      <c r="A156" s="30" t="s">
        <v>295</v>
      </c>
      <c r="B156" s="270">
        <v>406138.17</v>
      </c>
      <c r="C156" s="271">
        <v>406138.17</v>
      </c>
      <c r="D156" s="271">
        <v>406138.17</v>
      </c>
      <c r="E156" s="271">
        <v>406138.17</v>
      </c>
      <c r="F156" s="271">
        <v>406138.17</v>
      </c>
      <c r="G156" s="271">
        <v>406138.17</v>
      </c>
      <c r="H156" s="271">
        <v>406138.17</v>
      </c>
      <c r="I156" s="271">
        <v>406138.17</v>
      </c>
      <c r="J156" s="271">
        <v>406138.17</v>
      </c>
      <c r="K156" s="271">
        <v>406138.17</v>
      </c>
      <c r="L156" s="271">
        <v>406138.17</v>
      </c>
      <c r="M156" s="271">
        <v>406138.17</v>
      </c>
      <c r="N156" s="271">
        <v>406138.17</v>
      </c>
      <c r="O156" s="271">
        <v>406138.17</v>
      </c>
      <c r="P156" s="271">
        <v>406138.17</v>
      </c>
      <c r="Q156" s="271">
        <v>406138.17</v>
      </c>
      <c r="R156" s="271">
        <v>406138.17</v>
      </c>
      <c r="S156" s="271">
        <v>406138.17</v>
      </c>
      <c r="T156" s="271">
        <v>406138.17</v>
      </c>
      <c r="U156" s="271">
        <v>406138.17</v>
      </c>
      <c r="V156" s="271">
        <v>406138.17</v>
      </c>
      <c r="W156" s="271">
        <v>406138.17</v>
      </c>
      <c r="X156" s="271">
        <v>406138.17</v>
      </c>
      <c r="Y156" s="271">
        <v>406138.17</v>
      </c>
      <c r="Z156" s="271">
        <v>406138.17</v>
      </c>
      <c r="AA156" s="271">
        <v>406138.17</v>
      </c>
      <c r="AB156" s="271">
        <v>406138.17</v>
      </c>
      <c r="AC156" s="271">
        <v>406138.17</v>
      </c>
      <c r="AD156" s="271">
        <v>406138.17</v>
      </c>
      <c r="AE156" s="271">
        <v>406138.17</v>
      </c>
      <c r="AF156" s="272">
        <v>406138.17</v>
      </c>
      <c r="AG156" s="257">
        <f t="shared" si="5"/>
        <v>406138.17</v>
      </c>
      <c r="AH156" s="44">
        <v>406138.17</v>
      </c>
    </row>
    <row r="157" spans="1:34" x14ac:dyDescent="0.35">
      <c r="A157" s="30" t="s">
        <v>296</v>
      </c>
      <c r="B157" s="270">
        <v>403044</v>
      </c>
      <c r="C157" s="271">
        <v>403044</v>
      </c>
      <c r="D157" s="271">
        <v>403044</v>
      </c>
      <c r="E157" s="271">
        <v>403044</v>
      </c>
      <c r="F157" s="271">
        <v>403044</v>
      </c>
      <c r="G157" s="271">
        <v>403044</v>
      </c>
      <c r="H157" s="271">
        <v>403044</v>
      </c>
      <c r="I157" s="271">
        <v>403044</v>
      </c>
      <c r="J157" s="271">
        <v>403044</v>
      </c>
      <c r="K157" s="271">
        <v>403044</v>
      </c>
      <c r="L157" s="271">
        <v>403044</v>
      </c>
      <c r="M157" s="271">
        <v>403044</v>
      </c>
      <c r="N157" s="271">
        <v>403044</v>
      </c>
      <c r="O157" s="271">
        <v>403044</v>
      </c>
      <c r="P157" s="271">
        <v>403044</v>
      </c>
      <c r="Q157" s="271">
        <v>403044</v>
      </c>
      <c r="R157" s="271">
        <v>403044</v>
      </c>
      <c r="S157" s="271">
        <v>403044</v>
      </c>
      <c r="T157" s="271">
        <v>403044</v>
      </c>
      <c r="U157" s="271">
        <v>403044</v>
      </c>
      <c r="V157" s="271">
        <v>403044</v>
      </c>
      <c r="W157" s="271">
        <v>403044</v>
      </c>
      <c r="X157" s="271">
        <v>403044</v>
      </c>
      <c r="Y157" s="271">
        <v>403044</v>
      </c>
      <c r="Z157" s="271">
        <v>403044</v>
      </c>
      <c r="AA157" s="271">
        <v>403044</v>
      </c>
      <c r="AB157" s="271">
        <v>403044</v>
      </c>
      <c r="AC157" s="271">
        <v>403044</v>
      </c>
      <c r="AD157" s="271">
        <v>403044</v>
      </c>
      <c r="AE157" s="271">
        <v>403044</v>
      </c>
      <c r="AF157" s="272">
        <v>403044</v>
      </c>
      <c r="AG157" s="257">
        <f t="shared" si="5"/>
        <v>403044</v>
      </c>
      <c r="AH157" s="44">
        <v>403044</v>
      </c>
    </row>
    <row r="158" spans="1:34" x14ac:dyDescent="0.35">
      <c r="A158" s="30" t="s">
        <v>298</v>
      </c>
      <c r="B158" s="270">
        <v>292029.59999999998</v>
      </c>
      <c r="C158" s="271">
        <v>292029.59999999998</v>
      </c>
      <c r="D158" s="271">
        <v>292029.59999999998</v>
      </c>
      <c r="E158" s="271">
        <v>292029.59999999998</v>
      </c>
      <c r="F158" s="271">
        <v>292029.59999999998</v>
      </c>
      <c r="G158" s="271">
        <v>292029.59999999998</v>
      </c>
      <c r="H158" s="271">
        <v>292029.59999999998</v>
      </c>
      <c r="I158" s="271">
        <v>292029.59999999998</v>
      </c>
      <c r="J158" s="271">
        <v>292029.59999999998</v>
      </c>
      <c r="K158" s="271">
        <v>292029.59999999998</v>
      </c>
      <c r="L158" s="271">
        <v>292029.59999999998</v>
      </c>
      <c r="M158" s="271">
        <v>292029.59999999998</v>
      </c>
      <c r="N158" s="271">
        <v>292029.59999999998</v>
      </c>
      <c r="O158" s="271">
        <v>292029.59999999998</v>
      </c>
      <c r="P158" s="271">
        <v>292029.59999999998</v>
      </c>
      <c r="Q158" s="271">
        <v>292029.59999999998</v>
      </c>
      <c r="R158" s="271">
        <v>292029.59999999998</v>
      </c>
      <c r="S158" s="271">
        <v>292029.59999999998</v>
      </c>
      <c r="T158" s="271">
        <v>292029.59999999998</v>
      </c>
      <c r="U158" s="271">
        <v>292029.59999999998</v>
      </c>
      <c r="V158" s="271">
        <v>292029.59999999998</v>
      </c>
      <c r="W158" s="271">
        <v>292029.59999999998</v>
      </c>
      <c r="X158" s="271">
        <v>292029.59999999998</v>
      </c>
      <c r="Y158" s="271">
        <v>292029.59999999998</v>
      </c>
      <c r="Z158" s="271">
        <v>292029.59999999998</v>
      </c>
      <c r="AA158" s="271">
        <v>292029.59999999998</v>
      </c>
      <c r="AB158" s="271">
        <v>292029.59999999998</v>
      </c>
      <c r="AC158" s="271">
        <v>292029.59999999998</v>
      </c>
      <c r="AD158" s="271">
        <v>292029.59999999998</v>
      </c>
      <c r="AE158" s="271">
        <v>292029.59999999998</v>
      </c>
      <c r="AF158" s="272">
        <v>292029.59999999998</v>
      </c>
      <c r="AG158" s="257">
        <f t="shared" si="5"/>
        <v>292029.59999999998</v>
      </c>
      <c r="AH158" s="44">
        <v>292029.59999999998</v>
      </c>
    </row>
    <row r="159" spans="1:34" x14ac:dyDescent="0.35">
      <c r="A159" s="30" t="s">
        <v>299</v>
      </c>
      <c r="B159" s="270">
        <v>389484</v>
      </c>
      <c r="C159" s="271">
        <v>389484</v>
      </c>
      <c r="D159" s="271">
        <v>389484</v>
      </c>
      <c r="E159" s="271">
        <v>389484</v>
      </c>
      <c r="F159" s="271">
        <v>389484</v>
      </c>
      <c r="G159" s="271">
        <v>389484</v>
      </c>
      <c r="H159" s="271">
        <v>389484</v>
      </c>
      <c r="I159" s="271">
        <v>389484</v>
      </c>
      <c r="J159" s="271">
        <v>389484</v>
      </c>
      <c r="K159" s="271">
        <v>389484</v>
      </c>
      <c r="L159" s="271">
        <v>389484</v>
      </c>
      <c r="M159" s="271">
        <v>389484</v>
      </c>
      <c r="N159" s="271">
        <v>389484</v>
      </c>
      <c r="O159" s="271">
        <v>389484</v>
      </c>
      <c r="P159" s="271">
        <v>389484</v>
      </c>
      <c r="Q159" s="271">
        <v>389484</v>
      </c>
      <c r="R159" s="271">
        <v>389484</v>
      </c>
      <c r="S159" s="271">
        <v>389484</v>
      </c>
      <c r="T159" s="271">
        <v>389484</v>
      </c>
      <c r="U159" s="271">
        <v>389484</v>
      </c>
      <c r="V159" s="271">
        <v>389484</v>
      </c>
      <c r="W159" s="271">
        <v>389484</v>
      </c>
      <c r="X159" s="271">
        <v>389484</v>
      </c>
      <c r="Y159" s="271">
        <v>389484</v>
      </c>
      <c r="Z159" s="271">
        <v>389484</v>
      </c>
      <c r="AA159" s="271">
        <v>389484</v>
      </c>
      <c r="AB159" s="271">
        <v>389484</v>
      </c>
      <c r="AC159" s="271">
        <v>389484</v>
      </c>
      <c r="AD159" s="271">
        <v>389484</v>
      </c>
      <c r="AE159" s="271">
        <v>389484</v>
      </c>
      <c r="AF159" s="272">
        <v>389484</v>
      </c>
      <c r="AG159" s="257">
        <f t="shared" si="5"/>
        <v>389484</v>
      </c>
      <c r="AH159" s="44">
        <v>389484</v>
      </c>
    </row>
    <row r="160" spans="1:34" x14ac:dyDescent="0.35">
      <c r="A160" s="30" t="s">
        <v>300</v>
      </c>
      <c r="B160" s="270">
        <v>336559.6</v>
      </c>
      <c r="C160" s="271">
        <v>336559.6</v>
      </c>
      <c r="D160" s="271">
        <v>336559.6</v>
      </c>
      <c r="E160" s="271">
        <v>336559.6</v>
      </c>
      <c r="F160" s="271">
        <v>336559.6</v>
      </c>
      <c r="G160" s="271">
        <v>336559.6</v>
      </c>
      <c r="H160" s="271">
        <v>336559.6</v>
      </c>
      <c r="I160" s="271">
        <v>336559.6</v>
      </c>
      <c r="J160" s="271">
        <v>336559.6</v>
      </c>
      <c r="K160" s="271">
        <v>336559.6</v>
      </c>
      <c r="L160" s="271">
        <v>336559.6</v>
      </c>
      <c r="M160" s="271">
        <v>336559.6</v>
      </c>
      <c r="N160" s="271">
        <v>336559.6</v>
      </c>
      <c r="O160" s="271">
        <v>336559.6</v>
      </c>
      <c r="P160" s="271">
        <v>336559.6</v>
      </c>
      <c r="Q160" s="271">
        <v>336559.6</v>
      </c>
      <c r="R160" s="271">
        <v>336559.6</v>
      </c>
      <c r="S160" s="271">
        <v>336559.6</v>
      </c>
      <c r="T160" s="271">
        <v>336559.6</v>
      </c>
      <c r="U160" s="271">
        <v>336559.6</v>
      </c>
      <c r="V160" s="271">
        <v>336559.6</v>
      </c>
      <c r="W160" s="271">
        <v>336559.6</v>
      </c>
      <c r="X160" s="271">
        <v>336559.6</v>
      </c>
      <c r="Y160" s="271">
        <v>336559.6</v>
      </c>
      <c r="Z160" s="271">
        <v>336559.6</v>
      </c>
      <c r="AA160" s="271">
        <v>336559.6</v>
      </c>
      <c r="AB160" s="271">
        <v>336559.6</v>
      </c>
      <c r="AC160" s="271">
        <v>336559.6</v>
      </c>
      <c r="AD160" s="271">
        <v>336559.6</v>
      </c>
      <c r="AE160" s="271">
        <v>336559.6</v>
      </c>
      <c r="AF160" s="272">
        <v>336559.6</v>
      </c>
      <c r="AG160" s="257">
        <f t="shared" si="5"/>
        <v>336559.6</v>
      </c>
      <c r="AH160" s="44">
        <v>336559.6</v>
      </c>
    </row>
    <row r="161" spans="1:34" x14ac:dyDescent="0.35">
      <c r="A161" s="30" t="s">
        <v>301</v>
      </c>
      <c r="B161" s="270">
        <v>374428</v>
      </c>
      <c r="C161" s="271">
        <v>374428</v>
      </c>
      <c r="D161" s="271">
        <v>374428</v>
      </c>
      <c r="E161" s="271">
        <v>374428</v>
      </c>
      <c r="F161" s="271">
        <v>374428</v>
      </c>
      <c r="G161" s="271">
        <v>374428</v>
      </c>
      <c r="H161" s="271">
        <v>374428</v>
      </c>
      <c r="I161" s="271">
        <v>374428</v>
      </c>
      <c r="J161" s="271">
        <v>374428</v>
      </c>
      <c r="K161" s="271">
        <v>374428</v>
      </c>
      <c r="L161" s="271">
        <v>374428</v>
      </c>
      <c r="M161" s="271">
        <v>374428</v>
      </c>
      <c r="N161" s="271">
        <v>374428</v>
      </c>
      <c r="O161" s="271">
        <v>374428</v>
      </c>
      <c r="P161" s="271">
        <v>374428</v>
      </c>
      <c r="Q161" s="271">
        <v>374428</v>
      </c>
      <c r="R161" s="271">
        <v>374428</v>
      </c>
      <c r="S161" s="271">
        <v>374428</v>
      </c>
      <c r="T161" s="271">
        <v>374428</v>
      </c>
      <c r="U161" s="271">
        <v>374428</v>
      </c>
      <c r="V161" s="271">
        <v>374428</v>
      </c>
      <c r="W161" s="271">
        <v>374428</v>
      </c>
      <c r="X161" s="271">
        <v>374428</v>
      </c>
      <c r="Y161" s="271">
        <v>374428</v>
      </c>
      <c r="Z161" s="271">
        <v>374428</v>
      </c>
      <c r="AA161" s="271">
        <v>374428</v>
      </c>
      <c r="AB161" s="271">
        <v>374428</v>
      </c>
      <c r="AC161" s="271">
        <v>374428</v>
      </c>
      <c r="AD161" s="271">
        <v>374428</v>
      </c>
      <c r="AE161" s="271">
        <v>374428</v>
      </c>
      <c r="AF161" s="272">
        <v>374428</v>
      </c>
      <c r="AG161" s="257">
        <f t="shared" si="5"/>
        <v>374428</v>
      </c>
      <c r="AH161" s="44">
        <v>374428</v>
      </c>
    </row>
    <row r="162" spans="1:34" x14ac:dyDescent="0.35">
      <c r="A162" s="30" t="s">
        <v>302</v>
      </c>
      <c r="B162" s="270">
        <v>0</v>
      </c>
      <c r="C162" s="271">
        <v>0</v>
      </c>
      <c r="D162" s="271">
        <v>0</v>
      </c>
      <c r="E162" s="271">
        <v>0</v>
      </c>
      <c r="F162" s="271">
        <v>0</v>
      </c>
      <c r="G162" s="271">
        <v>0</v>
      </c>
      <c r="H162" s="271">
        <v>0</v>
      </c>
      <c r="I162" s="271">
        <v>0</v>
      </c>
      <c r="J162" s="271">
        <v>0</v>
      </c>
      <c r="K162" s="271">
        <v>0</v>
      </c>
      <c r="L162" s="271">
        <v>0</v>
      </c>
      <c r="M162" s="271">
        <v>0</v>
      </c>
      <c r="N162" s="271">
        <v>0</v>
      </c>
      <c r="O162" s="271">
        <v>0</v>
      </c>
      <c r="P162" s="271">
        <v>0</v>
      </c>
      <c r="Q162" s="271">
        <v>0</v>
      </c>
      <c r="R162" s="271">
        <v>0</v>
      </c>
      <c r="S162" s="271">
        <v>0</v>
      </c>
      <c r="T162" s="271">
        <v>0</v>
      </c>
      <c r="U162" s="271">
        <v>0</v>
      </c>
      <c r="V162" s="271">
        <v>0</v>
      </c>
      <c r="W162" s="271">
        <v>0</v>
      </c>
      <c r="X162" s="271">
        <v>0</v>
      </c>
      <c r="Y162" s="271">
        <v>0</v>
      </c>
      <c r="Z162" s="271">
        <v>0</v>
      </c>
      <c r="AA162" s="271">
        <v>0</v>
      </c>
      <c r="AB162" s="271">
        <v>0</v>
      </c>
      <c r="AC162" s="271">
        <v>0</v>
      </c>
      <c r="AD162" s="271">
        <v>0</v>
      </c>
      <c r="AE162" s="271">
        <v>0</v>
      </c>
      <c r="AF162" s="272">
        <v>0</v>
      </c>
      <c r="AG162" s="257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73">
        <v>0</v>
      </c>
      <c r="C163" s="274">
        <v>0</v>
      </c>
      <c r="D163" s="274">
        <v>0</v>
      </c>
      <c r="E163" s="274">
        <v>0</v>
      </c>
      <c r="F163" s="274">
        <v>0</v>
      </c>
      <c r="G163" s="274">
        <v>0</v>
      </c>
      <c r="H163" s="274">
        <v>0</v>
      </c>
      <c r="I163" s="274">
        <v>0</v>
      </c>
      <c r="J163" s="274">
        <v>0</v>
      </c>
      <c r="K163" s="274">
        <v>0</v>
      </c>
      <c r="L163" s="274">
        <v>0</v>
      </c>
      <c r="M163" s="274">
        <v>0</v>
      </c>
      <c r="N163" s="274">
        <v>0</v>
      </c>
      <c r="O163" s="274">
        <v>0</v>
      </c>
      <c r="P163" s="274">
        <v>0</v>
      </c>
      <c r="Q163" s="274">
        <v>0</v>
      </c>
      <c r="R163" s="274">
        <v>0</v>
      </c>
      <c r="S163" s="274">
        <v>0</v>
      </c>
      <c r="T163" s="274">
        <v>0</v>
      </c>
      <c r="U163" s="274">
        <v>0</v>
      </c>
      <c r="V163" s="274">
        <v>0</v>
      </c>
      <c r="W163" s="274">
        <v>0</v>
      </c>
      <c r="X163" s="274">
        <v>0</v>
      </c>
      <c r="Y163" s="274">
        <v>0</v>
      </c>
      <c r="Z163" s="274">
        <v>0</v>
      </c>
      <c r="AA163" s="274">
        <v>0</v>
      </c>
      <c r="AB163" s="274">
        <v>0</v>
      </c>
      <c r="AC163" s="274">
        <v>0</v>
      </c>
      <c r="AD163" s="274">
        <v>0</v>
      </c>
      <c r="AE163" s="274">
        <v>0</v>
      </c>
      <c r="AF163" s="275">
        <v>0</v>
      </c>
      <c r="AG163" s="263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D04C7-09D8-4B84-9A61-1035B7E67C8E}">
  <sheetPr codeName="Hoja10"/>
  <dimension ref="A1:AH163"/>
  <sheetViews>
    <sheetView showGridLines="0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R112" sqref="R112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>
        <v>45323</v>
      </c>
      <c r="B1" s="6" t="s">
        <v>0</v>
      </c>
      <c r="G1" s="39"/>
      <c r="L1" s="39"/>
    </row>
    <row r="2" spans="1:34" ht="15" thickBot="1" x14ac:dyDescent="0.4"/>
    <row r="3" spans="1:34" ht="15" thickBot="1" x14ac:dyDescent="0.4">
      <c r="A3" s="17" t="s">
        <v>270</v>
      </c>
      <c r="B3" s="45">
        <v>45323</v>
      </c>
      <c r="C3" s="46">
        <v>45324</v>
      </c>
      <c r="D3" s="46">
        <v>45325</v>
      </c>
      <c r="E3" s="46">
        <v>45326</v>
      </c>
      <c r="F3" s="46">
        <v>45327</v>
      </c>
      <c r="G3" s="46">
        <v>45328</v>
      </c>
      <c r="H3" s="46">
        <v>45329</v>
      </c>
      <c r="I3" s="46">
        <v>45330</v>
      </c>
      <c r="J3" s="46">
        <v>45331</v>
      </c>
      <c r="K3" s="46">
        <v>45332</v>
      </c>
      <c r="L3" s="46">
        <v>45333</v>
      </c>
      <c r="M3" s="46">
        <v>45334</v>
      </c>
      <c r="N3" s="46">
        <v>45335</v>
      </c>
      <c r="O3" s="46">
        <v>45336</v>
      </c>
      <c r="P3" s="46">
        <v>45337</v>
      </c>
      <c r="Q3" s="46">
        <v>45338</v>
      </c>
      <c r="R3" s="46">
        <v>45339</v>
      </c>
      <c r="S3" s="46">
        <v>45340</v>
      </c>
      <c r="T3" s="46">
        <v>45341</v>
      </c>
      <c r="U3" s="46">
        <v>45342</v>
      </c>
      <c r="V3" s="46">
        <v>45343</v>
      </c>
      <c r="W3" s="46">
        <v>45344</v>
      </c>
      <c r="X3" s="46">
        <v>45345</v>
      </c>
      <c r="Y3" s="46">
        <v>45346</v>
      </c>
      <c r="Z3" s="46">
        <v>45347</v>
      </c>
      <c r="AA3" s="46">
        <v>45348</v>
      </c>
      <c r="AB3" s="46">
        <v>45349</v>
      </c>
      <c r="AC3" s="46">
        <v>45350</v>
      </c>
      <c r="AD3" s="46">
        <v>45351</v>
      </c>
      <c r="AE3" s="46"/>
      <c r="AF3" s="48"/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13">
        <v>79662.660000000091</v>
      </c>
      <c r="C4" s="14">
        <v>79684.670000000086</v>
      </c>
      <c r="D4" s="14">
        <v>79705.07000000008</v>
      </c>
      <c r="E4" s="14">
        <v>79725.32000000008</v>
      </c>
      <c r="F4" s="14">
        <v>79745.010000000082</v>
      </c>
      <c r="G4" s="14">
        <v>79765.93000000008</v>
      </c>
      <c r="H4" s="14">
        <v>79787.580000000075</v>
      </c>
      <c r="I4" s="14">
        <v>79798.580000000075</v>
      </c>
      <c r="J4" s="14">
        <v>79816.68000000008</v>
      </c>
      <c r="K4" s="14">
        <v>79835.340000000084</v>
      </c>
      <c r="L4" s="14">
        <v>79853.910000000091</v>
      </c>
      <c r="M4" s="14">
        <v>79870.390000000087</v>
      </c>
      <c r="N4" s="14">
        <v>79887.870000000083</v>
      </c>
      <c r="O4" s="14">
        <v>79909.530000000086</v>
      </c>
      <c r="P4" s="14">
        <v>79926.790000000081</v>
      </c>
      <c r="Q4" s="14">
        <v>79947.82000000008</v>
      </c>
      <c r="R4" s="14">
        <v>79963.590000000084</v>
      </c>
      <c r="S4" s="14">
        <v>79975.640000000087</v>
      </c>
      <c r="T4" s="14">
        <v>79976.510000000082</v>
      </c>
      <c r="U4" s="14">
        <v>79991.670000000086</v>
      </c>
      <c r="V4" s="14">
        <v>80012.450000000084</v>
      </c>
      <c r="W4" s="14">
        <v>80030.32000000008</v>
      </c>
      <c r="X4" s="14">
        <v>80033.300000000076</v>
      </c>
      <c r="Y4" s="14">
        <v>80053.670000000071</v>
      </c>
      <c r="Z4" s="14">
        <v>80057.390000000072</v>
      </c>
      <c r="AA4" s="14">
        <v>80057.390000000072</v>
      </c>
      <c r="AB4" s="14">
        <v>80057.390000000072</v>
      </c>
      <c r="AC4" s="14">
        <v>80057.390000000072</v>
      </c>
      <c r="AD4" s="14">
        <v>80057.390000000072</v>
      </c>
      <c r="AE4" s="14"/>
      <c r="AF4" s="15"/>
      <c r="AG4" s="51">
        <f t="shared" ref="AG4:AG35" si="0">MAX(B4:AF4)</f>
        <v>80057.390000000072</v>
      </c>
      <c r="AH4" s="44">
        <v>79641.22</v>
      </c>
    </row>
    <row r="5" spans="1:34" x14ac:dyDescent="0.35">
      <c r="A5" s="33" t="s">
        <v>11</v>
      </c>
      <c r="B5" s="10">
        <v>80103.890000000232</v>
      </c>
      <c r="C5" s="2">
        <v>80125.000000000233</v>
      </c>
      <c r="D5" s="2">
        <v>80129.640000000232</v>
      </c>
      <c r="E5" s="2">
        <v>80141.500000000233</v>
      </c>
      <c r="F5" s="2">
        <v>80159.410000000236</v>
      </c>
      <c r="G5" s="2">
        <v>80180.920000000231</v>
      </c>
      <c r="H5" s="2">
        <v>80202.080000000235</v>
      </c>
      <c r="I5" s="2">
        <v>80223.420000000231</v>
      </c>
      <c r="J5" s="2">
        <v>80244.620000000228</v>
      </c>
      <c r="K5" s="2">
        <v>80258.890000000232</v>
      </c>
      <c r="L5" s="2">
        <v>80280.070000000225</v>
      </c>
      <c r="M5" s="2">
        <v>80299.540000000226</v>
      </c>
      <c r="N5" s="2">
        <v>80318.530000000232</v>
      </c>
      <c r="O5" s="2">
        <v>80331.970000000234</v>
      </c>
      <c r="P5" s="2">
        <v>80352.190000000235</v>
      </c>
      <c r="Q5" s="2">
        <v>80356.370000000228</v>
      </c>
      <c r="R5" s="2">
        <v>80373.080000000235</v>
      </c>
      <c r="S5" s="2">
        <v>80386.190000000235</v>
      </c>
      <c r="T5" s="2">
        <v>80407.490000000238</v>
      </c>
      <c r="U5" s="2">
        <v>80425.82000000024</v>
      </c>
      <c r="V5" s="2">
        <v>80442.160000000236</v>
      </c>
      <c r="W5" s="2">
        <v>80454.620000000243</v>
      </c>
      <c r="X5" s="2">
        <v>80475.650000000242</v>
      </c>
      <c r="Y5" s="2">
        <v>80496.550000000236</v>
      </c>
      <c r="Z5" s="2">
        <v>80509.890000000232</v>
      </c>
      <c r="AA5" s="2">
        <v>80518.960000000239</v>
      </c>
      <c r="AB5" s="2">
        <v>80539.700000000244</v>
      </c>
      <c r="AC5" s="2">
        <v>80556.880000000237</v>
      </c>
      <c r="AD5" s="2">
        <v>80557.800000000236</v>
      </c>
      <c r="AE5" s="2"/>
      <c r="AF5" s="3"/>
      <c r="AG5" s="51">
        <f t="shared" si="0"/>
        <v>80557.800000000236</v>
      </c>
      <c r="AH5" s="44">
        <v>80090.77</v>
      </c>
    </row>
    <row r="6" spans="1:34" x14ac:dyDescent="0.35">
      <c r="A6" s="33" t="s">
        <v>12</v>
      </c>
      <c r="B6" s="10">
        <v>80217.479999999894</v>
      </c>
      <c r="C6" s="2">
        <v>80217.479999999894</v>
      </c>
      <c r="D6" s="2">
        <v>80233.1899999999</v>
      </c>
      <c r="E6" s="2">
        <v>80253.749999999898</v>
      </c>
      <c r="F6" s="2">
        <v>80274.319999999905</v>
      </c>
      <c r="G6" s="2">
        <v>80293.969999999899</v>
      </c>
      <c r="H6" s="2">
        <v>80301.389999999898</v>
      </c>
      <c r="I6" s="2">
        <v>80321.609999999899</v>
      </c>
      <c r="J6" s="2">
        <v>80340.059999999896</v>
      </c>
      <c r="K6" s="2">
        <v>80360.779999999897</v>
      </c>
      <c r="L6" s="2">
        <v>80379.049999999901</v>
      </c>
      <c r="M6" s="2">
        <v>80395.959999999905</v>
      </c>
      <c r="N6" s="2">
        <v>80413.539999999906</v>
      </c>
      <c r="O6" s="2">
        <v>80431.369999999908</v>
      </c>
      <c r="P6" s="2">
        <v>80435.659999999902</v>
      </c>
      <c r="Q6" s="2">
        <v>80448.839999999895</v>
      </c>
      <c r="R6" s="2">
        <v>80466.129999999888</v>
      </c>
      <c r="S6" s="2">
        <v>80478.889999999883</v>
      </c>
      <c r="T6" s="2">
        <v>80500.349999999889</v>
      </c>
      <c r="U6" s="2">
        <v>80511.219999999885</v>
      </c>
      <c r="V6" s="2">
        <v>80529.859999999884</v>
      </c>
      <c r="W6" s="2">
        <v>80550.009999999878</v>
      </c>
      <c r="X6" s="2">
        <v>80566.849999999875</v>
      </c>
      <c r="Y6" s="2">
        <v>80588.619999999879</v>
      </c>
      <c r="Z6" s="2">
        <v>80599.109999999884</v>
      </c>
      <c r="AA6" s="2">
        <v>80618.95999999989</v>
      </c>
      <c r="AB6" s="2">
        <v>80640.149999999892</v>
      </c>
      <c r="AC6" s="2">
        <v>80660.889999999898</v>
      </c>
      <c r="AD6" s="2">
        <v>80681.059999999896</v>
      </c>
      <c r="AE6" s="2"/>
      <c r="AF6" s="3"/>
      <c r="AG6" s="51">
        <f t="shared" si="0"/>
        <v>80681.059999999896</v>
      </c>
      <c r="AH6" s="44">
        <v>80198.12</v>
      </c>
    </row>
    <row r="7" spans="1:34" x14ac:dyDescent="0.35">
      <c r="A7" s="33" t="s">
        <v>13</v>
      </c>
      <c r="B7" s="10">
        <v>80547.509999999966</v>
      </c>
      <c r="C7" s="2">
        <v>80568.969999999972</v>
      </c>
      <c r="D7" s="2">
        <v>80584.789999999979</v>
      </c>
      <c r="E7" s="2">
        <v>80591.949999999983</v>
      </c>
      <c r="F7" s="2">
        <v>80591.949999999983</v>
      </c>
      <c r="G7" s="2">
        <v>80591.949999999983</v>
      </c>
      <c r="H7" s="2">
        <v>80591.949999999983</v>
      </c>
      <c r="I7" s="2">
        <v>80591.949999999983</v>
      </c>
      <c r="J7" s="2">
        <v>80591.949999999983</v>
      </c>
      <c r="K7" s="2">
        <v>80591.949999999983</v>
      </c>
      <c r="L7" s="2">
        <v>80593.069999999978</v>
      </c>
      <c r="M7" s="2">
        <v>80610.89999999998</v>
      </c>
      <c r="N7" s="2">
        <v>80628.229999999981</v>
      </c>
      <c r="O7" s="2">
        <v>80649.769999999975</v>
      </c>
      <c r="P7" s="2">
        <v>80670.169999999969</v>
      </c>
      <c r="Q7" s="2">
        <v>80689.729999999967</v>
      </c>
      <c r="R7" s="2">
        <v>80711.26999999996</v>
      </c>
      <c r="S7" s="2">
        <v>80727.40999999996</v>
      </c>
      <c r="T7" s="2">
        <v>80741.699999999953</v>
      </c>
      <c r="U7" s="2">
        <v>80741.939999999959</v>
      </c>
      <c r="V7" s="2">
        <v>80759.669999999955</v>
      </c>
      <c r="W7" s="2">
        <v>80765.939999999959</v>
      </c>
      <c r="X7" s="2">
        <v>80779.889999999956</v>
      </c>
      <c r="Y7" s="2">
        <v>80801.329999999958</v>
      </c>
      <c r="Z7" s="2">
        <v>80823.329999999958</v>
      </c>
      <c r="AA7" s="2">
        <v>80844.959999999963</v>
      </c>
      <c r="AB7" s="2">
        <v>80859.579999999958</v>
      </c>
      <c r="AC7" s="2">
        <v>80862.389999999956</v>
      </c>
      <c r="AD7" s="2">
        <v>80877.809999999954</v>
      </c>
      <c r="AE7" s="2"/>
      <c r="AF7" s="3"/>
      <c r="AG7" s="51">
        <f t="shared" si="0"/>
        <v>80877.809999999954</v>
      </c>
      <c r="AH7" s="44">
        <v>80532.320000000007</v>
      </c>
    </row>
    <row r="8" spans="1:34" x14ac:dyDescent="0.35">
      <c r="A8" s="33" t="s">
        <v>14</v>
      </c>
      <c r="B8" s="10">
        <v>75721.260000000111</v>
      </c>
      <c r="C8" s="2">
        <v>75743.190000000104</v>
      </c>
      <c r="D8" s="2">
        <v>75764.770000000106</v>
      </c>
      <c r="E8" s="2">
        <v>75786.690000000104</v>
      </c>
      <c r="F8" s="2">
        <v>75807.940000000104</v>
      </c>
      <c r="G8" s="2">
        <v>75828.620000000097</v>
      </c>
      <c r="H8" s="2">
        <v>75837.330000000104</v>
      </c>
      <c r="I8" s="2">
        <v>75858.390000000101</v>
      </c>
      <c r="J8" s="2">
        <v>75878.960000000108</v>
      </c>
      <c r="K8" s="2">
        <v>75898.400000000111</v>
      </c>
      <c r="L8" s="2">
        <v>75920.130000000107</v>
      </c>
      <c r="M8" s="2">
        <v>75939.3100000001</v>
      </c>
      <c r="N8" s="2">
        <v>75957.340000000098</v>
      </c>
      <c r="O8" s="2">
        <v>75962.230000000098</v>
      </c>
      <c r="P8" s="2">
        <v>75969.750000000102</v>
      </c>
      <c r="Q8" s="2">
        <v>75990.990000000107</v>
      </c>
      <c r="R8" s="2">
        <v>76010.530000000101</v>
      </c>
      <c r="S8" s="2">
        <v>76029.700000000099</v>
      </c>
      <c r="T8" s="2">
        <v>76040.330000000104</v>
      </c>
      <c r="U8" s="2">
        <v>76057.0600000001</v>
      </c>
      <c r="V8" s="2">
        <v>76078.010000000097</v>
      </c>
      <c r="W8" s="2">
        <v>76099.160000000091</v>
      </c>
      <c r="X8" s="2">
        <v>76115.920000000086</v>
      </c>
      <c r="Y8" s="2">
        <v>76136.460000000079</v>
      </c>
      <c r="Z8" s="2">
        <v>76155.010000000082</v>
      </c>
      <c r="AA8" s="2">
        <v>76170.18000000008</v>
      </c>
      <c r="AB8" s="2">
        <v>76191.560000000085</v>
      </c>
      <c r="AC8" s="2">
        <v>76210.040000000081</v>
      </c>
      <c r="AD8" s="2">
        <v>76223.950000000084</v>
      </c>
      <c r="AE8" s="2"/>
      <c r="AF8" s="3"/>
      <c r="AG8" s="51">
        <f t="shared" si="0"/>
        <v>76223.950000000084</v>
      </c>
      <c r="AH8" s="44">
        <v>75703.92</v>
      </c>
    </row>
    <row r="9" spans="1:34" x14ac:dyDescent="0.35">
      <c r="A9" s="33" t="s">
        <v>15</v>
      </c>
      <c r="B9" s="10">
        <v>77991.42</v>
      </c>
      <c r="C9" s="2">
        <v>77991.42</v>
      </c>
      <c r="D9" s="2">
        <v>77991.42</v>
      </c>
      <c r="E9" s="2">
        <v>78002.34</v>
      </c>
      <c r="F9" s="2">
        <v>78022.58</v>
      </c>
      <c r="G9" s="2">
        <v>78037.460000000006</v>
      </c>
      <c r="H9" s="2">
        <v>78057.11</v>
      </c>
      <c r="I9" s="2">
        <v>78077.740000000005</v>
      </c>
      <c r="J9" s="2">
        <v>78098.760000000009</v>
      </c>
      <c r="K9" s="2">
        <v>78111.48000000001</v>
      </c>
      <c r="L9" s="2">
        <v>78111.48000000001</v>
      </c>
      <c r="M9" s="2">
        <v>78115.550000000017</v>
      </c>
      <c r="N9" s="2">
        <v>78136.610000000015</v>
      </c>
      <c r="O9" s="2">
        <v>78157.270000000019</v>
      </c>
      <c r="P9" s="2">
        <v>78175.210000000021</v>
      </c>
      <c r="Q9" s="2">
        <v>78197.020000000019</v>
      </c>
      <c r="R9" s="2">
        <v>78212.310000000012</v>
      </c>
      <c r="S9" s="2">
        <v>78233.400000000009</v>
      </c>
      <c r="T9" s="2">
        <v>78254.94</v>
      </c>
      <c r="U9" s="2">
        <v>78272.2</v>
      </c>
      <c r="V9" s="2">
        <v>78290.78</v>
      </c>
      <c r="W9" s="2">
        <v>78309.91</v>
      </c>
      <c r="X9" s="2">
        <v>78330.600000000006</v>
      </c>
      <c r="Y9" s="2">
        <v>78351.900000000009</v>
      </c>
      <c r="Z9" s="2">
        <v>78354.150000000009</v>
      </c>
      <c r="AA9" s="2">
        <v>78359.820000000007</v>
      </c>
      <c r="AB9" s="2">
        <v>78380.210000000006</v>
      </c>
      <c r="AC9" s="2">
        <v>78392</v>
      </c>
      <c r="AD9" s="2">
        <v>78406.33</v>
      </c>
      <c r="AE9" s="2"/>
      <c r="AF9" s="3"/>
      <c r="AG9" s="51">
        <f t="shared" si="0"/>
        <v>78406.33</v>
      </c>
      <c r="AH9" s="44">
        <v>77975.34</v>
      </c>
    </row>
    <row r="10" spans="1:34" x14ac:dyDescent="0.35">
      <c r="A10" s="33" t="s">
        <v>16</v>
      </c>
      <c r="B10" s="10">
        <v>77322.880000000077</v>
      </c>
      <c r="C10" s="2">
        <v>77338.840000000084</v>
      </c>
      <c r="D10" s="2">
        <v>77355.57000000008</v>
      </c>
      <c r="E10" s="2">
        <v>77376.600000000079</v>
      </c>
      <c r="F10" s="2">
        <v>77398.330000000075</v>
      </c>
      <c r="G10" s="2">
        <v>77420.040000000081</v>
      </c>
      <c r="H10" s="2">
        <v>77440.360000000088</v>
      </c>
      <c r="I10" s="2">
        <v>77461.670000000086</v>
      </c>
      <c r="J10" s="2">
        <v>77481.69000000009</v>
      </c>
      <c r="K10" s="2">
        <v>77481.69000000009</v>
      </c>
      <c r="L10" s="2">
        <v>77481.69000000009</v>
      </c>
      <c r="M10" s="2">
        <v>77498.580000000089</v>
      </c>
      <c r="N10" s="2">
        <v>77520.370000000083</v>
      </c>
      <c r="O10" s="2">
        <v>77542.020000000077</v>
      </c>
      <c r="P10" s="2">
        <v>77556.350000000079</v>
      </c>
      <c r="Q10" s="2">
        <v>77577.540000000081</v>
      </c>
      <c r="R10" s="2">
        <v>77599.310000000085</v>
      </c>
      <c r="S10" s="2">
        <v>77618.32000000008</v>
      </c>
      <c r="T10" s="2">
        <v>77640.18000000008</v>
      </c>
      <c r="U10" s="2">
        <v>77654.910000000076</v>
      </c>
      <c r="V10" s="2">
        <v>77676.400000000081</v>
      </c>
      <c r="W10" s="2">
        <v>77698.060000000085</v>
      </c>
      <c r="X10" s="2">
        <v>77719.640000000087</v>
      </c>
      <c r="Y10" s="2">
        <v>77740.94000000009</v>
      </c>
      <c r="Z10" s="2">
        <v>77762.260000000097</v>
      </c>
      <c r="AA10" s="2">
        <v>77767.80000000009</v>
      </c>
      <c r="AB10" s="2">
        <v>77771.730000000083</v>
      </c>
      <c r="AC10" s="2">
        <v>77792.710000000079</v>
      </c>
      <c r="AD10" s="2">
        <v>77807.110000000073</v>
      </c>
      <c r="AE10" s="2"/>
      <c r="AF10" s="3"/>
      <c r="AG10" s="51">
        <f t="shared" si="0"/>
        <v>77807.110000000073</v>
      </c>
      <c r="AH10" s="44">
        <v>77301.73</v>
      </c>
    </row>
    <row r="11" spans="1:34" x14ac:dyDescent="0.35">
      <c r="A11" s="33" t="s">
        <v>17</v>
      </c>
      <c r="B11" s="10">
        <v>75372.790000000416</v>
      </c>
      <c r="C11" s="2">
        <v>75379.350000000413</v>
      </c>
      <c r="D11" s="2">
        <v>75401.260000000417</v>
      </c>
      <c r="E11" s="2">
        <v>75422.860000000423</v>
      </c>
      <c r="F11" s="2">
        <v>75438.080000000424</v>
      </c>
      <c r="G11" s="2">
        <v>75456.160000000425</v>
      </c>
      <c r="H11" s="2">
        <v>75471.620000000432</v>
      </c>
      <c r="I11" s="2">
        <v>75493.510000000431</v>
      </c>
      <c r="J11" s="2">
        <v>75515.300000000425</v>
      </c>
      <c r="K11" s="2">
        <v>75533.700000000419</v>
      </c>
      <c r="L11" s="2">
        <v>75555.490000000413</v>
      </c>
      <c r="M11" s="2">
        <v>75577.790000000416</v>
      </c>
      <c r="N11" s="2">
        <v>75599.120000000417</v>
      </c>
      <c r="O11" s="2">
        <v>75616.830000000424</v>
      </c>
      <c r="P11" s="2">
        <v>75628.260000000417</v>
      </c>
      <c r="Q11" s="2">
        <v>75649.610000000423</v>
      </c>
      <c r="R11" s="2">
        <v>75668.980000000418</v>
      </c>
      <c r="S11" s="2">
        <v>75690.390000000421</v>
      </c>
      <c r="T11" s="2">
        <v>75708.130000000427</v>
      </c>
      <c r="U11" s="2">
        <v>75723.550000000425</v>
      </c>
      <c r="V11" s="2">
        <v>75733.340000000419</v>
      </c>
      <c r="W11" s="2">
        <v>75754.750000000422</v>
      </c>
      <c r="X11" s="2">
        <v>75776.690000000424</v>
      </c>
      <c r="Y11" s="2">
        <v>75792.050000000425</v>
      </c>
      <c r="Z11" s="2">
        <v>75812.640000000421</v>
      </c>
      <c r="AA11" s="2">
        <v>75825.260000000417</v>
      </c>
      <c r="AB11" s="2">
        <v>75846.700000000419</v>
      </c>
      <c r="AC11" s="2">
        <v>75867.450000000419</v>
      </c>
      <c r="AD11" s="2">
        <v>75889.050000000425</v>
      </c>
      <c r="AE11" s="2"/>
      <c r="AF11" s="3"/>
      <c r="AG11" s="51">
        <f t="shared" si="0"/>
        <v>75889.050000000425</v>
      </c>
      <c r="AH11" s="44">
        <v>75372.789999999994</v>
      </c>
    </row>
    <row r="12" spans="1:34" x14ac:dyDescent="0.35">
      <c r="A12" s="33" t="s">
        <v>18</v>
      </c>
      <c r="B12" s="10">
        <v>75919.229999999836</v>
      </c>
      <c r="C12" s="2">
        <v>75940.489999999831</v>
      </c>
      <c r="D12" s="2">
        <v>75961.259999999835</v>
      </c>
      <c r="E12" s="2">
        <v>75979.069999999832</v>
      </c>
      <c r="F12" s="2">
        <v>75999.369999999835</v>
      </c>
      <c r="G12" s="2">
        <v>76019.899999999834</v>
      </c>
      <c r="H12" s="2">
        <v>76039.789999999834</v>
      </c>
      <c r="I12" s="2">
        <v>76049.739999999831</v>
      </c>
      <c r="J12" s="2">
        <v>76063.679999999833</v>
      </c>
      <c r="K12" s="2">
        <v>76076.689999999828</v>
      </c>
      <c r="L12" s="2">
        <v>76076.689999999828</v>
      </c>
      <c r="M12" s="2">
        <v>76081.579999999827</v>
      </c>
      <c r="N12" s="2">
        <v>76101.099999999831</v>
      </c>
      <c r="O12" s="2">
        <v>76121.299999999828</v>
      </c>
      <c r="P12" s="2">
        <v>76143.139999999825</v>
      </c>
      <c r="Q12" s="2">
        <v>76162.749999999825</v>
      </c>
      <c r="R12" s="2">
        <v>76176.019999999829</v>
      </c>
      <c r="S12" s="2">
        <v>76194.619999999835</v>
      </c>
      <c r="T12" s="2">
        <v>76216.219999999841</v>
      </c>
      <c r="U12" s="2">
        <v>76226.959999999846</v>
      </c>
      <c r="V12" s="2">
        <v>76228.429999999847</v>
      </c>
      <c r="W12" s="2">
        <v>76249.769999999844</v>
      </c>
      <c r="X12" s="2">
        <v>76268.339999999851</v>
      </c>
      <c r="Y12" s="2">
        <v>76284.459999999846</v>
      </c>
      <c r="Z12" s="2">
        <v>76301.089999999851</v>
      </c>
      <c r="AA12" s="2">
        <v>76321.989999999845</v>
      </c>
      <c r="AB12" s="2">
        <v>76342.529999999839</v>
      </c>
      <c r="AC12" s="2">
        <v>76363.299999999843</v>
      </c>
      <c r="AD12" s="2">
        <v>76385.129999999845</v>
      </c>
      <c r="AE12" s="2"/>
      <c r="AF12" s="3"/>
      <c r="AG12" s="51">
        <f t="shared" si="0"/>
        <v>76385.129999999845</v>
      </c>
      <c r="AH12" s="44">
        <v>75902.91</v>
      </c>
    </row>
    <row r="13" spans="1:34" x14ac:dyDescent="0.35">
      <c r="A13" s="33" t="s">
        <v>19</v>
      </c>
      <c r="B13" s="10">
        <v>72701.660000000033</v>
      </c>
      <c r="C13" s="2">
        <v>72723.130000000034</v>
      </c>
      <c r="D13" s="2">
        <v>72744.580000000031</v>
      </c>
      <c r="E13" s="2">
        <v>72759.97000000003</v>
      </c>
      <c r="F13" s="2">
        <v>72780.400000000023</v>
      </c>
      <c r="G13" s="2">
        <v>72790.050000000017</v>
      </c>
      <c r="H13" s="2">
        <v>72810.450000000012</v>
      </c>
      <c r="I13" s="2">
        <v>72822.240000000005</v>
      </c>
      <c r="J13" s="2">
        <v>72830.39</v>
      </c>
      <c r="K13" s="2">
        <v>72839.69</v>
      </c>
      <c r="L13" s="2">
        <v>72846.350000000006</v>
      </c>
      <c r="M13" s="2">
        <v>72846.350000000006</v>
      </c>
      <c r="N13" s="2">
        <v>72846.350000000006</v>
      </c>
      <c r="O13" s="2">
        <v>72846.350000000006</v>
      </c>
      <c r="P13" s="2">
        <v>72862.670000000013</v>
      </c>
      <c r="Q13" s="2">
        <v>72884.540000000008</v>
      </c>
      <c r="R13" s="2">
        <v>72906.360000000015</v>
      </c>
      <c r="S13" s="2">
        <v>72928.210000000021</v>
      </c>
      <c r="T13" s="2">
        <v>72949.550000000017</v>
      </c>
      <c r="U13" s="2">
        <v>72964.290000000023</v>
      </c>
      <c r="V13" s="2">
        <v>72983.400000000023</v>
      </c>
      <c r="W13" s="2">
        <v>73002.010000000024</v>
      </c>
      <c r="X13" s="2">
        <v>73008.950000000026</v>
      </c>
      <c r="Y13" s="2">
        <v>73022.590000000026</v>
      </c>
      <c r="Z13" s="2">
        <v>73043.380000000019</v>
      </c>
      <c r="AA13" s="2">
        <v>73063.080000000016</v>
      </c>
      <c r="AB13" s="2">
        <v>73077.24000000002</v>
      </c>
      <c r="AC13" s="2">
        <v>73096.330000000016</v>
      </c>
      <c r="AD13" s="2">
        <v>73115.360000000015</v>
      </c>
      <c r="AE13" s="2"/>
      <c r="AF13" s="3"/>
      <c r="AG13" s="51">
        <f t="shared" si="0"/>
        <v>73115.360000000015</v>
      </c>
      <c r="AH13" s="44">
        <v>72690.27</v>
      </c>
    </row>
    <row r="14" spans="1:34" x14ac:dyDescent="0.35">
      <c r="A14" s="33" t="s">
        <v>20</v>
      </c>
      <c r="B14" s="10">
        <v>71259.170000000129</v>
      </c>
      <c r="C14" s="2">
        <v>71280.180000000124</v>
      </c>
      <c r="D14" s="2">
        <v>71300.760000000126</v>
      </c>
      <c r="E14" s="2">
        <v>71322.320000000123</v>
      </c>
      <c r="F14" s="2">
        <v>71327.980000000127</v>
      </c>
      <c r="G14" s="2">
        <v>71328.090000000127</v>
      </c>
      <c r="H14" s="2">
        <v>71328.090000000127</v>
      </c>
      <c r="I14" s="2">
        <v>71345.120000000126</v>
      </c>
      <c r="J14" s="2">
        <v>71366.830000000133</v>
      </c>
      <c r="K14" s="2">
        <v>71383.940000000133</v>
      </c>
      <c r="L14" s="2">
        <v>71401.520000000135</v>
      </c>
      <c r="M14" s="2">
        <v>71415.550000000134</v>
      </c>
      <c r="N14" s="2">
        <v>71415.550000000134</v>
      </c>
      <c r="O14" s="2">
        <v>71415.550000000134</v>
      </c>
      <c r="P14" s="2">
        <v>71430.200000000128</v>
      </c>
      <c r="Q14" s="2">
        <v>71451.560000000129</v>
      </c>
      <c r="R14" s="2">
        <v>71472.910000000134</v>
      </c>
      <c r="S14" s="2">
        <v>71490.28000000013</v>
      </c>
      <c r="T14" s="2">
        <v>71503.180000000124</v>
      </c>
      <c r="U14" s="2">
        <v>71513.190000000119</v>
      </c>
      <c r="V14" s="2">
        <v>71513.190000000119</v>
      </c>
      <c r="W14" s="2">
        <v>71513.190000000119</v>
      </c>
      <c r="X14" s="2">
        <v>71513.190000000119</v>
      </c>
      <c r="Y14" s="2">
        <v>71513.190000000119</v>
      </c>
      <c r="Z14" s="2">
        <v>71513.190000000119</v>
      </c>
      <c r="AA14" s="2">
        <v>71513.190000000119</v>
      </c>
      <c r="AB14" s="2">
        <v>71513.190000000119</v>
      </c>
      <c r="AC14" s="2">
        <v>71513.190000000119</v>
      </c>
      <c r="AD14" s="2">
        <v>71513.190000000119</v>
      </c>
      <c r="AE14" s="2"/>
      <c r="AF14" s="3"/>
      <c r="AG14" s="51">
        <f t="shared" si="0"/>
        <v>71513.190000000119</v>
      </c>
      <c r="AH14" s="44">
        <v>71237.37</v>
      </c>
    </row>
    <row r="15" spans="1:34" x14ac:dyDescent="0.35">
      <c r="A15" s="33" t="s">
        <v>21</v>
      </c>
      <c r="B15" s="10">
        <v>72186.570000000182</v>
      </c>
      <c r="C15" s="2">
        <v>72205.710000000181</v>
      </c>
      <c r="D15" s="2">
        <v>72226.49000000018</v>
      </c>
      <c r="E15" s="2">
        <v>72241.430000000182</v>
      </c>
      <c r="F15" s="2">
        <v>72249.480000000185</v>
      </c>
      <c r="G15" s="2">
        <v>72249.480000000185</v>
      </c>
      <c r="H15" s="2">
        <v>72249.480000000185</v>
      </c>
      <c r="I15" s="2">
        <v>72259.85000000018</v>
      </c>
      <c r="J15" s="2">
        <v>72280.780000000173</v>
      </c>
      <c r="K15" s="2">
        <v>72299.790000000168</v>
      </c>
      <c r="L15" s="2">
        <v>72321.080000000162</v>
      </c>
      <c r="M15" s="2">
        <v>72341.900000000169</v>
      </c>
      <c r="N15" s="2">
        <v>72345.630000000165</v>
      </c>
      <c r="O15" s="2">
        <v>72345.630000000165</v>
      </c>
      <c r="P15" s="2">
        <v>72354.880000000165</v>
      </c>
      <c r="Q15" s="2">
        <v>72376.510000000169</v>
      </c>
      <c r="R15" s="2">
        <v>72398.130000000165</v>
      </c>
      <c r="S15" s="2">
        <v>72418.720000000161</v>
      </c>
      <c r="T15" s="2">
        <v>72438.980000000156</v>
      </c>
      <c r="U15" s="2">
        <v>72453.760000000155</v>
      </c>
      <c r="V15" s="2">
        <v>72474.740000000151</v>
      </c>
      <c r="W15" s="2">
        <v>72496.13000000015</v>
      </c>
      <c r="X15" s="2">
        <v>72516.750000000146</v>
      </c>
      <c r="Y15" s="2">
        <v>72537.090000000142</v>
      </c>
      <c r="Z15" s="2">
        <v>72540.90000000014</v>
      </c>
      <c r="AA15" s="2">
        <v>72540.90000000014</v>
      </c>
      <c r="AB15" s="2">
        <v>72540.90000000014</v>
      </c>
      <c r="AC15" s="2">
        <v>72540.90000000014</v>
      </c>
      <c r="AD15" s="2">
        <v>72548.950000000143</v>
      </c>
      <c r="AE15" s="2"/>
      <c r="AF15" s="3"/>
      <c r="AG15" s="51">
        <f t="shared" si="0"/>
        <v>72548.950000000143</v>
      </c>
      <c r="AH15" s="44">
        <v>72167.789999999994</v>
      </c>
    </row>
    <row r="16" spans="1:34" x14ac:dyDescent="0.35">
      <c r="A16" s="33" t="s">
        <v>22</v>
      </c>
      <c r="B16" s="10">
        <v>69844.819999999949</v>
      </c>
      <c r="C16" s="2">
        <v>69861.779999999955</v>
      </c>
      <c r="D16" s="2">
        <v>69883.779999999955</v>
      </c>
      <c r="E16" s="2">
        <v>69904.119999999952</v>
      </c>
      <c r="F16" s="2">
        <v>69922.449999999953</v>
      </c>
      <c r="G16" s="2">
        <v>69943.329999999958</v>
      </c>
      <c r="H16" s="2">
        <v>69964.789999999964</v>
      </c>
      <c r="I16" s="2">
        <v>69977.77999999997</v>
      </c>
      <c r="J16" s="2">
        <v>69995.369999999966</v>
      </c>
      <c r="K16" s="2">
        <v>70016.939999999973</v>
      </c>
      <c r="L16" s="2">
        <v>70028.099999999977</v>
      </c>
      <c r="M16" s="2">
        <v>70033.919999999984</v>
      </c>
      <c r="N16" s="2">
        <v>70048.119999999981</v>
      </c>
      <c r="O16" s="2">
        <v>70069.099999999977</v>
      </c>
      <c r="P16" s="2">
        <v>70078.109999999971</v>
      </c>
      <c r="Q16" s="2">
        <v>70078.419999999969</v>
      </c>
      <c r="R16" s="2">
        <v>70092.149999999965</v>
      </c>
      <c r="S16" s="2">
        <v>70113.429999999964</v>
      </c>
      <c r="T16" s="2">
        <v>70134.879999999961</v>
      </c>
      <c r="U16" s="2">
        <v>70148.349999999962</v>
      </c>
      <c r="V16" s="2">
        <v>70169.289999999964</v>
      </c>
      <c r="W16" s="2">
        <v>70189.079999999958</v>
      </c>
      <c r="X16" s="2">
        <v>70208.949999999953</v>
      </c>
      <c r="Y16" s="2">
        <v>70228.649999999951</v>
      </c>
      <c r="Z16" s="2">
        <v>70249.159999999945</v>
      </c>
      <c r="AA16" s="2">
        <v>70262.719999999943</v>
      </c>
      <c r="AB16" s="2">
        <v>70284.109999999942</v>
      </c>
      <c r="AC16" s="2">
        <v>70289.959999999948</v>
      </c>
      <c r="AD16" s="2">
        <v>70301.709999999948</v>
      </c>
      <c r="AE16" s="2"/>
      <c r="AF16" s="3"/>
      <c r="AG16" s="51">
        <f t="shared" si="0"/>
        <v>70301.709999999948</v>
      </c>
      <c r="AH16" s="44">
        <v>69825.17</v>
      </c>
    </row>
    <row r="17" spans="1:34" x14ac:dyDescent="0.35">
      <c r="A17" s="33" t="s">
        <v>23</v>
      </c>
      <c r="B17" s="10">
        <v>71266.330000000104</v>
      </c>
      <c r="C17" s="2">
        <v>71286.660000000105</v>
      </c>
      <c r="D17" s="2">
        <v>71307.970000000103</v>
      </c>
      <c r="E17" s="2">
        <v>71324.690000000104</v>
      </c>
      <c r="F17" s="2">
        <v>71339.950000000099</v>
      </c>
      <c r="G17" s="2">
        <v>71360.4200000001</v>
      </c>
      <c r="H17" s="2">
        <v>71381.3100000001</v>
      </c>
      <c r="I17" s="2">
        <v>71402.5600000001</v>
      </c>
      <c r="J17" s="2">
        <v>71423.230000000098</v>
      </c>
      <c r="K17" s="2">
        <v>71444.780000000101</v>
      </c>
      <c r="L17" s="2">
        <v>71466.200000000099</v>
      </c>
      <c r="M17" s="2">
        <v>71487.550000000105</v>
      </c>
      <c r="N17" s="2">
        <v>71508.990000000107</v>
      </c>
      <c r="O17" s="2">
        <v>71521.340000000113</v>
      </c>
      <c r="P17" s="2">
        <v>71542.300000000119</v>
      </c>
      <c r="Q17" s="2">
        <v>71563.260000000126</v>
      </c>
      <c r="R17" s="2">
        <v>71583.680000000124</v>
      </c>
      <c r="S17" s="2">
        <v>71602.070000000123</v>
      </c>
      <c r="T17" s="2">
        <v>71606.080000000118</v>
      </c>
      <c r="U17" s="2">
        <v>71606.080000000118</v>
      </c>
      <c r="V17" s="2">
        <v>71607.490000000122</v>
      </c>
      <c r="W17" s="2">
        <v>71628.77000000012</v>
      </c>
      <c r="X17" s="2">
        <v>71650.130000000121</v>
      </c>
      <c r="Y17" s="2">
        <v>71665.620000000126</v>
      </c>
      <c r="Z17" s="2">
        <v>71682.740000000122</v>
      </c>
      <c r="AA17" s="2">
        <v>71702.460000000123</v>
      </c>
      <c r="AB17" s="2">
        <v>71704.190000000119</v>
      </c>
      <c r="AC17" s="2">
        <v>71721.490000000122</v>
      </c>
      <c r="AD17" s="2">
        <v>71742.740000000122</v>
      </c>
      <c r="AE17" s="2"/>
      <c r="AF17" s="3"/>
      <c r="AG17" s="51">
        <f t="shared" si="0"/>
        <v>71742.740000000122</v>
      </c>
      <c r="AH17" s="44">
        <v>71246.740000000005</v>
      </c>
    </row>
    <row r="18" spans="1:34" x14ac:dyDescent="0.35">
      <c r="A18" s="33" t="s">
        <v>24</v>
      </c>
      <c r="B18" s="10">
        <v>71494.650000000067</v>
      </c>
      <c r="C18" s="2">
        <v>71516.390000000072</v>
      </c>
      <c r="D18" s="2">
        <v>71537.580000000075</v>
      </c>
      <c r="E18" s="2">
        <v>71559.150000000081</v>
      </c>
      <c r="F18" s="2">
        <v>71577.970000000088</v>
      </c>
      <c r="G18" s="2">
        <v>71597.420000000086</v>
      </c>
      <c r="H18" s="2">
        <v>71609.750000000087</v>
      </c>
      <c r="I18" s="2">
        <v>71630.860000000088</v>
      </c>
      <c r="J18" s="2">
        <v>71646.960000000094</v>
      </c>
      <c r="K18" s="2">
        <v>71659.180000000095</v>
      </c>
      <c r="L18" s="2">
        <v>71670.630000000092</v>
      </c>
      <c r="M18" s="2">
        <v>71670.630000000092</v>
      </c>
      <c r="N18" s="2">
        <v>71685.580000000089</v>
      </c>
      <c r="O18" s="2">
        <v>71706.900000000096</v>
      </c>
      <c r="P18" s="2">
        <v>71725.200000000099</v>
      </c>
      <c r="Q18" s="2">
        <v>71733.580000000104</v>
      </c>
      <c r="R18" s="2">
        <v>71745.200000000099</v>
      </c>
      <c r="S18" s="2">
        <v>71747.830000000104</v>
      </c>
      <c r="T18" s="2">
        <v>71769.450000000099</v>
      </c>
      <c r="U18" s="2">
        <v>71780.160000000105</v>
      </c>
      <c r="V18" s="2">
        <v>71799.980000000112</v>
      </c>
      <c r="W18" s="2">
        <v>71816.29000000011</v>
      </c>
      <c r="X18" s="2">
        <v>71837.54000000011</v>
      </c>
      <c r="Y18" s="2">
        <v>71858.930000000109</v>
      </c>
      <c r="Z18" s="2">
        <v>71880.100000000108</v>
      </c>
      <c r="AA18" s="2">
        <v>71901.700000000114</v>
      </c>
      <c r="AB18" s="2">
        <v>71923.400000000111</v>
      </c>
      <c r="AC18" s="2">
        <v>71944.160000000105</v>
      </c>
      <c r="AD18" s="2">
        <v>71965.500000000102</v>
      </c>
      <c r="AE18" s="2"/>
      <c r="AF18" s="3"/>
      <c r="AG18" s="51">
        <f t="shared" si="0"/>
        <v>71965.500000000102</v>
      </c>
      <c r="AH18" s="44">
        <v>71474.91</v>
      </c>
    </row>
    <row r="19" spans="1:34" x14ac:dyDescent="0.35">
      <c r="A19" s="33" t="s">
        <v>25</v>
      </c>
      <c r="B19" s="10">
        <v>70173.140000000218</v>
      </c>
      <c r="C19" s="2">
        <v>70195.090000000215</v>
      </c>
      <c r="D19" s="2">
        <v>70216.810000000216</v>
      </c>
      <c r="E19" s="2">
        <v>70239.000000000218</v>
      </c>
      <c r="F19" s="2">
        <v>70251.570000000225</v>
      </c>
      <c r="G19" s="2">
        <v>70264.320000000225</v>
      </c>
      <c r="H19" s="2">
        <v>70284.040000000226</v>
      </c>
      <c r="I19" s="2">
        <v>70304.190000000221</v>
      </c>
      <c r="J19" s="2">
        <v>70326.140000000218</v>
      </c>
      <c r="K19" s="2">
        <v>70347.790000000212</v>
      </c>
      <c r="L19" s="2">
        <v>70367.400000000212</v>
      </c>
      <c r="M19" s="2">
        <v>70376.490000000209</v>
      </c>
      <c r="N19" s="2">
        <v>70376.490000000209</v>
      </c>
      <c r="O19" s="2">
        <v>70376.490000000209</v>
      </c>
      <c r="P19" s="2">
        <v>70376.490000000209</v>
      </c>
      <c r="Q19" s="2">
        <v>70376.490000000209</v>
      </c>
      <c r="R19" s="2">
        <v>70379.470000000205</v>
      </c>
      <c r="S19" s="2">
        <v>70397.660000000207</v>
      </c>
      <c r="T19" s="2">
        <v>70418.020000000208</v>
      </c>
      <c r="U19" s="2">
        <v>70435.280000000203</v>
      </c>
      <c r="V19" s="2">
        <v>70451.450000000201</v>
      </c>
      <c r="W19" s="2">
        <v>70458.910000000207</v>
      </c>
      <c r="X19" s="2">
        <v>70477.180000000211</v>
      </c>
      <c r="Y19" s="2">
        <v>70494.400000000212</v>
      </c>
      <c r="Z19" s="2">
        <v>70511.060000000216</v>
      </c>
      <c r="AA19" s="2">
        <v>70532.390000000218</v>
      </c>
      <c r="AB19" s="2">
        <v>70554.250000000218</v>
      </c>
      <c r="AC19" s="2">
        <v>70574.820000000225</v>
      </c>
      <c r="AD19" s="2">
        <v>70593.260000000228</v>
      </c>
      <c r="AE19" s="2"/>
      <c r="AF19" s="3"/>
      <c r="AG19" s="51">
        <f t="shared" si="0"/>
        <v>70593.260000000228</v>
      </c>
      <c r="AH19" s="44">
        <v>70152.320000000007</v>
      </c>
    </row>
    <row r="20" spans="1:34" x14ac:dyDescent="0.35">
      <c r="A20" s="33" t="s">
        <v>26</v>
      </c>
      <c r="B20" s="10">
        <v>71257.059999999969</v>
      </c>
      <c r="C20" s="2">
        <v>71277.739999999962</v>
      </c>
      <c r="D20" s="2">
        <v>71299.349999999962</v>
      </c>
      <c r="E20" s="2">
        <v>71319.389999999956</v>
      </c>
      <c r="F20" s="2">
        <v>71336.569999999949</v>
      </c>
      <c r="G20" s="2">
        <v>71354.28999999995</v>
      </c>
      <c r="H20" s="2">
        <v>71375.099999999948</v>
      </c>
      <c r="I20" s="2">
        <v>71396.739999999947</v>
      </c>
      <c r="J20" s="2">
        <v>71411.349999999948</v>
      </c>
      <c r="K20" s="2">
        <v>71433.659999999945</v>
      </c>
      <c r="L20" s="2">
        <v>71454.889999999941</v>
      </c>
      <c r="M20" s="2">
        <v>71476.329999999944</v>
      </c>
      <c r="N20" s="2">
        <v>71497.649999999951</v>
      </c>
      <c r="O20" s="2">
        <v>71505.739999999947</v>
      </c>
      <c r="P20" s="2">
        <v>71525.709999999948</v>
      </c>
      <c r="Q20" s="2">
        <v>71538.129999999946</v>
      </c>
      <c r="R20" s="2">
        <v>71538.129999999946</v>
      </c>
      <c r="S20" s="2">
        <v>71538.129999999946</v>
      </c>
      <c r="T20" s="2">
        <v>71538.129999999946</v>
      </c>
      <c r="U20" s="2">
        <v>71538.129999999946</v>
      </c>
      <c r="V20" s="2">
        <v>71538.129999999946</v>
      </c>
      <c r="W20" s="2">
        <v>71538.129999999946</v>
      </c>
      <c r="X20" s="2">
        <v>71538.129999999946</v>
      </c>
      <c r="Y20" s="2">
        <v>71538.129999999946</v>
      </c>
      <c r="Z20" s="2">
        <v>71538.129999999946</v>
      </c>
      <c r="AA20" s="2">
        <v>71538.129999999946</v>
      </c>
      <c r="AB20" s="2">
        <v>71538.129999999946</v>
      </c>
      <c r="AC20" s="2">
        <v>71538.129999999946</v>
      </c>
      <c r="AD20" s="2">
        <v>71538.129999999946</v>
      </c>
      <c r="AE20" s="2"/>
      <c r="AF20" s="3"/>
      <c r="AG20" s="51">
        <f t="shared" si="0"/>
        <v>71538.129999999946</v>
      </c>
      <c r="AH20" s="44">
        <v>71237.23</v>
      </c>
    </row>
    <row r="21" spans="1:34" x14ac:dyDescent="0.35">
      <c r="A21" s="33" t="s">
        <v>27</v>
      </c>
      <c r="B21" s="10">
        <v>72017.32000000008</v>
      </c>
      <c r="C21" s="2">
        <v>72039.050000000076</v>
      </c>
      <c r="D21" s="2">
        <v>72060.210000000079</v>
      </c>
      <c r="E21" s="2">
        <v>72082.100000000079</v>
      </c>
      <c r="F21" s="2">
        <v>72103.280000000072</v>
      </c>
      <c r="G21" s="2">
        <v>72123.230000000069</v>
      </c>
      <c r="H21" s="2">
        <v>72144.510000000068</v>
      </c>
      <c r="I21" s="2">
        <v>72165.850000000064</v>
      </c>
      <c r="J21" s="2">
        <v>72187.240000000063</v>
      </c>
      <c r="K21" s="2">
        <v>72207.920000000056</v>
      </c>
      <c r="L21" s="2">
        <v>72229.870000000054</v>
      </c>
      <c r="M21" s="2">
        <v>72251.840000000055</v>
      </c>
      <c r="N21" s="2">
        <v>72273.720000000059</v>
      </c>
      <c r="O21" s="2">
        <v>72295.510000000053</v>
      </c>
      <c r="P21" s="2">
        <v>72313.58000000006</v>
      </c>
      <c r="Q21" s="2">
        <v>72334.900000000067</v>
      </c>
      <c r="R21" s="2">
        <v>72356.550000000061</v>
      </c>
      <c r="S21" s="2">
        <v>72378.420000000056</v>
      </c>
      <c r="T21" s="2">
        <v>72398.950000000055</v>
      </c>
      <c r="U21" s="2">
        <v>72413.870000000054</v>
      </c>
      <c r="V21" s="2">
        <v>72435.400000000052</v>
      </c>
      <c r="W21" s="2">
        <v>72445.510000000053</v>
      </c>
      <c r="X21" s="2">
        <v>72466.720000000059</v>
      </c>
      <c r="Y21" s="2">
        <v>72480.910000000062</v>
      </c>
      <c r="Z21" s="2">
        <v>72502.100000000064</v>
      </c>
      <c r="AA21" s="2">
        <v>72520.290000000066</v>
      </c>
      <c r="AB21" s="2">
        <v>72541.920000000071</v>
      </c>
      <c r="AC21" s="2">
        <v>72563.280000000072</v>
      </c>
      <c r="AD21" s="2">
        <v>72585.010000000068</v>
      </c>
      <c r="AE21" s="2"/>
      <c r="AF21" s="3"/>
      <c r="AG21" s="51">
        <f t="shared" si="0"/>
        <v>72585.010000000068</v>
      </c>
      <c r="AH21" s="44">
        <v>71996.58</v>
      </c>
    </row>
    <row r="22" spans="1:34" x14ac:dyDescent="0.35">
      <c r="A22" s="33" t="s">
        <v>28</v>
      </c>
      <c r="B22" s="10">
        <v>68698.490000000005</v>
      </c>
      <c r="C22" s="2">
        <v>68720.210000000006</v>
      </c>
      <c r="D22" s="2">
        <v>68742.13</v>
      </c>
      <c r="E22" s="2">
        <v>68762.900000000009</v>
      </c>
      <c r="F22" s="2">
        <v>68785.000000000015</v>
      </c>
      <c r="G22" s="2">
        <v>68806.180000000008</v>
      </c>
      <c r="H22" s="2">
        <v>68826.390000000014</v>
      </c>
      <c r="I22" s="2">
        <v>68848.220000000016</v>
      </c>
      <c r="J22" s="2">
        <v>68869.500000000015</v>
      </c>
      <c r="K22" s="2">
        <v>68890.800000000017</v>
      </c>
      <c r="L22" s="2">
        <v>68911.060000000012</v>
      </c>
      <c r="M22" s="2">
        <v>68931.840000000011</v>
      </c>
      <c r="N22" s="2">
        <v>68953.37000000001</v>
      </c>
      <c r="O22" s="2">
        <v>68960.900000000009</v>
      </c>
      <c r="P22" s="2">
        <v>68980.590000000011</v>
      </c>
      <c r="Q22" s="2">
        <v>68997.540000000008</v>
      </c>
      <c r="R22" s="2">
        <v>69019.200000000012</v>
      </c>
      <c r="S22" s="2">
        <v>69039.820000000007</v>
      </c>
      <c r="T22" s="2">
        <v>69055.33</v>
      </c>
      <c r="U22" s="2">
        <v>69070.86</v>
      </c>
      <c r="V22" s="2">
        <v>69092.42</v>
      </c>
      <c r="W22" s="2">
        <v>69110.62</v>
      </c>
      <c r="X22" s="2">
        <v>69132.19</v>
      </c>
      <c r="Y22" s="2">
        <v>69153.36</v>
      </c>
      <c r="Z22" s="2">
        <v>69174.97</v>
      </c>
      <c r="AA22" s="2">
        <v>69186.94</v>
      </c>
      <c r="AB22" s="2">
        <v>69208.490000000005</v>
      </c>
      <c r="AC22" s="2">
        <v>69226.11</v>
      </c>
      <c r="AD22" s="2">
        <v>69232.759999999995</v>
      </c>
      <c r="AE22" s="2"/>
      <c r="AF22" s="3"/>
      <c r="AG22" s="51">
        <f t="shared" si="0"/>
        <v>69232.759999999995</v>
      </c>
      <c r="AH22" s="44">
        <v>68677.36</v>
      </c>
    </row>
    <row r="23" spans="1:34" x14ac:dyDescent="0.35">
      <c r="A23" s="33" t="s">
        <v>29</v>
      </c>
      <c r="B23" s="10">
        <v>66156.599999999919</v>
      </c>
      <c r="C23" s="2">
        <v>66178.409999999916</v>
      </c>
      <c r="D23" s="2">
        <v>66200.55999999991</v>
      </c>
      <c r="E23" s="2">
        <v>66221.789999999906</v>
      </c>
      <c r="F23" s="2">
        <v>66235.749999999913</v>
      </c>
      <c r="G23" s="2">
        <v>66235.749999999913</v>
      </c>
      <c r="H23" s="2">
        <v>66249.459999999919</v>
      </c>
      <c r="I23" s="2">
        <v>66257.019999999917</v>
      </c>
      <c r="J23" s="2">
        <v>66276.989999999918</v>
      </c>
      <c r="K23" s="2">
        <v>66294.539999999921</v>
      </c>
      <c r="L23" s="2">
        <v>66306.019999999917</v>
      </c>
      <c r="M23" s="2">
        <v>66321.439999999915</v>
      </c>
      <c r="N23" s="2">
        <v>66342.779999999912</v>
      </c>
      <c r="O23" s="2">
        <v>66362.819999999905</v>
      </c>
      <c r="P23" s="2">
        <v>66382.989999999903</v>
      </c>
      <c r="Q23" s="2">
        <v>66403.919999999896</v>
      </c>
      <c r="R23" s="2">
        <v>66411.559999999896</v>
      </c>
      <c r="S23" s="2">
        <v>66411.559999999896</v>
      </c>
      <c r="T23" s="2">
        <v>66425.469999999899</v>
      </c>
      <c r="U23" s="2">
        <v>66442.209999999905</v>
      </c>
      <c r="V23" s="2">
        <v>66463.859999999899</v>
      </c>
      <c r="W23" s="2">
        <v>66485.4399999999</v>
      </c>
      <c r="X23" s="2">
        <v>66496.059999999896</v>
      </c>
      <c r="Y23" s="2">
        <v>66505.219999999899</v>
      </c>
      <c r="Z23" s="2">
        <v>66525.589999999895</v>
      </c>
      <c r="AA23" s="2">
        <v>66540.799999999901</v>
      </c>
      <c r="AB23" s="2">
        <v>66554.759999999907</v>
      </c>
      <c r="AC23" s="2">
        <v>66567.1899999999</v>
      </c>
      <c r="AD23" s="2">
        <v>66585.259999999907</v>
      </c>
      <c r="AE23" s="2"/>
      <c r="AF23" s="3"/>
      <c r="AG23" s="51">
        <f t="shared" si="0"/>
        <v>66585.259999999907</v>
      </c>
      <c r="AH23" s="44">
        <v>66141.990000000005</v>
      </c>
    </row>
    <row r="24" spans="1:34" x14ac:dyDescent="0.35">
      <c r="A24" s="33" t="s">
        <v>30</v>
      </c>
      <c r="B24" s="10">
        <v>64589.180000000058</v>
      </c>
      <c r="C24" s="2">
        <v>64611.270000000055</v>
      </c>
      <c r="D24" s="2">
        <v>64626.990000000056</v>
      </c>
      <c r="E24" s="2">
        <v>64630.920000000056</v>
      </c>
      <c r="F24" s="2">
        <v>64634.590000000055</v>
      </c>
      <c r="G24" s="2">
        <v>64656.070000000058</v>
      </c>
      <c r="H24" s="2">
        <v>64671.200000000055</v>
      </c>
      <c r="I24" s="2">
        <v>64674.390000000058</v>
      </c>
      <c r="J24" s="2">
        <v>64674.390000000058</v>
      </c>
      <c r="K24" s="2">
        <v>64690.51000000006</v>
      </c>
      <c r="L24" s="2">
        <v>64696.730000000061</v>
      </c>
      <c r="M24" s="2">
        <v>64717.950000000063</v>
      </c>
      <c r="N24" s="2">
        <v>64728.570000000065</v>
      </c>
      <c r="O24" s="2">
        <v>64739.550000000068</v>
      </c>
      <c r="P24" s="2">
        <v>64759.600000000071</v>
      </c>
      <c r="Q24" s="2">
        <v>64771.220000000074</v>
      </c>
      <c r="R24" s="2">
        <v>64786.390000000072</v>
      </c>
      <c r="S24" s="2">
        <v>64801.210000000072</v>
      </c>
      <c r="T24" s="2">
        <v>64809.840000000069</v>
      </c>
      <c r="U24" s="2">
        <v>64816.800000000068</v>
      </c>
      <c r="V24" s="2">
        <v>64834.580000000067</v>
      </c>
      <c r="W24" s="2">
        <v>64851.600000000064</v>
      </c>
      <c r="X24" s="2">
        <v>64870.730000000061</v>
      </c>
      <c r="Y24" s="2">
        <v>64891.770000000062</v>
      </c>
      <c r="Z24" s="2">
        <v>64902.850000000064</v>
      </c>
      <c r="AA24" s="2">
        <v>64914.040000000066</v>
      </c>
      <c r="AB24" s="2">
        <v>64928.800000000068</v>
      </c>
      <c r="AC24" s="2">
        <v>64949.720000000067</v>
      </c>
      <c r="AD24" s="2">
        <v>64957.170000000064</v>
      </c>
      <c r="AE24" s="2"/>
      <c r="AF24" s="3"/>
      <c r="AG24" s="51">
        <f t="shared" si="0"/>
        <v>64957.170000000064</v>
      </c>
      <c r="AH24" s="44">
        <v>64572.2</v>
      </c>
    </row>
    <row r="25" spans="1:34" x14ac:dyDescent="0.35">
      <c r="A25" s="33" t="s">
        <v>31</v>
      </c>
      <c r="B25" s="10">
        <v>64104.110000000022</v>
      </c>
      <c r="C25" s="2">
        <v>64124.560000000019</v>
      </c>
      <c r="D25" s="2">
        <v>64142.010000000017</v>
      </c>
      <c r="E25" s="2">
        <v>64163.610000000015</v>
      </c>
      <c r="F25" s="2">
        <v>64183.930000000015</v>
      </c>
      <c r="G25" s="2">
        <v>64205.240000000013</v>
      </c>
      <c r="H25" s="2">
        <v>64226.910000000011</v>
      </c>
      <c r="I25" s="2">
        <v>64248.290000000008</v>
      </c>
      <c r="J25" s="2">
        <v>64269.55000000001</v>
      </c>
      <c r="K25" s="2">
        <v>64291.130000000012</v>
      </c>
      <c r="L25" s="2">
        <v>64312.430000000015</v>
      </c>
      <c r="M25" s="2">
        <v>64334.290000000015</v>
      </c>
      <c r="N25" s="2">
        <v>64355.080000000016</v>
      </c>
      <c r="O25" s="2">
        <v>64376.860000000015</v>
      </c>
      <c r="P25" s="2">
        <v>64397.320000000014</v>
      </c>
      <c r="Q25" s="2">
        <v>64417.200000000012</v>
      </c>
      <c r="R25" s="2">
        <v>64420.710000000014</v>
      </c>
      <c r="S25" s="2">
        <v>64423.520000000011</v>
      </c>
      <c r="T25" s="2">
        <v>64444.510000000009</v>
      </c>
      <c r="U25" s="2">
        <v>64462.950000000012</v>
      </c>
      <c r="V25" s="2">
        <v>64468.920000000013</v>
      </c>
      <c r="W25" s="2">
        <v>64487.500000000015</v>
      </c>
      <c r="X25" s="2">
        <v>64508.680000000015</v>
      </c>
      <c r="Y25" s="2">
        <v>64530.000000000015</v>
      </c>
      <c r="Z25" s="2">
        <v>64544.520000000011</v>
      </c>
      <c r="AA25" s="2">
        <v>64566.320000000014</v>
      </c>
      <c r="AB25" s="2">
        <v>64587.630000000012</v>
      </c>
      <c r="AC25" s="2">
        <v>64609.170000000013</v>
      </c>
      <c r="AD25" s="2">
        <v>64630.450000000012</v>
      </c>
      <c r="AE25" s="2"/>
      <c r="AF25" s="3"/>
      <c r="AG25" s="51">
        <f t="shared" si="0"/>
        <v>64630.450000000012</v>
      </c>
      <c r="AH25" s="44">
        <v>64082.71</v>
      </c>
    </row>
    <row r="26" spans="1:34" x14ac:dyDescent="0.35">
      <c r="A26" s="33" t="s">
        <v>32</v>
      </c>
      <c r="B26" s="10">
        <v>65458.639999999963</v>
      </c>
      <c r="C26" s="2">
        <v>65479.919999999962</v>
      </c>
      <c r="D26" s="2">
        <v>65500.849999999962</v>
      </c>
      <c r="E26" s="2">
        <v>65522.559999999961</v>
      </c>
      <c r="F26" s="2">
        <v>65543.959999999963</v>
      </c>
      <c r="G26" s="2">
        <v>65564.599999999962</v>
      </c>
      <c r="H26" s="2">
        <v>65585.929999999964</v>
      </c>
      <c r="I26" s="2">
        <v>65607.799999999959</v>
      </c>
      <c r="J26" s="2">
        <v>65628.449999999953</v>
      </c>
      <c r="K26" s="2">
        <v>65645.119999999952</v>
      </c>
      <c r="L26" s="2">
        <v>65661.079999999958</v>
      </c>
      <c r="M26" s="2">
        <v>65666.579999999958</v>
      </c>
      <c r="N26" s="2">
        <v>65687.849999999962</v>
      </c>
      <c r="O26" s="2">
        <v>65689.849999999962</v>
      </c>
      <c r="P26" s="2">
        <v>65698.459999999963</v>
      </c>
      <c r="Q26" s="2">
        <v>65719.559999999969</v>
      </c>
      <c r="R26" s="2">
        <v>65741.27999999997</v>
      </c>
      <c r="S26" s="2">
        <v>65762.649999999965</v>
      </c>
      <c r="T26" s="2">
        <v>65784.419999999969</v>
      </c>
      <c r="U26" s="2">
        <v>65801.539999999964</v>
      </c>
      <c r="V26" s="2">
        <v>65813.949999999968</v>
      </c>
      <c r="W26" s="2">
        <v>65814.829999999973</v>
      </c>
      <c r="X26" s="2">
        <v>65814.829999999973</v>
      </c>
      <c r="Y26" s="2">
        <v>65814.829999999973</v>
      </c>
      <c r="Z26" s="2">
        <v>65814.829999999973</v>
      </c>
      <c r="AA26" s="2">
        <v>65832.709999999977</v>
      </c>
      <c r="AB26" s="2">
        <v>65834.709999999977</v>
      </c>
      <c r="AC26" s="2">
        <v>65846.959999999977</v>
      </c>
      <c r="AD26" s="2">
        <v>65859.669999999984</v>
      </c>
      <c r="AE26" s="2"/>
      <c r="AF26" s="3"/>
      <c r="AG26" s="51">
        <f t="shared" si="0"/>
        <v>65859.669999999984</v>
      </c>
      <c r="AH26" s="44">
        <v>65442.5</v>
      </c>
    </row>
    <row r="27" spans="1:34" x14ac:dyDescent="0.35">
      <c r="A27" s="33" t="s">
        <v>33</v>
      </c>
      <c r="B27" s="10">
        <v>65643.380000000077</v>
      </c>
      <c r="C27" s="2">
        <v>65661.640000000072</v>
      </c>
      <c r="D27" s="2">
        <v>65682.930000000066</v>
      </c>
      <c r="E27" s="2">
        <v>65702.550000000061</v>
      </c>
      <c r="F27" s="2">
        <v>65724.300000000061</v>
      </c>
      <c r="G27" s="2">
        <v>65736.770000000062</v>
      </c>
      <c r="H27" s="2">
        <v>65739.110000000059</v>
      </c>
      <c r="I27" s="2">
        <v>65750.610000000059</v>
      </c>
      <c r="J27" s="2">
        <v>65770.600000000064</v>
      </c>
      <c r="K27" s="2">
        <v>65789.460000000065</v>
      </c>
      <c r="L27" s="2">
        <v>65810.780000000072</v>
      </c>
      <c r="M27" s="2">
        <v>65832.320000000065</v>
      </c>
      <c r="N27" s="2">
        <v>65853.970000000059</v>
      </c>
      <c r="O27" s="2">
        <v>65874.470000000059</v>
      </c>
      <c r="P27" s="2">
        <v>65895.720000000059</v>
      </c>
      <c r="Q27" s="2">
        <v>65916.640000000058</v>
      </c>
      <c r="R27" s="2">
        <v>65938.560000000056</v>
      </c>
      <c r="S27" s="2">
        <v>65960.600000000049</v>
      </c>
      <c r="T27" s="2">
        <v>65981.000000000044</v>
      </c>
      <c r="U27" s="2">
        <v>65996.400000000038</v>
      </c>
      <c r="V27" s="2">
        <v>66017.870000000039</v>
      </c>
      <c r="W27" s="2">
        <v>66038.900000000038</v>
      </c>
      <c r="X27" s="2">
        <v>66059.890000000043</v>
      </c>
      <c r="Y27" s="2">
        <v>66081.030000000042</v>
      </c>
      <c r="Z27" s="2">
        <v>66102.460000000036</v>
      </c>
      <c r="AA27" s="2">
        <v>66123.280000000042</v>
      </c>
      <c r="AB27" s="2">
        <v>66141.500000000044</v>
      </c>
      <c r="AC27" s="2">
        <v>66157.21000000005</v>
      </c>
      <c r="AD27" s="2">
        <v>66164.290000000052</v>
      </c>
      <c r="AE27" s="2"/>
      <c r="AF27" s="3"/>
      <c r="AG27" s="51">
        <f t="shared" si="0"/>
        <v>66164.290000000052</v>
      </c>
      <c r="AH27" s="44">
        <v>65625.759999999995</v>
      </c>
    </row>
    <row r="28" spans="1:34" x14ac:dyDescent="0.35">
      <c r="A28" s="33" t="s">
        <v>34</v>
      </c>
      <c r="B28" s="10">
        <v>63120.410000000076</v>
      </c>
      <c r="C28" s="2">
        <v>63142.470000000074</v>
      </c>
      <c r="D28" s="2">
        <v>63163.650000000074</v>
      </c>
      <c r="E28" s="2">
        <v>63185.140000000072</v>
      </c>
      <c r="F28" s="2">
        <v>63206.940000000075</v>
      </c>
      <c r="G28" s="2">
        <v>63224.850000000079</v>
      </c>
      <c r="H28" s="2">
        <v>63235.480000000076</v>
      </c>
      <c r="I28" s="2">
        <v>63257.120000000075</v>
      </c>
      <c r="J28" s="2">
        <v>63269.700000000077</v>
      </c>
      <c r="K28" s="2">
        <v>63287.170000000078</v>
      </c>
      <c r="L28" s="2">
        <v>63308.630000000077</v>
      </c>
      <c r="M28" s="2">
        <v>63330.00000000008</v>
      </c>
      <c r="N28" s="2">
        <v>63350.940000000082</v>
      </c>
      <c r="O28" s="2">
        <v>63371.760000000082</v>
      </c>
      <c r="P28" s="2">
        <v>63388.340000000084</v>
      </c>
      <c r="Q28" s="2">
        <v>63403.910000000084</v>
      </c>
      <c r="R28" s="2">
        <v>63425.600000000086</v>
      </c>
      <c r="S28" s="2">
        <v>63439.080000000089</v>
      </c>
      <c r="T28" s="2">
        <v>63443.80000000009</v>
      </c>
      <c r="U28" s="2">
        <v>63454.850000000093</v>
      </c>
      <c r="V28" s="2">
        <v>63476.170000000093</v>
      </c>
      <c r="W28" s="2">
        <v>63498.160000000091</v>
      </c>
      <c r="X28" s="2">
        <v>63519.320000000094</v>
      </c>
      <c r="Y28" s="2">
        <v>63534.670000000093</v>
      </c>
      <c r="Z28" s="2">
        <v>63555.69000000009</v>
      </c>
      <c r="AA28" s="2">
        <v>63577.320000000087</v>
      </c>
      <c r="AB28" s="2">
        <v>63599.270000000084</v>
      </c>
      <c r="AC28" s="2">
        <v>63620.740000000085</v>
      </c>
      <c r="AD28" s="2">
        <v>63642.770000000084</v>
      </c>
      <c r="AE28" s="2"/>
      <c r="AF28" s="3"/>
      <c r="AG28" s="51">
        <f t="shared" si="0"/>
        <v>63642.770000000084</v>
      </c>
      <c r="AH28" s="44">
        <v>63100.18</v>
      </c>
    </row>
    <row r="29" spans="1:34" x14ac:dyDescent="0.35">
      <c r="A29" s="33" t="s">
        <v>35</v>
      </c>
      <c r="B29" s="10">
        <v>64405.840000000098</v>
      </c>
      <c r="C29" s="2">
        <v>64427.750000000102</v>
      </c>
      <c r="D29" s="2">
        <v>64431.4200000001</v>
      </c>
      <c r="E29" s="2">
        <v>64438.200000000099</v>
      </c>
      <c r="F29" s="2">
        <v>64456.3100000001</v>
      </c>
      <c r="G29" s="2">
        <v>64465.260000000097</v>
      </c>
      <c r="H29" s="2">
        <v>64479.5600000001</v>
      </c>
      <c r="I29" s="2">
        <v>64500.440000000097</v>
      </c>
      <c r="J29" s="2">
        <v>64521.440000000097</v>
      </c>
      <c r="K29" s="2">
        <v>64537.710000000094</v>
      </c>
      <c r="L29" s="2">
        <v>64556.420000000093</v>
      </c>
      <c r="M29" s="2">
        <v>64577.860000000095</v>
      </c>
      <c r="N29" s="2">
        <v>64599.710000000094</v>
      </c>
      <c r="O29" s="2">
        <v>64617.070000000094</v>
      </c>
      <c r="P29" s="2">
        <v>64638.700000000092</v>
      </c>
      <c r="Q29" s="2">
        <v>64660.610000000095</v>
      </c>
      <c r="R29" s="2">
        <v>64682.490000000093</v>
      </c>
      <c r="S29" s="2">
        <v>64704.05000000009</v>
      </c>
      <c r="T29" s="2">
        <v>64725.970000000088</v>
      </c>
      <c r="U29" s="2">
        <v>64743.980000000091</v>
      </c>
      <c r="V29" s="2">
        <v>64763.960000000094</v>
      </c>
      <c r="W29" s="2">
        <v>64785.140000000094</v>
      </c>
      <c r="X29" s="2">
        <v>64805.360000000095</v>
      </c>
      <c r="Y29" s="2">
        <v>64826.750000000095</v>
      </c>
      <c r="Z29" s="2">
        <v>64846.730000000098</v>
      </c>
      <c r="AA29" s="2">
        <v>64867.980000000098</v>
      </c>
      <c r="AB29" s="2">
        <v>64889.1000000001</v>
      </c>
      <c r="AC29" s="2">
        <v>64901.540000000103</v>
      </c>
      <c r="AD29" s="2">
        <v>64906.8500000001</v>
      </c>
      <c r="AE29" s="2"/>
      <c r="AF29" s="3"/>
      <c r="AG29" s="51">
        <f t="shared" si="0"/>
        <v>64906.8500000001</v>
      </c>
      <c r="AH29" s="44">
        <v>64383.93</v>
      </c>
    </row>
    <row r="30" spans="1:34" x14ac:dyDescent="0.35">
      <c r="A30" s="33" t="s">
        <v>36</v>
      </c>
      <c r="B30" s="10">
        <v>63853.210000000159</v>
      </c>
      <c r="C30" s="2">
        <v>63874.850000000159</v>
      </c>
      <c r="D30" s="2">
        <v>63896.290000000161</v>
      </c>
      <c r="E30" s="2">
        <v>63908.43000000016</v>
      </c>
      <c r="F30" s="2">
        <v>63908.43000000016</v>
      </c>
      <c r="G30" s="2">
        <v>63910.300000000163</v>
      </c>
      <c r="H30" s="2">
        <v>63928.75000000016</v>
      </c>
      <c r="I30" s="2">
        <v>63949.200000000157</v>
      </c>
      <c r="J30" s="2">
        <v>63969.140000000159</v>
      </c>
      <c r="K30" s="2">
        <v>63983.450000000157</v>
      </c>
      <c r="L30" s="2">
        <v>63998.240000000158</v>
      </c>
      <c r="M30" s="2">
        <v>64016.890000000159</v>
      </c>
      <c r="N30" s="2">
        <v>64034.990000000158</v>
      </c>
      <c r="O30" s="2">
        <v>64056.980000000156</v>
      </c>
      <c r="P30" s="2">
        <v>64078.460000000159</v>
      </c>
      <c r="Q30" s="2">
        <v>64100.240000000158</v>
      </c>
      <c r="R30" s="2">
        <v>64122.100000000159</v>
      </c>
      <c r="S30" s="2">
        <v>64143.640000000159</v>
      </c>
      <c r="T30" s="2">
        <v>64165.530000000159</v>
      </c>
      <c r="U30" s="2">
        <v>64177.18000000016</v>
      </c>
      <c r="V30" s="2">
        <v>64191.900000000162</v>
      </c>
      <c r="W30" s="2">
        <v>64197.730000000163</v>
      </c>
      <c r="X30" s="2">
        <v>64219.260000000162</v>
      </c>
      <c r="Y30" s="2">
        <v>64240.360000000161</v>
      </c>
      <c r="Z30" s="2">
        <v>64255.880000000157</v>
      </c>
      <c r="AA30" s="2">
        <v>64270.040000000161</v>
      </c>
      <c r="AB30" s="2">
        <v>64290.600000000159</v>
      </c>
      <c r="AC30" s="2">
        <v>64312.590000000157</v>
      </c>
      <c r="AD30" s="2">
        <v>64329.470000000154</v>
      </c>
      <c r="AE30" s="2"/>
      <c r="AF30" s="3"/>
      <c r="AG30" s="51">
        <f t="shared" si="0"/>
        <v>64329.470000000154</v>
      </c>
      <c r="AH30" s="44">
        <v>63833.71</v>
      </c>
    </row>
    <row r="31" spans="1:34" x14ac:dyDescent="0.35">
      <c r="A31" s="33" t="s">
        <v>37</v>
      </c>
      <c r="B31" s="10">
        <v>64231.010000000053</v>
      </c>
      <c r="C31" s="2">
        <v>64253.03000000005</v>
      </c>
      <c r="D31" s="2">
        <v>64274.220000000052</v>
      </c>
      <c r="E31" s="2">
        <v>64296.550000000054</v>
      </c>
      <c r="F31" s="2">
        <v>64315.510000000053</v>
      </c>
      <c r="G31" s="2">
        <v>64335.750000000051</v>
      </c>
      <c r="H31" s="2">
        <v>64342.28000000005</v>
      </c>
      <c r="I31" s="2">
        <v>64354.060000000049</v>
      </c>
      <c r="J31" s="2">
        <v>64366.150000000045</v>
      </c>
      <c r="K31" s="2">
        <v>64381.350000000042</v>
      </c>
      <c r="L31" s="2">
        <v>64401.510000000046</v>
      </c>
      <c r="M31" s="2">
        <v>64419.350000000042</v>
      </c>
      <c r="N31" s="2">
        <v>64436.290000000045</v>
      </c>
      <c r="O31" s="2">
        <v>64454.530000000042</v>
      </c>
      <c r="P31" s="2">
        <v>64467.220000000045</v>
      </c>
      <c r="Q31" s="2">
        <v>64483.100000000042</v>
      </c>
      <c r="R31" s="2">
        <v>64499.66000000004</v>
      </c>
      <c r="S31" s="2">
        <v>64508.990000000042</v>
      </c>
      <c r="T31" s="2">
        <v>64524.570000000043</v>
      </c>
      <c r="U31" s="2">
        <v>64529.760000000046</v>
      </c>
      <c r="V31" s="2">
        <v>64548.730000000047</v>
      </c>
      <c r="W31" s="2">
        <v>64566.14000000005</v>
      </c>
      <c r="X31" s="2">
        <v>64583.150000000052</v>
      </c>
      <c r="Y31" s="2">
        <v>64600.770000000055</v>
      </c>
      <c r="Z31" s="2">
        <v>64603.300000000054</v>
      </c>
      <c r="AA31" s="2">
        <v>64619.850000000057</v>
      </c>
      <c r="AB31" s="2">
        <v>64640.410000000054</v>
      </c>
      <c r="AC31" s="2">
        <v>64661.660000000054</v>
      </c>
      <c r="AD31" s="2">
        <v>64676.890000000058</v>
      </c>
      <c r="AE31" s="2"/>
      <c r="AF31" s="3"/>
      <c r="AG31" s="51">
        <f t="shared" si="0"/>
        <v>64676.890000000058</v>
      </c>
      <c r="AH31" s="44">
        <v>64214.31</v>
      </c>
    </row>
    <row r="32" spans="1:34" x14ac:dyDescent="0.35">
      <c r="A32" s="33" t="s">
        <v>38</v>
      </c>
      <c r="B32" s="10">
        <v>64429.810000000136</v>
      </c>
      <c r="C32" s="2">
        <v>64451.150000000132</v>
      </c>
      <c r="D32" s="2">
        <v>64471.650000000132</v>
      </c>
      <c r="E32" s="2">
        <v>64492.950000000135</v>
      </c>
      <c r="F32" s="2">
        <v>64512.680000000139</v>
      </c>
      <c r="G32" s="2">
        <v>64533.890000000138</v>
      </c>
      <c r="H32" s="2">
        <v>64552.050000000141</v>
      </c>
      <c r="I32" s="2">
        <v>64573.250000000138</v>
      </c>
      <c r="J32" s="2">
        <v>64594.33000000014</v>
      </c>
      <c r="K32" s="2">
        <v>64615.65000000014</v>
      </c>
      <c r="L32" s="2">
        <v>64637.310000000143</v>
      </c>
      <c r="M32" s="2">
        <v>64658.720000000147</v>
      </c>
      <c r="N32" s="2">
        <v>64658.980000000149</v>
      </c>
      <c r="O32" s="2">
        <v>64658.980000000149</v>
      </c>
      <c r="P32" s="2">
        <v>64663.170000000151</v>
      </c>
      <c r="Q32" s="2">
        <v>64677.740000000151</v>
      </c>
      <c r="R32" s="2">
        <v>64694.180000000153</v>
      </c>
      <c r="S32" s="2">
        <v>64710.990000000151</v>
      </c>
      <c r="T32" s="2">
        <v>64725.63000000015</v>
      </c>
      <c r="U32" s="2">
        <v>64745.180000000153</v>
      </c>
      <c r="V32" s="2">
        <v>64763.490000000151</v>
      </c>
      <c r="W32" s="2">
        <v>64785.230000000149</v>
      </c>
      <c r="X32" s="2">
        <v>64806.38000000015</v>
      </c>
      <c r="Y32" s="2">
        <v>64824.31000000015</v>
      </c>
      <c r="Z32" s="2">
        <v>64845.670000000151</v>
      </c>
      <c r="AA32" s="2">
        <v>64867.63000000015</v>
      </c>
      <c r="AB32" s="2">
        <v>64883.320000000153</v>
      </c>
      <c r="AC32" s="2">
        <v>64900.52000000015</v>
      </c>
      <c r="AD32" s="2">
        <v>64919.540000000146</v>
      </c>
      <c r="AE32" s="2"/>
      <c r="AF32" s="3"/>
      <c r="AG32" s="51">
        <f t="shared" si="0"/>
        <v>64919.540000000146</v>
      </c>
      <c r="AH32" s="44">
        <v>64407.9</v>
      </c>
    </row>
    <row r="33" spans="1:34" x14ac:dyDescent="0.35">
      <c r="A33" s="33" t="s">
        <v>39</v>
      </c>
      <c r="B33" s="10">
        <v>63808.38999999989</v>
      </c>
      <c r="C33" s="2">
        <v>63822.659999999887</v>
      </c>
      <c r="D33" s="2">
        <v>63827.539999999884</v>
      </c>
      <c r="E33" s="2">
        <v>63849.319999999883</v>
      </c>
      <c r="F33" s="2">
        <v>63869.459999999883</v>
      </c>
      <c r="G33" s="2">
        <v>63891.129999999881</v>
      </c>
      <c r="H33" s="2">
        <v>63912.119999999879</v>
      </c>
      <c r="I33" s="2">
        <v>63933.539999999877</v>
      </c>
      <c r="J33" s="2">
        <v>63954.449999999881</v>
      </c>
      <c r="K33" s="2">
        <v>63975.569999999883</v>
      </c>
      <c r="L33" s="2">
        <v>63997.069999999883</v>
      </c>
      <c r="M33" s="2">
        <v>64008.08999999988</v>
      </c>
      <c r="N33" s="2">
        <v>64019.97999999988</v>
      </c>
      <c r="O33" s="2">
        <v>64041.849999999882</v>
      </c>
      <c r="P33" s="2">
        <v>64063.809999999881</v>
      </c>
      <c r="Q33" s="2">
        <v>64068.679999999884</v>
      </c>
      <c r="R33" s="2">
        <v>64085.879999999881</v>
      </c>
      <c r="S33" s="2">
        <v>64104.509999999878</v>
      </c>
      <c r="T33" s="2">
        <v>64125.209999999875</v>
      </c>
      <c r="U33" s="2">
        <v>64139.329999999878</v>
      </c>
      <c r="V33" s="2">
        <v>64142.359999999877</v>
      </c>
      <c r="W33" s="2">
        <v>64148.699999999873</v>
      </c>
      <c r="X33" s="2">
        <v>64168.009999999871</v>
      </c>
      <c r="Y33" s="2">
        <v>64183.889999999868</v>
      </c>
      <c r="Z33" s="2">
        <v>64202.589999999866</v>
      </c>
      <c r="AA33" s="2">
        <v>64202.589999999866</v>
      </c>
      <c r="AB33" s="2">
        <v>64202.589999999866</v>
      </c>
      <c r="AC33" s="2">
        <v>64202.589999999866</v>
      </c>
      <c r="AD33" s="2">
        <v>64202.589999999866</v>
      </c>
      <c r="AE33" s="2"/>
      <c r="AF33" s="3"/>
      <c r="AG33" s="51">
        <f t="shared" si="0"/>
        <v>64202.589999999866</v>
      </c>
      <c r="AH33" s="44">
        <v>63799.31</v>
      </c>
    </row>
    <row r="34" spans="1:34" x14ac:dyDescent="0.35">
      <c r="A34" s="33" t="s">
        <v>40</v>
      </c>
      <c r="B34" s="10">
        <v>46980.129999999888</v>
      </c>
      <c r="C34" s="2">
        <v>46990.419999999889</v>
      </c>
      <c r="D34" s="2">
        <v>46998.899999999892</v>
      </c>
      <c r="E34" s="2">
        <v>47020.429999999891</v>
      </c>
      <c r="F34" s="2">
        <v>47042.359999999891</v>
      </c>
      <c r="G34" s="2">
        <v>47046.269999999895</v>
      </c>
      <c r="H34" s="2">
        <v>47046.269999999895</v>
      </c>
      <c r="I34" s="2">
        <v>47057.619999999893</v>
      </c>
      <c r="J34" s="2">
        <v>47069.299999999894</v>
      </c>
      <c r="K34" s="2">
        <v>47087.919999999896</v>
      </c>
      <c r="L34" s="2">
        <v>47107.779999999897</v>
      </c>
      <c r="M34" s="2">
        <v>47129.419999999896</v>
      </c>
      <c r="N34" s="2">
        <v>47150.919999999896</v>
      </c>
      <c r="O34" s="2">
        <v>47161.639999999898</v>
      </c>
      <c r="P34" s="2">
        <v>47177.819999999898</v>
      </c>
      <c r="Q34" s="2">
        <v>47200.109999999899</v>
      </c>
      <c r="R34" s="2">
        <v>47221.979999999901</v>
      </c>
      <c r="S34" s="2">
        <v>47243.9399999999</v>
      </c>
      <c r="T34" s="2">
        <v>47249.819999999898</v>
      </c>
      <c r="U34" s="2">
        <v>47267.169999999896</v>
      </c>
      <c r="V34" s="2">
        <v>47284.439999999893</v>
      </c>
      <c r="W34" s="2">
        <v>47305.969999999892</v>
      </c>
      <c r="X34" s="2">
        <v>47315.499999999891</v>
      </c>
      <c r="Y34" s="2">
        <v>47321.749999999891</v>
      </c>
      <c r="Z34" s="2">
        <v>47335.88999999989</v>
      </c>
      <c r="AA34" s="2">
        <v>47343.289999999892</v>
      </c>
      <c r="AB34" s="2">
        <v>47356.20999999989</v>
      </c>
      <c r="AC34" s="2">
        <v>47376.689999999893</v>
      </c>
      <c r="AD34" s="2">
        <v>47398.149999999892</v>
      </c>
      <c r="AE34" s="2"/>
      <c r="AF34" s="3"/>
      <c r="AG34" s="51">
        <f t="shared" si="0"/>
        <v>47398.149999999892</v>
      </c>
      <c r="AH34" s="44">
        <v>46958.61</v>
      </c>
    </row>
    <row r="35" spans="1:34" x14ac:dyDescent="0.35">
      <c r="A35" s="33" t="s">
        <v>41</v>
      </c>
      <c r="B35" s="10">
        <v>48608.090000000033</v>
      </c>
      <c r="C35" s="2">
        <v>48628.310000000034</v>
      </c>
      <c r="D35" s="2">
        <v>48650.670000000035</v>
      </c>
      <c r="E35" s="2">
        <v>48672.430000000037</v>
      </c>
      <c r="F35" s="2">
        <v>48691.610000000037</v>
      </c>
      <c r="G35" s="2">
        <v>48712.950000000033</v>
      </c>
      <c r="H35" s="2">
        <v>48735.110000000037</v>
      </c>
      <c r="I35" s="2">
        <v>48756.810000000034</v>
      </c>
      <c r="J35" s="2">
        <v>48778.200000000033</v>
      </c>
      <c r="K35" s="2">
        <v>48799.450000000033</v>
      </c>
      <c r="L35" s="2">
        <v>48820.780000000035</v>
      </c>
      <c r="M35" s="2">
        <v>48842.410000000033</v>
      </c>
      <c r="N35" s="2">
        <v>48864.030000000035</v>
      </c>
      <c r="O35" s="2">
        <v>48886.010000000038</v>
      </c>
      <c r="P35" s="2">
        <v>48907.820000000036</v>
      </c>
      <c r="Q35" s="2">
        <v>48915.560000000034</v>
      </c>
      <c r="R35" s="2">
        <v>48919.240000000034</v>
      </c>
      <c r="S35" s="2">
        <v>48931.920000000035</v>
      </c>
      <c r="T35" s="2">
        <v>48947.640000000036</v>
      </c>
      <c r="U35" s="2">
        <v>48956.160000000033</v>
      </c>
      <c r="V35" s="2">
        <v>48977.690000000031</v>
      </c>
      <c r="W35" s="2">
        <v>48999.400000000031</v>
      </c>
      <c r="X35" s="2">
        <v>49021.050000000032</v>
      </c>
      <c r="Y35" s="2">
        <v>49032.670000000035</v>
      </c>
      <c r="Z35" s="2">
        <v>49046.710000000036</v>
      </c>
      <c r="AA35" s="2">
        <v>49067.270000000033</v>
      </c>
      <c r="AB35" s="2">
        <v>49087.680000000037</v>
      </c>
      <c r="AC35" s="2">
        <v>49105.09000000004</v>
      </c>
      <c r="AD35" s="2">
        <v>49122.050000000039</v>
      </c>
      <c r="AE35" s="2"/>
      <c r="AF35" s="3"/>
      <c r="AG35" s="51">
        <f t="shared" si="0"/>
        <v>49122.050000000039</v>
      </c>
      <c r="AH35" s="44">
        <v>48597.33</v>
      </c>
    </row>
    <row r="36" spans="1:34" x14ac:dyDescent="0.35">
      <c r="A36" s="33" t="s">
        <v>42</v>
      </c>
      <c r="B36" s="10">
        <v>43964.270000000026</v>
      </c>
      <c r="C36" s="2">
        <v>43986.100000000028</v>
      </c>
      <c r="D36" s="2">
        <v>44008.260000000031</v>
      </c>
      <c r="E36" s="2">
        <v>44030.580000000031</v>
      </c>
      <c r="F36" s="2">
        <v>44051.070000000029</v>
      </c>
      <c r="G36" s="2">
        <v>44067.160000000025</v>
      </c>
      <c r="H36" s="2">
        <v>44088.320000000029</v>
      </c>
      <c r="I36" s="2">
        <v>44093.090000000026</v>
      </c>
      <c r="J36" s="2">
        <v>44099.840000000026</v>
      </c>
      <c r="K36" s="2">
        <v>44116.800000000025</v>
      </c>
      <c r="L36" s="2">
        <v>44138.510000000024</v>
      </c>
      <c r="M36" s="2">
        <v>44154.690000000024</v>
      </c>
      <c r="N36" s="2">
        <v>44160.260000000024</v>
      </c>
      <c r="O36" s="2">
        <v>44177.220000000023</v>
      </c>
      <c r="P36" s="2">
        <v>44188.390000000021</v>
      </c>
      <c r="Q36" s="2">
        <v>44205.67000000002</v>
      </c>
      <c r="R36" s="2">
        <v>44221.830000000024</v>
      </c>
      <c r="S36" s="2">
        <v>44243.750000000022</v>
      </c>
      <c r="T36" s="2">
        <v>44264.290000000023</v>
      </c>
      <c r="U36" s="2">
        <v>44276.510000000024</v>
      </c>
      <c r="V36" s="2">
        <v>44297.900000000023</v>
      </c>
      <c r="W36" s="2">
        <v>44319.280000000021</v>
      </c>
      <c r="X36" s="2">
        <v>44341.150000000023</v>
      </c>
      <c r="Y36" s="2">
        <v>44361.980000000025</v>
      </c>
      <c r="Z36" s="2">
        <v>44368.980000000025</v>
      </c>
      <c r="AA36" s="2">
        <v>44368.980000000025</v>
      </c>
      <c r="AB36" s="2">
        <v>44387.480000000025</v>
      </c>
      <c r="AC36" s="2">
        <v>44409.420000000027</v>
      </c>
      <c r="AD36" s="2">
        <v>44429.980000000025</v>
      </c>
      <c r="AE36" s="2"/>
      <c r="AF36" s="3"/>
      <c r="AG36" s="51">
        <f t="shared" ref="AG36:AG67" si="1">MAX(B36:AF36)</f>
        <v>44429.980000000025</v>
      </c>
      <c r="AH36" s="44">
        <v>43942.6</v>
      </c>
    </row>
    <row r="37" spans="1:34" x14ac:dyDescent="0.35">
      <c r="A37" s="33" t="s">
        <v>43</v>
      </c>
      <c r="B37" s="10">
        <v>48370.110000000044</v>
      </c>
      <c r="C37" s="2">
        <v>48392.000000000044</v>
      </c>
      <c r="D37" s="2">
        <v>48408.940000000046</v>
      </c>
      <c r="E37" s="2">
        <v>48430.660000000047</v>
      </c>
      <c r="F37" s="2">
        <v>48451.730000000047</v>
      </c>
      <c r="G37" s="2">
        <v>48471.400000000045</v>
      </c>
      <c r="H37" s="2">
        <v>48493.020000000048</v>
      </c>
      <c r="I37" s="2">
        <v>48514.470000000045</v>
      </c>
      <c r="J37" s="2">
        <v>48535.840000000047</v>
      </c>
      <c r="K37" s="2">
        <v>48557.970000000045</v>
      </c>
      <c r="L37" s="2">
        <v>48578.670000000042</v>
      </c>
      <c r="M37" s="2">
        <v>48600.440000000039</v>
      </c>
      <c r="N37" s="2">
        <v>48622.41000000004</v>
      </c>
      <c r="O37" s="2">
        <v>48644.420000000042</v>
      </c>
      <c r="P37" s="2">
        <v>48666.360000000044</v>
      </c>
      <c r="Q37" s="2">
        <v>48685.070000000043</v>
      </c>
      <c r="R37" s="2">
        <v>48706.750000000044</v>
      </c>
      <c r="S37" s="2">
        <v>48721.530000000042</v>
      </c>
      <c r="T37" s="2">
        <v>48742.59000000004</v>
      </c>
      <c r="U37" s="2">
        <v>48757.830000000038</v>
      </c>
      <c r="V37" s="2">
        <v>48771.550000000039</v>
      </c>
      <c r="W37" s="2">
        <v>48793.170000000042</v>
      </c>
      <c r="X37" s="2">
        <v>48814.630000000041</v>
      </c>
      <c r="Y37" s="2">
        <v>48836.27000000004</v>
      </c>
      <c r="Z37" s="2">
        <v>48845.320000000043</v>
      </c>
      <c r="AA37" s="2">
        <v>48856.780000000042</v>
      </c>
      <c r="AB37" s="2">
        <v>48878.190000000046</v>
      </c>
      <c r="AC37" s="2">
        <v>48899.830000000045</v>
      </c>
      <c r="AD37" s="2">
        <v>48921.740000000049</v>
      </c>
      <c r="AE37" s="2"/>
      <c r="AF37" s="3"/>
      <c r="AG37" s="51">
        <f t="shared" si="1"/>
        <v>48921.740000000049</v>
      </c>
      <c r="AH37" s="44">
        <v>48348.53</v>
      </c>
    </row>
    <row r="38" spans="1:34" x14ac:dyDescent="0.35">
      <c r="A38" s="33" t="s">
        <v>44</v>
      </c>
      <c r="B38" s="10">
        <v>50206.980000000076</v>
      </c>
      <c r="C38" s="2">
        <v>50228.680000000073</v>
      </c>
      <c r="D38" s="2">
        <v>50246.220000000074</v>
      </c>
      <c r="E38" s="2">
        <v>50252.080000000075</v>
      </c>
      <c r="F38" s="2">
        <v>50268.640000000072</v>
      </c>
      <c r="G38" s="2">
        <v>50290.080000000075</v>
      </c>
      <c r="H38" s="2">
        <v>50311.470000000074</v>
      </c>
      <c r="I38" s="2">
        <v>50331.180000000073</v>
      </c>
      <c r="J38" s="2">
        <v>50352.300000000076</v>
      </c>
      <c r="K38" s="2">
        <v>50373.780000000079</v>
      </c>
      <c r="L38" s="2">
        <v>50395.470000000081</v>
      </c>
      <c r="M38" s="2">
        <v>50416.800000000083</v>
      </c>
      <c r="N38" s="2">
        <v>50437.890000000079</v>
      </c>
      <c r="O38" s="2">
        <v>50459.220000000081</v>
      </c>
      <c r="P38" s="2">
        <v>50477.300000000083</v>
      </c>
      <c r="Q38" s="2">
        <v>50498.270000000084</v>
      </c>
      <c r="R38" s="2">
        <v>50520.170000000086</v>
      </c>
      <c r="S38" s="2">
        <v>50537.740000000085</v>
      </c>
      <c r="T38" s="2">
        <v>50558.410000000084</v>
      </c>
      <c r="U38" s="2">
        <v>50561.230000000083</v>
      </c>
      <c r="V38" s="2">
        <v>50579.510000000082</v>
      </c>
      <c r="W38" s="2">
        <v>50596.780000000079</v>
      </c>
      <c r="X38" s="2">
        <v>50614.530000000079</v>
      </c>
      <c r="Y38" s="2">
        <v>50634.620000000075</v>
      </c>
      <c r="Z38" s="2">
        <v>50649.720000000074</v>
      </c>
      <c r="AA38" s="2">
        <v>50671.170000000071</v>
      </c>
      <c r="AB38" s="2">
        <v>50692.45000000007</v>
      </c>
      <c r="AC38" s="2">
        <v>50714.190000000068</v>
      </c>
      <c r="AD38" s="2">
        <v>50734.27000000007</v>
      </c>
      <c r="AE38" s="2"/>
      <c r="AF38" s="3"/>
      <c r="AG38" s="51">
        <f t="shared" si="1"/>
        <v>50734.27000000007</v>
      </c>
      <c r="AH38" s="44">
        <v>50185.31</v>
      </c>
    </row>
    <row r="39" spans="1:34" x14ac:dyDescent="0.35">
      <c r="A39" s="33" t="s">
        <v>45</v>
      </c>
      <c r="B39" s="10">
        <v>48139.239999999962</v>
      </c>
      <c r="C39" s="2">
        <v>48139.239999999962</v>
      </c>
      <c r="D39" s="2">
        <v>48139.239999999962</v>
      </c>
      <c r="E39" s="2">
        <v>48139.239999999962</v>
      </c>
      <c r="F39" s="2">
        <v>48147.849999999962</v>
      </c>
      <c r="G39" s="2">
        <v>48162.739999999962</v>
      </c>
      <c r="H39" s="2">
        <v>48184.039999999964</v>
      </c>
      <c r="I39" s="2">
        <v>48205.489999999962</v>
      </c>
      <c r="J39" s="2">
        <v>48226.529999999962</v>
      </c>
      <c r="K39" s="2">
        <v>48247.049999999959</v>
      </c>
      <c r="L39" s="2">
        <v>48268.189999999959</v>
      </c>
      <c r="M39" s="2">
        <v>48289.939999999959</v>
      </c>
      <c r="N39" s="2">
        <v>48311.299999999959</v>
      </c>
      <c r="O39" s="2">
        <v>48326.509999999958</v>
      </c>
      <c r="P39" s="2">
        <v>48337.289999999957</v>
      </c>
      <c r="Q39" s="2">
        <v>48351.129999999954</v>
      </c>
      <c r="R39" s="2">
        <v>48367.339999999953</v>
      </c>
      <c r="S39" s="2">
        <v>48382.459999999955</v>
      </c>
      <c r="T39" s="2">
        <v>48404.279999999955</v>
      </c>
      <c r="U39" s="2">
        <v>48421.059999999954</v>
      </c>
      <c r="V39" s="2">
        <v>48442.639999999956</v>
      </c>
      <c r="W39" s="2">
        <v>48463.939999999959</v>
      </c>
      <c r="X39" s="2">
        <v>48477.859999999957</v>
      </c>
      <c r="Y39" s="2">
        <v>48495.999999999956</v>
      </c>
      <c r="Z39" s="2">
        <v>48497.339999999953</v>
      </c>
      <c r="AA39" s="2">
        <v>48497.339999999953</v>
      </c>
      <c r="AB39" s="2">
        <v>48503.159999999953</v>
      </c>
      <c r="AC39" s="2">
        <v>48514.279999999955</v>
      </c>
      <c r="AD39" s="2">
        <v>48535.819999999956</v>
      </c>
      <c r="AE39" s="2"/>
      <c r="AF39" s="3"/>
      <c r="AG39" s="51">
        <f t="shared" si="1"/>
        <v>48535.819999999956</v>
      </c>
      <c r="AH39" s="44">
        <v>48139.24</v>
      </c>
    </row>
    <row r="40" spans="1:34" x14ac:dyDescent="0.35">
      <c r="A40" s="33" t="s">
        <v>46</v>
      </c>
      <c r="B40" s="10">
        <v>48744.939999999973</v>
      </c>
      <c r="C40" s="2">
        <v>48760.019999999975</v>
      </c>
      <c r="D40" s="2">
        <v>48781.799999999974</v>
      </c>
      <c r="E40" s="2">
        <v>48802.459999999977</v>
      </c>
      <c r="F40" s="2">
        <v>48824.279999999977</v>
      </c>
      <c r="G40" s="2">
        <v>48845.049999999974</v>
      </c>
      <c r="H40" s="2">
        <v>48856.269999999975</v>
      </c>
      <c r="I40" s="2">
        <v>48858.299999999974</v>
      </c>
      <c r="J40" s="2">
        <v>48874.539999999972</v>
      </c>
      <c r="K40" s="2">
        <v>48895.869999999974</v>
      </c>
      <c r="L40" s="2">
        <v>48912.529999999977</v>
      </c>
      <c r="M40" s="2">
        <v>48912.529999999977</v>
      </c>
      <c r="N40" s="2">
        <v>48913.419999999976</v>
      </c>
      <c r="O40" s="2">
        <v>48932.599999999977</v>
      </c>
      <c r="P40" s="2">
        <v>48951.249999999978</v>
      </c>
      <c r="Q40" s="2">
        <v>48972.939999999981</v>
      </c>
      <c r="R40" s="2">
        <v>48993.939999999981</v>
      </c>
      <c r="S40" s="2">
        <v>49014.809999999983</v>
      </c>
      <c r="T40" s="2">
        <v>49033.209999999985</v>
      </c>
      <c r="U40" s="2">
        <v>49048.619999999988</v>
      </c>
      <c r="V40" s="2">
        <v>49069.87999999999</v>
      </c>
      <c r="W40" s="2">
        <v>49091.009999999987</v>
      </c>
      <c r="X40" s="2">
        <v>49112.359999999986</v>
      </c>
      <c r="Y40" s="2">
        <v>49133.069999999985</v>
      </c>
      <c r="Z40" s="2">
        <v>49153.599999999984</v>
      </c>
      <c r="AA40" s="2">
        <v>49169.799999999981</v>
      </c>
      <c r="AB40" s="2">
        <v>49190.519999999982</v>
      </c>
      <c r="AC40" s="2">
        <v>49210.979999999981</v>
      </c>
      <c r="AD40" s="2">
        <v>49232.849999999984</v>
      </c>
      <c r="AE40" s="2"/>
      <c r="AF40" s="3"/>
      <c r="AG40" s="51">
        <f t="shared" si="1"/>
        <v>49232.849999999984</v>
      </c>
      <c r="AH40" s="44">
        <v>48723.77</v>
      </c>
    </row>
    <row r="41" spans="1:34" x14ac:dyDescent="0.35">
      <c r="A41" s="33" t="s">
        <v>47</v>
      </c>
      <c r="B41" s="10">
        <v>46348.06</v>
      </c>
      <c r="C41" s="2">
        <v>46367.869999999995</v>
      </c>
      <c r="D41" s="2">
        <v>46389.819999999992</v>
      </c>
      <c r="E41" s="2">
        <v>46411.479999999996</v>
      </c>
      <c r="F41" s="2">
        <v>46431.429999999993</v>
      </c>
      <c r="G41" s="2">
        <v>46451.209999999992</v>
      </c>
      <c r="H41" s="2">
        <v>46473.80999999999</v>
      </c>
      <c r="I41" s="2">
        <v>46496.369999999988</v>
      </c>
      <c r="J41" s="2">
        <v>46517.26999999999</v>
      </c>
      <c r="K41" s="2">
        <v>46539.069999999992</v>
      </c>
      <c r="L41" s="2">
        <v>46561.469999999994</v>
      </c>
      <c r="M41" s="2">
        <v>46582.409999999996</v>
      </c>
      <c r="N41" s="2">
        <v>46603.88</v>
      </c>
      <c r="O41" s="2">
        <v>46625.82</v>
      </c>
      <c r="P41" s="2">
        <v>46647.51</v>
      </c>
      <c r="Q41" s="2">
        <v>46669.37</v>
      </c>
      <c r="R41" s="2">
        <v>46691.44</v>
      </c>
      <c r="S41" s="2">
        <v>46712.75</v>
      </c>
      <c r="T41" s="2">
        <v>46734.21</v>
      </c>
      <c r="U41" s="2">
        <v>46754.38</v>
      </c>
      <c r="V41" s="2">
        <v>46775.549999999996</v>
      </c>
      <c r="W41" s="2">
        <v>46797.079999999994</v>
      </c>
      <c r="X41" s="2">
        <v>46809.799999999996</v>
      </c>
      <c r="Y41" s="2">
        <v>46815.88</v>
      </c>
      <c r="Z41" s="2">
        <v>46826.369999999995</v>
      </c>
      <c r="AA41" s="2">
        <v>46848.069999999992</v>
      </c>
      <c r="AB41" s="2">
        <v>46867.039999999994</v>
      </c>
      <c r="AC41" s="2">
        <v>46876.2</v>
      </c>
      <c r="AD41" s="2">
        <v>46889.009999999995</v>
      </c>
      <c r="AE41" s="2"/>
      <c r="AF41" s="3"/>
      <c r="AG41" s="51">
        <f t="shared" si="1"/>
        <v>46889.009999999995</v>
      </c>
      <c r="AH41" s="44">
        <v>46330.89</v>
      </c>
    </row>
    <row r="42" spans="1:34" x14ac:dyDescent="0.35">
      <c r="A42" s="33" t="s">
        <v>48</v>
      </c>
      <c r="B42" s="10">
        <v>40501.689999999966</v>
      </c>
      <c r="C42" s="2">
        <v>40522.139999999963</v>
      </c>
      <c r="D42" s="2">
        <v>40535.76999999996</v>
      </c>
      <c r="E42" s="2">
        <v>40548.069999999963</v>
      </c>
      <c r="F42" s="2">
        <v>40564.189999999966</v>
      </c>
      <c r="G42" s="2">
        <v>40585.939999999966</v>
      </c>
      <c r="H42" s="2">
        <v>40607.559999999969</v>
      </c>
      <c r="I42" s="2">
        <v>40616.38999999997</v>
      </c>
      <c r="J42" s="2">
        <v>40620.769999999968</v>
      </c>
      <c r="K42" s="2">
        <v>40641.199999999968</v>
      </c>
      <c r="L42" s="2">
        <v>40662.70999999997</v>
      </c>
      <c r="M42" s="2">
        <v>40683.429999999971</v>
      </c>
      <c r="N42" s="2">
        <v>40705.009999999973</v>
      </c>
      <c r="O42" s="2">
        <v>40724.429999999971</v>
      </c>
      <c r="P42" s="2">
        <v>40739.449999999968</v>
      </c>
      <c r="Q42" s="2">
        <v>40759.799999999967</v>
      </c>
      <c r="R42" s="2">
        <v>40772.299999999967</v>
      </c>
      <c r="S42" s="2">
        <v>40791.729999999967</v>
      </c>
      <c r="T42" s="2">
        <v>40812.469999999965</v>
      </c>
      <c r="U42" s="2">
        <v>40825.809999999961</v>
      </c>
      <c r="V42" s="2">
        <v>40847.849999999962</v>
      </c>
      <c r="W42" s="2">
        <v>40869.539999999964</v>
      </c>
      <c r="X42" s="2">
        <v>40890.829999999965</v>
      </c>
      <c r="Y42" s="2">
        <v>40912.939999999966</v>
      </c>
      <c r="Z42" s="2">
        <v>40934.839999999967</v>
      </c>
      <c r="AA42" s="2">
        <v>40956.27999999997</v>
      </c>
      <c r="AB42" s="2">
        <v>40975.699999999968</v>
      </c>
      <c r="AC42" s="2">
        <v>40994.929999999971</v>
      </c>
      <c r="AD42" s="2">
        <v>40997.429999999971</v>
      </c>
      <c r="AE42" s="2"/>
      <c r="AF42" s="3"/>
      <c r="AG42" s="51">
        <f t="shared" si="1"/>
        <v>40997.429999999971</v>
      </c>
      <c r="AH42" s="44">
        <v>40497.199999999997</v>
      </c>
    </row>
    <row r="43" spans="1:34" x14ac:dyDescent="0.35">
      <c r="A43" s="33" t="s">
        <v>49</v>
      </c>
      <c r="B43" s="10">
        <v>49174.129999999874</v>
      </c>
      <c r="C43" s="2">
        <v>49195.609999999877</v>
      </c>
      <c r="D43" s="2">
        <v>49217.789999999877</v>
      </c>
      <c r="E43" s="2">
        <v>49239.90999999988</v>
      </c>
      <c r="F43" s="2">
        <v>49260.989999999882</v>
      </c>
      <c r="G43" s="2">
        <v>49273.689999999879</v>
      </c>
      <c r="H43" s="2">
        <v>49295.08999999988</v>
      </c>
      <c r="I43" s="2">
        <v>49316.33999999988</v>
      </c>
      <c r="J43" s="2">
        <v>49326.829999999878</v>
      </c>
      <c r="K43" s="2">
        <v>49347.219999999877</v>
      </c>
      <c r="L43" s="2">
        <v>49368.389999999876</v>
      </c>
      <c r="M43" s="2">
        <v>49389.789999999877</v>
      </c>
      <c r="N43" s="2">
        <v>49410.83999999988</v>
      </c>
      <c r="O43" s="2">
        <v>49432.779999999882</v>
      </c>
      <c r="P43" s="2">
        <v>49453.809999999881</v>
      </c>
      <c r="Q43" s="2">
        <v>49474.989999999882</v>
      </c>
      <c r="R43" s="2">
        <v>49496.499999999884</v>
      </c>
      <c r="S43" s="2">
        <v>49517.949999999881</v>
      </c>
      <c r="T43" s="2">
        <v>49539.65999999988</v>
      </c>
      <c r="U43" s="2">
        <v>49544.76999999988</v>
      </c>
      <c r="V43" s="2">
        <v>49565.859999999877</v>
      </c>
      <c r="W43" s="2">
        <v>49587.40999999988</v>
      </c>
      <c r="X43" s="2">
        <v>49609.029999999882</v>
      </c>
      <c r="Y43" s="2">
        <v>49628.58999999988</v>
      </c>
      <c r="Z43" s="2">
        <v>49649.90999999988</v>
      </c>
      <c r="AA43" s="2">
        <v>49668.959999999883</v>
      </c>
      <c r="AB43" s="2">
        <v>49682.879999999881</v>
      </c>
      <c r="AC43" s="2">
        <v>49704.90999999988</v>
      </c>
      <c r="AD43" s="2">
        <v>49726.539999999877</v>
      </c>
      <c r="AE43" s="2"/>
      <c r="AF43" s="3"/>
      <c r="AG43" s="51">
        <f t="shared" si="1"/>
        <v>49726.539999999877</v>
      </c>
      <c r="AH43" s="44">
        <v>49152.639999999999</v>
      </c>
    </row>
    <row r="44" spans="1:34" x14ac:dyDescent="0.35">
      <c r="A44" s="33" t="s">
        <v>50</v>
      </c>
      <c r="B44" s="10">
        <v>48812.029999999984</v>
      </c>
      <c r="C44" s="2">
        <v>48826.829999999987</v>
      </c>
      <c r="D44" s="2">
        <v>48836.319999999985</v>
      </c>
      <c r="E44" s="2">
        <v>48856.459999999985</v>
      </c>
      <c r="F44" s="2">
        <v>48874.269999999982</v>
      </c>
      <c r="G44" s="2">
        <v>48894.889999999985</v>
      </c>
      <c r="H44" s="2">
        <v>48913.229999999981</v>
      </c>
      <c r="I44" s="2">
        <v>48934.799999999981</v>
      </c>
      <c r="J44" s="2">
        <v>48941.919999999984</v>
      </c>
      <c r="K44" s="2">
        <v>48958.799999999981</v>
      </c>
      <c r="L44" s="2">
        <v>48975.469999999979</v>
      </c>
      <c r="M44" s="2">
        <v>48997.699999999983</v>
      </c>
      <c r="N44" s="2">
        <v>49019.319999999985</v>
      </c>
      <c r="O44" s="2">
        <v>49041.539999999986</v>
      </c>
      <c r="P44" s="2">
        <v>49062.459999999985</v>
      </c>
      <c r="Q44" s="2">
        <v>49083.139999999985</v>
      </c>
      <c r="R44" s="2">
        <v>49104.789999999986</v>
      </c>
      <c r="S44" s="2">
        <v>49126.309999999983</v>
      </c>
      <c r="T44" s="2">
        <v>49140.839999999982</v>
      </c>
      <c r="U44" s="2">
        <v>49157.349999999984</v>
      </c>
      <c r="V44" s="2">
        <v>49164.149999999987</v>
      </c>
      <c r="W44" s="2">
        <v>49184.099999999984</v>
      </c>
      <c r="X44" s="2">
        <v>49202.319999999985</v>
      </c>
      <c r="Y44" s="2">
        <v>49216.199999999983</v>
      </c>
      <c r="Z44" s="2">
        <v>49236.039999999979</v>
      </c>
      <c r="AA44" s="2">
        <v>49257.39999999998</v>
      </c>
      <c r="AB44" s="2">
        <v>49274.869999999981</v>
      </c>
      <c r="AC44" s="2">
        <v>49279.199999999983</v>
      </c>
      <c r="AD44" s="2">
        <v>49291.679999999986</v>
      </c>
      <c r="AE44" s="2"/>
      <c r="AF44" s="3"/>
      <c r="AG44" s="51">
        <f t="shared" si="1"/>
        <v>49291.679999999986</v>
      </c>
      <c r="AH44" s="44">
        <v>48790.7</v>
      </c>
    </row>
    <row r="45" spans="1:34" x14ac:dyDescent="0.35">
      <c r="A45" s="33" t="s">
        <v>51</v>
      </c>
      <c r="B45" s="10">
        <v>48779.539999999943</v>
      </c>
      <c r="C45" s="2">
        <v>48800.789999999943</v>
      </c>
      <c r="D45" s="2">
        <v>48822.809999999939</v>
      </c>
      <c r="E45" s="2">
        <v>48840.759999999937</v>
      </c>
      <c r="F45" s="2">
        <v>48857.539999999935</v>
      </c>
      <c r="G45" s="2">
        <v>48870.339999999938</v>
      </c>
      <c r="H45" s="2">
        <v>48886.639999999941</v>
      </c>
      <c r="I45" s="2">
        <v>48907.119999999944</v>
      </c>
      <c r="J45" s="2">
        <v>48928.819999999942</v>
      </c>
      <c r="K45" s="2">
        <v>48950.48999999994</v>
      </c>
      <c r="L45" s="2">
        <v>48972.219999999943</v>
      </c>
      <c r="M45" s="2">
        <v>48987.439999999944</v>
      </c>
      <c r="N45" s="2">
        <v>48999.459999999941</v>
      </c>
      <c r="O45" s="2">
        <v>49021.41999999994</v>
      </c>
      <c r="P45" s="2">
        <v>49043.399999999943</v>
      </c>
      <c r="Q45" s="2">
        <v>49065.389999999941</v>
      </c>
      <c r="R45" s="2">
        <v>49070.259999999944</v>
      </c>
      <c r="S45" s="2">
        <v>49091.709999999941</v>
      </c>
      <c r="T45" s="2">
        <v>49113.039999999943</v>
      </c>
      <c r="U45" s="2">
        <v>49129.339999999946</v>
      </c>
      <c r="V45" s="2">
        <v>49150.219999999943</v>
      </c>
      <c r="W45" s="2">
        <v>49171.399999999943</v>
      </c>
      <c r="X45" s="2">
        <v>49193.109999999942</v>
      </c>
      <c r="Y45" s="2">
        <v>49201.579999999944</v>
      </c>
      <c r="Z45" s="2">
        <v>49220.66999999994</v>
      </c>
      <c r="AA45" s="2">
        <v>49240.73999999994</v>
      </c>
      <c r="AB45" s="2">
        <v>49262.609999999942</v>
      </c>
      <c r="AC45" s="2">
        <v>49282.149999999943</v>
      </c>
      <c r="AD45" s="2">
        <v>49303.829999999944</v>
      </c>
      <c r="AE45" s="2"/>
      <c r="AF45" s="3"/>
      <c r="AG45" s="51">
        <f t="shared" si="1"/>
        <v>49303.829999999944</v>
      </c>
      <c r="AH45" s="44">
        <v>48758.65</v>
      </c>
    </row>
    <row r="46" spans="1:34" x14ac:dyDescent="0.35">
      <c r="A46" s="33" t="s">
        <v>52</v>
      </c>
      <c r="B46" s="10">
        <v>40759.610000000052</v>
      </c>
      <c r="C46" s="2">
        <v>40780.920000000049</v>
      </c>
      <c r="D46" s="2">
        <v>40801.800000000047</v>
      </c>
      <c r="E46" s="2">
        <v>40823.130000000048</v>
      </c>
      <c r="F46" s="2">
        <v>40845.100000000049</v>
      </c>
      <c r="G46" s="2">
        <v>40852.020000000048</v>
      </c>
      <c r="H46" s="2">
        <v>40872.520000000048</v>
      </c>
      <c r="I46" s="2">
        <v>40889.560000000049</v>
      </c>
      <c r="J46" s="2">
        <v>40911.010000000046</v>
      </c>
      <c r="K46" s="2">
        <v>40930.050000000047</v>
      </c>
      <c r="L46" s="2">
        <v>40951.970000000045</v>
      </c>
      <c r="M46" s="2">
        <v>40965.940000000046</v>
      </c>
      <c r="N46" s="2">
        <v>40987.510000000046</v>
      </c>
      <c r="O46" s="2">
        <v>41009.230000000047</v>
      </c>
      <c r="P46" s="2">
        <v>41027.380000000048</v>
      </c>
      <c r="Q46" s="2">
        <v>41049.020000000048</v>
      </c>
      <c r="R46" s="2">
        <v>41070.920000000049</v>
      </c>
      <c r="S46" s="2">
        <v>41092.480000000047</v>
      </c>
      <c r="T46" s="2">
        <v>41114.200000000048</v>
      </c>
      <c r="U46" s="2">
        <v>41132.800000000047</v>
      </c>
      <c r="V46" s="2">
        <v>41152.180000000044</v>
      </c>
      <c r="W46" s="2">
        <v>41169.110000000044</v>
      </c>
      <c r="X46" s="2">
        <v>41190.660000000047</v>
      </c>
      <c r="Y46" s="2">
        <v>41209.580000000045</v>
      </c>
      <c r="Z46" s="2">
        <v>41229.340000000047</v>
      </c>
      <c r="AA46" s="2">
        <v>41251.130000000048</v>
      </c>
      <c r="AB46" s="2">
        <v>41273.370000000046</v>
      </c>
      <c r="AC46" s="2">
        <v>41294.810000000049</v>
      </c>
      <c r="AD46" s="2">
        <v>41315.670000000049</v>
      </c>
      <c r="AE46" s="2"/>
      <c r="AF46" s="3"/>
      <c r="AG46" s="51">
        <f t="shared" si="1"/>
        <v>41315.670000000049</v>
      </c>
      <c r="AH46" s="44">
        <v>40738.68</v>
      </c>
    </row>
    <row r="47" spans="1:34" x14ac:dyDescent="0.35">
      <c r="A47" s="33" t="s">
        <v>53</v>
      </c>
      <c r="B47" s="10">
        <v>42791.04000000003</v>
      </c>
      <c r="C47" s="2">
        <v>42812.79000000003</v>
      </c>
      <c r="D47" s="2">
        <v>42828.54000000003</v>
      </c>
      <c r="E47" s="2">
        <v>42828.54000000003</v>
      </c>
      <c r="F47" s="2">
        <v>42828.54000000003</v>
      </c>
      <c r="G47" s="2">
        <v>42828.54000000003</v>
      </c>
      <c r="H47" s="2">
        <v>42842.070000000029</v>
      </c>
      <c r="I47" s="2">
        <v>42861.030000000028</v>
      </c>
      <c r="J47" s="2">
        <v>42881.130000000026</v>
      </c>
      <c r="K47" s="2">
        <v>42902.410000000025</v>
      </c>
      <c r="L47" s="2">
        <v>42922.280000000028</v>
      </c>
      <c r="M47" s="2">
        <v>42943.500000000029</v>
      </c>
      <c r="N47" s="2">
        <v>42965.280000000028</v>
      </c>
      <c r="O47" s="2">
        <v>42986.820000000029</v>
      </c>
      <c r="P47" s="2">
        <v>43008.780000000028</v>
      </c>
      <c r="Q47" s="2">
        <v>43025.880000000026</v>
      </c>
      <c r="R47" s="2">
        <v>43047.330000000024</v>
      </c>
      <c r="S47" s="2">
        <v>43069.280000000021</v>
      </c>
      <c r="T47" s="2">
        <v>43091.030000000021</v>
      </c>
      <c r="U47" s="2">
        <v>43107.260000000024</v>
      </c>
      <c r="V47" s="2">
        <v>43124.970000000023</v>
      </c>
      <c r="W47" s="2">
        <v>43124.99000000002</v>
      </c>
      <c r="X47" s="2">
        <v>43124.99000000002</v>
      </c>
      <c r="Y47" s="2">
        <v>43125.000000000022</v>
      </c>
      <c r="Z47" s="2">
        <v>43145.10000000002</v>
      </c>
      <c r="AA47" s="2">
        <v>43164.950000000019</v>
      </c>
      <c r="AB47" s="2">
        <v>43178.900000000016</v>
      </c>
      <c r="AC47" s="2">
        <v>43196.890000000014</v>
      </c>
      <c r="AD47" s="2">
        <v>43218.450000000012</v>
      </c>
      <c r="AE47" s="2"/>
      <c r="AF47" s="3"/>
      <c r="AG47" s="51">
        <f t="shared" si="1"/>
        <v>43218.450000000012</v>
      </c>
      <c r="AH47" s="44">
        <v>42770.87</v>
      </c>
    </row>
    <row r="48" spans="1:34" x14ac:dyDescent="0.35">
      <c r="A48" s="33" t="s">
        <v>54</v>
      </c>
      <c r="B48" s="10">
        <v>41999.729999999916</v>
      </c>
      <c r="C48" s="2">
        <v>42005.569999999912</v>
      </c>
      <c r="D48" s="2">
        <v>42018.62999999991</v>
      </c>
      <c r="E48" s="2">
        <v>42035.839999999909</v>
      </c>
      <c r="F48" s="2">
        <v>42056.249999999913</v>
      </c>
      <c r="G48" s="2">
        <v>42073.499999999913</v>
      </c>
      <c r="H48" s="2">
        <v>42090.80999999991</v>
      </c>
      <c r="I48" s="2">
        <v>42112.289999999914</v>
      </c>
      <c r="J48" s="2">
        <v>42129.299999999916</v>
      </c>
      <c r="K48" s="2">
        <v>42150.409999999916</v>
      </c>
      <c r="L48" s="2">
        <v>42160.669999999918</v>
      </c>
      <c r="M48" s="2">
        <v>42181.649999999921</v>
      </c>
      <c r="N48" s="2">
        <v>42203.31999999992</v>
      </c>
      <c r="O48" s="2">
        <v>42225.159999999916</v>
      </c>
      <c r="P48" s="2">
        <v>42244.499999999913</v>
      </c>
      <c r="Q48" s="2">
        <v>42266.479999999916</v>
      </c>
      <c r="R48" s="2">
        <v>42287.879999999917</v>
      </c>
      <c r="S48" s="2">
        <v>42305.169999999918</v>
      </c>
      <c r="T48" s="2">
        <v>42323.409999999916</v>
      </c>
      <c r="U48" s="2">
        <v>42334.949999999917</v>
      </c>
      <c r="V48" s="2">
        <v>42356.029999999919</v>
      </c>
      <c r="W48" s="2">
        <v>42377.669999999918</v>
      </c>
      <c r="X48" s="2">
        <v>42399.449999999917</v>
      </c>
      <c r="Y48" s="2">
        <v>42420.189999999915</v>
      </c>
      <c r="Z48" s="2">
        <v>42431.849999999919</v>
      </c>
      <c r="AA48" s="2">
        <v>42448.209999999919</v>
      </c>
      <c r="AB48" s="2">
        <v>42469.559999999918</v>
      </c>
      <c r="AC48" s="2">
        <v>42483.129999999917</v>
      </c>
      <c r="AD48" s="2">
        <v>42505.049999999916</v>
      </c>
      <c r="AE48" s="2"/>
      <c r="AF48" s="3"/>
      <c r="AG48" s="51">
        <f t="shared" si="1"/>
        <v>42505.049999999916</v>
      </c>
      <c r="AH48" s="44">
        <v>41994.37</v>
      </c>
    </row>
    <row r="49" spans="1:34" x14ac:dyDescent="0.35">
      <c r="A49" s="33" t="s">
        <v>55</v>
      </c>
      <c r="B49" s="10">
        <v>41431.190000000039</v>
      </c>
      <c r="C49" s="2">
        <v>41434.830000000038</v>
      </c>
      <c r="D49" s="2">
        <v>41440.100000000035</v>
      </c>
      <c r="E49" s="2">
        <v>41457.330000000038</v>
      </c>
      <c r="F49" s="2">
        <v>41477.900000000038</v>
      </c>
      <c r="G49" s="2">
        <v>41499.030000000035</v>
      </c>
      <c r="H49" s="2">
        <v>41520.840000000033</v>
      </c>
      <c r="I49" s="2">
        <v>41541.920000000035</v>
      </c>
      <c r="J49" s="2">
        <v>41558.180000000037</v>
      </c>
      <c r="K49" s="2">
        <v>41579.48000000004</v>
      </c>
      <c r="L49" s="2">
        <v>41600.810000000041</v>
      </c>
      <c r="M49" s="2">
        <v>41622.790000000045</v>
      </c>
      <c r="N49" s="2">
        <v>41643.120000000046</v>
      </c>
      <c r="O49" s="2">
        <v>41664.180000000044</v>
      </c>
      <c r="P49" s="2">
        <v>41683.170000000042</v>
      </c>
      <c r="Q49" s="2">
        <v>41704.390000000043</v>
      </c>
      <c r="R49" s="2">
        <v>41725.720000000045</v>
      </c>
      <c r="S49" s="2">
        <v>41739.010000000046</v>
      </c>
      <c r="T49" s="2">
        <v>41759.560000000049</v>
      </c>
      <c r="U49" s="2">
        <v>41773.880000000048</v>
      </c>
      <c r="V49" s="2">
        <v>41795.370000000046</v>
      </c>
      <c r="W49" s="2">
        <v>41816.870000000046</v>
      </c>
      <c r="X49" s="2">
        <v>41834.920000000049</v>
      </c>
      <c r="Y49" s="2">
        <v>41855.700000000048</v>
      </c>
      <c r="Z49" s="2">
        <v>41876.220000000045</v>
      </c>
      <c r="AA49" s="2">
        <v>41895.360000000044</v>
      </c>
      <c r="AB49" s="2">
        <v>41909.060000000041</v>
      </c>
      <c r="AC49" s="2">
        <v>41929.510000000038</v>
      </c>
      <c r="AD49" s="2">
        <v>41950.880000000041</v>
      </c>
      <c r="AE49" s="2"/>
      <c r="AF49" s="3"/>
      <c r="AG49" s="51">
        <f t="shared" si="1"/>
        <v>41950.880000000041</v>
      </c>
      <c r="AH49" s="44">
        <v>41416.22</v>
      </c>
    </row>
    <row r="50" spans="1:34" x14ac:dyDescent="0.35">
      <c r="A50" s="33" t="s">
        <v>56</v>
      </c>
      <c r="B50" s="10">
        <v>40590.8500000001</v>
      </c>
      <c r="C50" s="2">
        <v>40612.500000000102</v>
      </c>
      <c r="D50" s="2">
        <v>40628.7400000001</v>
      </c>
      <c r="E50" s="2">
        <v>40647.280000000101</v>
      </c>
      <c r="F50" s="2">
        <v>40663.430000000102</v>
      </c>
      <c r="G50" s="2">
        <v>40684.4900000001</v>
      </c>
      <c r="H50" s="2">
        <v>40705.250000000102</v>
      </c>
      <c r="I50" s="2">
        <v>40726.480000000105</v>
      </c>
      <c r="J50" s="2">
        <v>40738.730000000105</v>
      </c>
      <c r="K50" s="2">
        <v>40760.010000000104</v>
      </c>
      <c r="L50" s="2">
        <v>40781.020000000106</v>
      </c>
      <c r="M50" s="2">
        <v>40802.610000000102</v>
      </c>
      <c r="N50" s="2">
        <v>40824.080000000104</v>
      </c>
      <c r="O50" s="2">
        <v>40844.950000000106</v>
      </c>
      <c r="P50" s="2">
        <v>40866.240000000107</v>
      </c>
      <c r="Q50" s="2">
        <v>40887.640000000109</v>
      </c>
      <c r="R50" s="2">
        <v>40909.160000000105</v>
      </c>
      <c r="S50" s="2">
        <v>40930.570000000109</v>
      </c>
      <c r="T50" s="2">
        <v>40948.760000000111</v>
      </c>
      <c r="U50" s="2">
        <v>40963.910000000113</v>
      </c>
      <c r="V50" s="2">
        <v>40963.910000000113</v>
      </c>
      <c r="W50" s="2">
        <v>40981.750000000109</v>
      </c>
      <c r="X50" s="2">
        <v>41002.660000000113</v>
      </c>
      <c r="Y50" s="2">
        <v>41023.640000000116</v>
      </c>
      <c r="Z50" s="2">
        <v>41044.890000000116</v>
      </c>
      <c r="AA50" s="2">
        <v>41066.520000000113</v>
      </c>
      <c r="AB50" s="2">
        <v>41086.120000000112</v>
      </c>
      <c r="AC50" s="2">
        <v>41106.120000000112</v>
      </c>
      <c r="AD50" s="2">
        <v>41126.900000000111</v>
      </c>
      <c r="AE50" s="2"/>
      <c r="AF50" s="3"/>
      <c r="AG50" s="51">
        <f t="shared" si="1"/>
        <v>41126.900000000111</v>
      </c>
      <c r="AH50" s="44">
        <v>40589.769999999997</v>
      </c>
    </row>
    <row r="51" spans="1:34" x14ac:dyDescent="0.35">
      <c r="A51" s="33" t="s">
        <v>57</v>
      </c>
      <c r="B51" s="10">
        <v>39214.199999999975</v>
      </c>
      <c r="C51" s="2">
        <v>39223.369999999974</v>
      </c>
      <c r="D51" s="2">
        <v>39240.739999999976</v>
      </c>
      <c r="E51" s="2">
        <v>39252.939999999973</v>
      </c>
      <c r="F51" s="2">
        <v>39257.379999999976</v>
      </c>
      <c r="G51" s="2">
        <v>39275.739999999976</v>
      </c>
      <c r="H51" s="2">
        <v>39296.059999999976</v>
      </c>
      <c r="I51" s="2">
        <v>39314.839999999975</v>
      </c>
      <c r="J51" s="2">
        <v>39334.139999999978</v>
      </c>
      <c r="K51" s="2">
        <v>39346.739999999976</v>
      </c>
      <c r="L51" s="2">
        <v>39367.939999999973</v>
      </c>
      <c r="M51" s="2">
        <v>39388.069999999971</v>
      </c>
      <c r="N51" s="2">
        <v>39405.589999999967</v>
      </c>
      <c r="O51" s="2">
        <v>39427.379999999968</v>
      </c>
      <c r="P51" s="2">
        <v>39449.70999999997</v>
      </c>
      <c r="Q51" s="2">
        <v>39471.299999999967</v>
      </c>
      <c r="R51" s="2">
        <v>39492.799999999967</v>
      </c>
      <c r="S51" s="2">
        <v>39514.429999999964</v>
      </c>
      <c r="T51" s="2">
        <v>39536.309999999961</v>
      </c>
      <c r="U51" s="2">
        <v>39556.869999999959</v>
      </c>
      <c r="V51" s="2">
        <v>39578.429999999957</v>
      </c>
      <c r="W51" s="2">
        <v>39599.919999999955</v>
      </c>
      <c r="X51" s="2">
        <v>39621.229999999952</v>
      </c>
      <c r="Y51" s="2">
        <v>39639.329999999951</v>
      </c>
      <c r="Z51" s="2">
        <v>39653.559999999954</v>
      </c>
      <c r="AA51" s="2">
        <v>39671.179999999957</v>
      </c>
      <c r="AB51" s="2">
        <v>39692.719999999958</v>
      </c>
      <c r="AC51" s="2">
        <v>39714.669999999955</v>
      </c>
      <c r="AD51" s="2">
        <v>39736.949999999953</v>
      </c>
      <c r="AE51" s="2"/>
      <c r="AF51" s="3"/>
      <c r="AG51" s="51">
        <f t="shared" si="1"/>
        <v>39736.949999999953</v>
      </c>
      <c r="AH51" s="44">
        <v>39192.339999999997</v>
      </c>
    </row>
    <row r="52" spans="1:34" x14ac:dyDescent="0.35">
      <c r="A52" s="33" t="s">
        <v>58</v>
      </c>
      <c r="B52" s="10">
        <v>38644.659999999902</v>
      </c>
      <c r="C52" s="2">
        <v>38662.789999999899</v>
      </c>
      <c r="D52" s="2">
        <v>38681.3999999999</v>
      </c>
      <c r="E52" s="2">
        <v>38703.1899999999</v>
      </c>
      <c r="F52" s="2">
        <v>38724.5799999999</v>
      </c>
      <c r="G52" s="2">
        <v>38745.619999999901</v>
      </c>
      <c r="H52" s="2">
        <v>38764.449999999903</v>
      </c>
      <c r="I52" s="2">
        <v>38785.209999999905</v>
      </c>
      <c r="J52" s="2">
        <v>38805.999999999905</v>
      </c>
      <c r="K52" s="2">
        <v>38827.509999999907</v>
      </c>
      <c r="L52" s="2">
        <v>38849.179999999906</v>
      </c>
      <c r="M52" s="2">
        <v>38870.909999999909</v>
      </c>
      <c r="N52" s="2">
        <v>38892.209999999912</v>
      </c>
      <c r="O52" s="2">
        <v>38911.119999999915</v>
      </c>
      <c r="P52" s="2">
        <v>38928.799999999916</v>
      </c>
      <c r="Q52" s="2">
        <v>38950.259999999915</v>
      </c>
      <c r="R52" s="2">
        <v>38971.799999999916</v>
      </c>
      <c r="S52" s="2">
        <v>38993.429999999913</v>
      </c>
      <c r="T52" s="2">
        <v>39015.079999999914</v>
      </c>
      <c r="U52" s="2">
        <v>39029.369999999915</v>
      </c>
      <c r="V52" s="2">
        <v>39050.629999999917</v>
      </c>
      <c r="W52" s="2">
        <v>39066.399999999914</v>
      </c>
      <c r="X52" s="2">
        <v>39086.859999999913</v>
      </c>
      <c r="Y52" s="2">
        <v>39099.779999999912</v>
      </c>
      <c r="Z52" s="2">
        <v>39119.709999999912</v>
      </c>
      <c r="AA52" s="2">
        <v>39136.839999999909</v>
      </c>
      <c r="AB52" s="2">
        <v>39136.839999999909</v>
      </c>
      <c r="AC52" s="2">
        <v>39156.299999999908</v>
      </c>
      <c r="AD52" s="2">
        <v>39177.469999999907</v>
      </c>
      <c r="AE52" s="2"/>
      <c r="AF52" s="3"/>
      <c r="AG52" s="51">
        <f t="shared" si="1"/>
        <v>39177.469999999907</v>
      </c>
      <c r="AH52" s="44">
        <v>38642.550000000003</v>
      </c>
    </row>
    <row r="53" spans="1:34" x14ac:dyDescent="0.35">
      <c r="A53" s="33" t="s">
        <v>59</v>
      </c>
      <c r="B53" s="10">
        <v>41558.179999999993</v>
      </c>
      <c r="C53" s="2">
        <v>41579.799999999996</v>
      </c>
      <c r="D53" s="2">
        <v>41599.199999999997</v>
      </c>
      <c r="E53" s="2">
        <v>41619.539999999994</v>
      </c>
      <c r="F53" s="2">
        <v>41639.849999999991</v>
      </c>
      <c r="G53" s="2">
        <v>41660.149999999994</v>
      </c>
      <c r="H53" s="2">
        <v>41680.609999999993</v>
      </c>
      <c r="I53" s="2">
        <v>41702.249999999993</v>
      </c>
      <c r="J53" s="2">
        <v>41723.829999999994</v>
      </c>
      <c r="K53" s="2">
        <v>41744.949999999997</v>
      </c>
      <c r="L53" s="2">
        <v>41766.18</v>
      </c>
      <c r="M53" s="2">
        <v>41787.79</v>
      </c>
      <c r="N53" s="2">
        <v>41809.4</v>
      </c>
      <c r="O53" s="2">
        <v>41831.340000000004</v>
      </c>
      <c r="P53" s="2">
        <v>41845.47</v>
      </c>
      <c r="Q53" s="2">
        <v>41866.97</v>
      </c>
      <c r="R53" s="2">
        <v>41887.870000000003</v>
      </c>
      <c r="S53" s="2">
        <v>41909.72</v>
      </c>
      <c r="T53" s="2">
        <v>41929.47</v>
      </c>
      <c r="U53" s="2">
        <v>41946.340000000004</v>
      </c>
      <c r="V53" s="2">
        <v>41967.280000000006</v>
      </c>
      <c r="W53" s="2">
        <v>41982.570000000007</v>
      </c>
      <c r="X53" s="2">
        <v>42004.130000000005</v>
      </c>
      <c r="Y53" s="2">
        <v>42025.060000000005</v>
      </c>
      <c r="Z53" s="2">
        <v>42045.600000000006</v>
      </c>
      <c r="AA53" s="2">
        <v>42066.560000000005</v>
      </c>
      <c r="AB53" s="2">
        <v>42085.810000000005</v>
      </c>
      <c r="AC53" s="2">
        <v>42107.48</v>
      </c>
      <c r="AD53" s="2">
        <v>42129.030000000006</v>
      </c>
      <c r="AE53" s="2"/>
      <c r="AF53" s="3"/>
      <c r="AG53" s="51">
        <f t="shared" si="1"/>
        <v>42129.030000000006</v>
      </c>
      <c r="AH53" s="44">
        <v>41538.769999999997</v>
      </c>
    </row>
    <row r="54" spans="1:34" x14ac:dyDescent="0.35">
      <c r="A54" s="33" t="s">
        <v>60</v>
      </c>
      <c r="B54" s="10">
        <v>41193.290000000117</v>
      </c>
      <c r="C54" s="2">
        <v>41212.120000000119</v>
      </c>
      <c r="D54" s="2">
        <v>41232.690000000119</v>
      </c>
      <c r="E54" s="2">
        <v>41243.670000000122</v>
      </c>
      <c r="F54" s="2">
        <v>41263.680000000124</v>
      </c>
      <c r="G54" s="2">
        <v>41282.590000000127</v>
      </c>
      <c r="H54" s="2">
        <v>41304.28000000013</v>
      </c>
      <c r="I54" s="2">
        <v>41323.760000000133</v>
      </c>
      <c r="J54" s="2">
        <v>41344.400000000132</v>
      </c>
      <c r="K54" s="2">
        <v>41365.540000000132</v>
      </c>
      <c r="L54" s="2">
        <v>41388.010000000133</v>
      </c>
      <c r="M54" s="2">
        <v>41410.260000000133</v>
      </c>
      <c r="N54" s="2">
        <v>41431.800000000134</v>
      </c>
      <c r="O54" s="2">
        <v>41453.400000000132</v>
      </c>
      <c r="P54" s="2">
        <v>41475.150000000132</v>
      </c>
      <c r="Q54" s="2">
        <v>41478.440000000133</v>
      </c>
      <c r="R54" s="2">
        <v>41492.630000000136</v>
      </c>
      <c r="S54" s="2">
        <v>41506.400000000132</v>
      </c>
      <c r="T54" s="2">
        <v>41526.490000000129</v>
      </c>
      <c r="U54" s="2">
        <v>41542.670000000129</v>
      </c>
      <c r="V54" s="2">
        <v>41563.85000000013</v>
      </c>
      <c r="W54" s="2">
        <v>41584.610000000132</v>
      </c>
      <c r="X54" s="2">
        <v>41606.040000000132</v>
      </c>
      <c r="Y54" s="2">
        <v>41620.160000000134</v>
      </c>
      <c r="Z54" s="2">
        <v>41638.790000000132</v>
      </c>
      <c r="AA54" s="2">
        <v>41642.290000000132</v>
      </c>
      <c r="AB54" s="2">
        <v>41661.730000000134</v>
      </c>
      <c r="AC54" s="2">
        <v>41682.150000000132</v>
      </c>
      <c r="AD54" s="2">
        <v>41698.720000000132</v>
      </c>
      <c r="AE54" s="2"/>
      <c r="AF54" s="3"/>
      <c r="AG54" s="51">
        <f t="shared" si="1"/>
        <v>41698.720000000132</v>
      </c>
      <c r="AH54" s="44">
        <v>41172.71</v>
      </c>
    </row>
    <row r="55" spans="1:34" x14ac:dyDescent="0.35">
      <c r="A55" s="33" t="s">
        <v>61</v>
      </c>
      <c r="B55" s="10">
        <v>41048.939999999951</v>
      </c>
      <c r="C55" s="2">
        <v>41069.549999999952</v>
      </c>
      <c r="D55" s="2">
        <v>41091.089999999953</v>
      </c>
      <c r="E55" s="2">
        <v>41112.10999999995</v>
      </c>
      <c r="F55" s="2">
        <v>41120.509999999951</v>
      </c>
      <c r="G55" s="2">
        <v>41141.03999999995</v>
      </c>
      <c r="H55" s="2">
        <v>41160.949999999953</v>
      </c>
      <c r="I55" s="2">
        <v>41182.729999999952</v>
      </c>
      <c r="J55" s="2">
        <v>41200.159999999953</v>
      </c>
      <c r="K55" s="2">
        <v>41204.239999999954</v>
      </c>
      <c r="L55" s="2">
        <v>41225.679999999957</v>
      </c>
      <c r="M55" s="2">
        <v>41247.429999999957</v>
      </c>
      <c r="N55" s="2">
        <v>41269.22999999996</v>
      </c>
      <c r="O55" s="2">
        <v>41290.569999999956</v>
      </c>
      <c r="P55" s="2">
        <v>41312.049999999959</v>
      </c>
      <c r="Q55" s="2">
        <v>41333.399999999958</v>
      </c>
      <c r="R55" s="2">
        <v>41354.279999999955</v>
      </c>
      <c r="S55" s="2">
        <v>41368.659999999953</v>
      </c>
      <c r="T55" s="2">
        <v>41388.759999999951</v>
      </c>
      <c r="U55" s="2">
        <v>41404.169999999955</v>
      </c>
      <c r="V55" s="2">
        <v>41425.929999999957</v>
      </c>
      <c r="W55" s="2">
        <v>41438.279999999955</v>
      </c>
      <c r="X55" s="2">
        <v>41442.379999999954</v>
      </c>
      <c r="Y55" s="2">
        <v>41459.999999999956</v>
      </c>
      <c r="Z55" s="2">
        <v>41480.299999999959</v>
      </c>
      <c r="AA55" s="2">
        <v>41480.299999999959</v>
      </c>
      <c r="AB55" s="2">
        <v>41499.879999999961</v>
      </c>
      <c r="AC55" s="2">
        <v>41520.669999999962</v>
      </c>
      <c r="AD55" s="2">
        <v>41542.599999999962</v>
      </c>
      <c r="AE55" s="2"/>
      <c r="AF55" s="3"/>
      <c r="AG55" s="51">
        <f t="shared" si="1"/>
        <v>41542.599999999962</v>
      </c>
      <c r="AH55" s="44">
        <v>41044.25</v>
      </c>
    </row>
    <row r="56" spans="1:34" x14ac:dyDescent="0.35">
      <c r="A56" s="33" t="s">
        <v>62</v>
      </c>
      <c r="B56" s="10">
        <v>51081.119999999966</v>
      </c>
      <c r="C56" s="2">
        <v>51086.219999999965</v>
      </c>
      <c r="D56" s="2">
        <v>51086.219999999965</v>
      </c>
      <c r="E56" s="2">
        <v>51086.219999999965</v>
      </c>
      <c r="F56" s="2">
        <v>51098.919999999962</v>
      </c>
      <c r="G56" s="2">
        <v>51120.279999999962</v>
      </c>
      <c r="H56" s="2">
        <v>51140.879999999961</v>
      </c>
      <c r="I56" s="2">
        <v>51155.939999999959</v>
      </c>
      <c r="J56" s="2">
        <v>51176.929999999957</v>
      </c>
      <c r="K56" s="2">
        <v>51198.399999999958</v>
      </c>
      <c r="L56" s="2">
        <v>51219.47999999996</v>
      </c>
      <c r="M56" s="2">
        <v>51225.059999999961</v>
      </c>
      <c r="N56" s="2">
        <v>51234.58999999996</v>
      </c>
      <c r="O56" s="2">
        <v>51236.719999999958</v>
      </c>
      <c r="P56" s="2">
        <v>51250.449999999961</v>
      </c>
      <c r="Q56" s="2">
        <v>51272.099999999962</v>
      </c>
      <c r="R56" s="2">
        <v>51293.259999999966</v>
      </c>
      <c r="S56" s="2">
        <v>51299.689999999966</v>
      </c>
      <c r="T56" s="2">
        <v>51306.909999999967</v>
      </c>
      <c r="U56" s="2">
        <v>51321.809999999969</v>
      </c>
      <c r="V56" s="2">
        <v>51343.13999999997</v>
      </c>
      <c r="W56" s="2">
        <v>51360.819999999971</v>
      </c>
      <c r="X56" s="2">
        <v>51381.599999999969</v>
      </c>
      <c r="Y56" s="2">
        <v>51401.579999999973</v>
      </c>
      <c r="Z56" s="2">
        <v>51411.609999999971</v>
      </c>
      <c r="AA56" s="2">
        <v>51428.769999999975</v>
      </c>
      <c r="AB56" s="2">
        <v>51443.169999999976</v>
      </c>
      <c r="AC56" s="2">
        <v>51457.349999999977</v>
      </c>
      <c r="AD56" s="2">
        <v>51479.249999999978</v>
      </c>
      <c r="AE56" s="2"/>
      <c r="AF56" s="3"/>
      <c r="AG56" s="51">
        <f t="shared" si="1"/>
        <v>51479.249999999978</v>
      </c>
      <c r="AH56" s="44">
        <v>51059.88</v>
      </c>
    </row>
    <row r="57" spans="1:34" x14ac:dyDescent="0.35">
      <c r="A57" s="33" t="s">
        <v>63</v>
      </c>
      <c r="B57" s="10">
        <v>17880.210000000003</v>
      </c>
      <c r="C57" s="2">
        <v>17894.440000000002</v>
      </c>
      <c r="D57" s="2">
        <v>17913.47</v>
      </c>
      <c r="E57" s="2">
        <v>17932.02</v>
      </c>
      <c r="F57" s="2">
        <v>17951.080000000002</v>
      </c>
      <c r="G57" s="2">
        <v>17970.370000000003</v>
      </c>
      <c r="H57" s="2">
        <v>17970.370000000003</v>
      </c>
      <c r="I57" s="2">
        <v>17970.370000000003</v>
      </c>
      <c r="J57" s="2">
        <v>17977.72</v>
      </c>
      <c r="K57" s="2">
        <v>17989.330000000002</v>
      </c>
      <c r="L57" s="2">
        <v>18000.100000000002</v>
      </c>
      <c r="M57" s="2">
        <v>18020.390000000003</v>
      </c>
      <c r="N57" s="2">
        <v>18042.080000000002</v>
      </c>
      <c r="O57" s="2">
        <v>18064.54</v>
      </c>
      <c r="P57" s="2">
        <v>18087.39</v>
      </c>
      <c r="Q57" s="2">
        <v>18110.43</v>
      </c>
      <c r="R57" s="2">
        <v>18130.5</v>
      </c>
      <c r="S57" s="2">
        <v>18149.88</v>
      </c>
      <c r="T57" s="2">
        <v>18168.04</v>
      </c>
      <c r="U57" s="2">
        <v>18177.04</v>
      </c>
      <c r="V57" s="2">
        <v>18184.490000000002</v>
      </c>
      <c r="W57" s="2">
        <v>18206.230000000003</v>
      </c>
      <c r="X57" s="2">
        <v>18226.300000000003</v>
      </c>
      <c r="Y57" s="2">
        <v>18244.400000000001</v>
      </c>
      <c r="Z57" s="2">
        <v>18264.34</v>
      </c>
      <c r="AA57" s="2">
        <v>18283.47</v>
      </c>
      <c r="AB57" s="2">
        <v>18302.59</v>
      </c>
      <c r="AC57" s="2">
        <v>18323.080000000002</v>
      </c>
      <c r="AD57" s="2">
        <v>18342.72</v>
      </c>
      <c r="AE57" s="2"/>
      <c r="AF57" s="3"/>
      <c r="AG57" s="51">
        <f t="shared" si="1"/>
        <v>18342.72</v>
      </c>
      <c r="AH57" s="44">
        <v>17861.650000000001</v>
      </c>
    </row>
    <row r="58" spans="1:34" x14ac:dyDescent="0.35">
      <c r="A58" s="33" t="s">
        <v>64</v>
      </c>
      <c r="B58" s="10">
        <v>18318.840277599993</v>
      </c>
      <c r="C58" s="2">
        <v>18318.840277599993</v>
      </c>
      <c r="D58" s="2">
        <v>18318.840277599993</v>
      </c>
      <c r="E58" s="2">
        <v>18318.840277599993</v>
      </c>
      <c r="F58" s="2">
        <v>18318.880277599994</v>
      </c>
      <c r="G58" s="2">
        <v>18327.690277599995</v>
      </c>
      <c r="H58" s="2">
        <v>18349.950277599994</v>
      </c>
      <c r="I58" s="2">
        <v>18370.240277599994</v>
      </c>
      <c r="J58" s="2">
        <v>18390.350277599995</v>
      </c>
      <c r="K58" s="2">
        <v>18410.260277599995</v>
      </c>
      <c r="L58" s="2">
        <v>18429.170277599995</v>
      </c>
      <c r="M58" s="2">
        <v>18449.040277599994</v>
      </c>
      <c r="N58" s="2">
        <v>18470.950277599994</v>
      </c>
      <c r="O58" s="2">
        <v>18493.330277599995</v>
      </c>
      <c r="P58" s="2">
        <v>18516.290277599994</v>
      </c>
      <c r="Q58" s="2">
        <v>18535.780277599995</v>
      </c>
      <c r="R58" s="2">
        <v>18554.990277599994</v>
      </c>
      <c r="S58" s="2">
        <v>18574.480277599996</v>
      </c>
      <c r="T58" s="2">
        <v>18592.400277599994</v>
      </c>
      <c r="U58" s="2">
        <v>18612.880277599994</v>
      </c>
      <c r="V58" s="2">
        <v>18632.940277599995</v>
      </c>
      <c r="W58" s="2">
        <v>18654.840277599997</v>
      </c>
      <c r="X58" s="2">
        <v>18674.190277599995</v>
      </c>
      <c r="Y58" s="2">
        <v>18691.190277599995</v>
      </c>
      <c r="Z58" s="2">
        <v>18711.570277599996</v>
      </c>
      <c r="AA58" s="2">
        <v>18729.710277599996</v>
      </c>
      <c r="AB58" s="2">
        <v>18749.490277599994</v>
      </c>
      <c r="AC58" s="2">
        <v>18769.660277599993</v>
      </c>
      <c r="AD58" s="2">
        <v>18789.460277599992</v>
      </c>
      <c r="AE58" s="2"/>
      <c r="AF58" s="3"/>
      <c r="AG58" s="51">
        <f t="shared" si="1"/>
        <v>18789.460277599992</v>
      </c>
      <c r="AH58" s="44">
        <v>18311.099999999999</v>
      </c>
    </row>
    <row r="59" spans="1:34" x14ac:dyDescent="0.35">
      <c r="A59" s="33" t="s">
        <v>65</v>
      </c>
      <c r="B59" s="10">
        <v>24599.864444100014</v>
      </c>
      <c r="C59" s="2">
        <v>24620.934444100014</v>
      </c>
      <c r="D59" s="2">
        <v>24641.384444100015</v>
      </c>
      <c r="E59" s="2">
        <v>24662.844444100014</v>
      </c>
      <c r="F59" s="2">
        <v>24683.884444100015</v>
      </c>
      <c r="G59" s="2">
        <v>24704.134444100015</v>
      </c>
      <c r="H59" s="2">
        <v>24726.304444100013</v>
      </c>
      <c r="I59" s="2">
        <v>24746.694444100012</v>
      </c>
      <c r="J59" s="2">
        <v>24766.714444100013</v>
      </c>
      <c r="K59" s="2">
        <v>24786.594444100014</v>
      </c>
      <c r="L59" s="2">
        <v>24804.254444100014</v>
      </c>
      <c r="M59" s="2">
        <v>24824.644444100013</v>
      </c>
      <c r="N59" s="2">
        <v>24846.414444100013</v>
      </c>
      <c r="O59" s="2">
        <v>24866.594444100014</v>
      </c>
      <c r="P59" s="2">
        <v>24889.404444100015</v>
      </c>
      <c r="Q59" s="2">
        <v>24913.034444100016</v>
      </c>
      <c r="R59" s="2">
        <v>24932.804444100017</v>
      </c>
      <c r="S59" s="2">
        <v>24953.574444100017</v>
      </c>
      <c r="T59" s="2">
        <v>24964.094444100017</v>
      </c>
      <c r="U59" s="2">
        <v>24980.254444100017</v>
      </c>
      <c r="V59" s="2">
        <v>25000.074444100017</v>
      </c>
      <c r="W59" s="2">
        <v>25021.974444100018</v>
      </c>
      <c r="X59" s="2">
        <v>25041.69444410002</v>
      </c>
      <c r="Y59" s="2">
        <v>25058.914444100021</v>
      </c>
      <c r="Z59" s="2">
        <v>25078.924444100019</v>
      </c>
      <c r="AA59" s="2">
        <v>25099.224444100018</v>
      </c>
      <c r="AB59" s="2">
        <v>25118.814444100019</v>
      </c>
      <c r="AC59" s="2">
        <v>25139.544444100018</v>
      </c>
      <c r="AD59" s="2">
        <v>25158.774444100018</v>
      </c>
      <c r="AE59" s="2"/>
      <c r="AF59" s="3"/>
      <c r="AG59" s="51">
        <f t="shared" si="1"/>
        <v>25158.774444100018</v>
      </c>
      <c r="AH59" s="44">
        <v>24578.95</v>
      </c>
    </row>
    <row r="60" spans="1:34" x14ac:dyDescent="0.35">
      <c r="A60" s="33" t="s">
        <v>66</v>
      </c>
      <c r="B60" s="10">
        <v>25545.930000000037</v>
      </c>
      <c r="C60" s="2">
        <v>25556.610000000037</v>
      </c>
      <c r="D60" s="2">
        <v>25559.870000000035</v>
      </c>
      <c r="E60" s="2">
        <v>25581.330000000034</v>
      </c>
      <c r="F60" s="2">
        <v>25602.450000000033</v>
      </c>
      <c r="G60" s="2">
        <v>25622.060000000034</v>
      </c>
      <c r="H60" s="2">
        <v>25644.410000000033</v>
      </c>
      <c r="I60" s="2">
        <v>25665.130000000034</v>
      </c>
      <c r="J60" s="2">
        <v>25686.030000000035</v>
      </c>
      <c r="K60" s="2">
        <v>25706.700000000033</v>
      </c>
      <c r="L60" s="2">
        <v>25727.240000000034</v>
      </c>
      <c r="M60" s="2">
        <v>25748.250000000033</v>
      </c>
      <c r="N60" s="2">
        <v>25768.810000000034</v>
      </c>
      <c r="O60" s="2">
        <v>25791.320000000032</v>
      </c>
      <c r="P60" s="2">
        <v>25814.280000000032</v>
      </c>
      <c r="Q60" s="2">
        <v>25837.360000000033</v>
      </c>
      <c r="R60" s="2">
        <v>25857.000000000033</v>
      </c>
      <c r="S60" s="2">
        <v>25877.440000000031</v>
      </c>
      <c r="T60" s="2">
        <v>25895.490000000031</v>
      </c>
      <c r="U60" s="2">
        <v>25916.100000000031</v>
      </c>
      <c r="V60" s="2">
        <v>25928.410000000033</v>
      </c>
      <c r="W60" s="2">
        <v>25946.920000000031</v>
      </c>
      <c r="X60" s="2">
        <v>25946.920000000031</v>
      </c>
      <c r="Y60" s="2">
        <v>25963.460000000032</v>
      </c>
      <c r="Z60" s="2">
        <v>25984.200000000033</v>
      </c>
      <c r="AA60" s="2">
        <v>26001.850000000035</v>
      </c>
      <c r="AB60" s="2">
        <v>26006.570000000036</v>
      </c>
      <c r="AC60" s="2">
        <v>26024.460000000036</v>
      </c>
      <c r="AD60" s="2">
        <v>26044.290000000037</v>
      </c>
      <c r="AE60" s="2"/>
      <c r="AF60" s="3"/>
      <c r="AG60" s="51">
        <f t="shared" si="1"/>
        <v>26044.290000000037</v>
      </c>
      <c r="AH60" s="44">
        <v>25525</v>
      </c>
    </row>
    <row r="61" spans="1:34" x14ac:dyDescent="0.35">
      <c r="A61" s="33" t="s">
        <v>67</v>
      </c>
      <c r="B61" s="10">
        <v>25956.750000000029</v>
      </c>
      <c r="C61" s="2">
        <v>25979.370000000028</v>
      </c>
      <c r="D61" s="2">
        <v>26000.240000000027</v>
      </c>
      <c r="E61" s="2">
        <v>26021.690000000028</v>
      </c>
      <c r="F61" s="2">
        <v>26042.470000000027</v>
      </c>
      <c r="G61" s="2">
        <v>26059.090000000026</v>
      </c>
      <c r="H61" s="2">
        <v>26080.790000000026</v>
      </c>
      <c r="I61" s="2">
        <v>26101.320000000025</v>
      </c>
      <c r="J61" s="2">
        <v>26121.900000000027</v>
      </c>
      <c r="K61" s="2">
        <v>26142.080000000027</v>
      </c>
      <c r="L61" s="2">
        <v>26159.960000000028</v>
      </c>
      <c r="M61" s="2">
        <v>26181.710000000028</v>
      </c>
      <c r="N61" s="2">
        <v>26203.440000000028</v>
      </c>
      <c r="O61" s="2">
        <v>26225.670000000027</v>
      </c>
      <c r="P61" s="2">
        <v>26248.290000000026</v>
      </c>
      <c r="Q61" s="2">
        <v>26270.210000000025</v>
      </c>
      <c r="R61" s="2">
        <v>26290.130000000023</v>
      </c>
      <c r="S61" s="2">
        <v>26310.860000000022</v>
      </c>
      <c r="T61" s="2">
        <v>26329.470000000023</v>
      </c>
      <c r="U61" s="2">
        <v>26349.760000000024</v>
      </c>
      <c r="V61" s="2">
        <v>26369.350000000024</v>
      </c>
      <c r="W61" s="2">
        <v>26390.740000000023</v>
      </c>
      <c r="X61" s="2">
        <v>26410.660000000022</v>
      </c>
      <c r="Y61" s="2">
        <v>26416.390000000021</v>
      </c>
      <c r="Z61" s="2">
        <v>26432.770000000022</v>
      </c>
      <c r="AA61" s="2">
        <v>26451.370000000021</v>
      </c>
      <c r="AB61" s="2">
        <v>26467.050000000021</v>
      </c>
      <c r="AC61" s="2">
        <v>26487.58000000002</v>
      </c>
      <c r="AD61" s="2">
        <v>26507.370000000021</v>
      </c>
      <c r="AE61" s="2"/>
      <c r="AF61" s="3"/>
      <c r="AG61" s="51">
        <f t="shared" si="1"/>
        <v>26507.370000000021</v>
      </c>
      <c r="AH61" s="44">
        <v>25948.07</v>
      </c>
    </row>
    <row r="62" spans="1:34" x14ac:dyDescent="0.35">
      <c r="A62" s="33" t="s">
        <v>68</v>
      </c>
      <c r="B62" s="10">
        <v>26113.35000000002</v>
      </c>
      <c r="C62" s="2">
        <v>26133.90000000002</v>
      </c>
      <c r="D62" s="2">
        <v>26154.470000000019</v>
      </c>
      <c r="E62" s="2">
        <v>26166.690000000021</v>
      </c>
      <c r="F62" s="2">
        <v>26185.15000000002</v>
      </c>
      <c r="G62" s="2">
        <v>26205.340000000018</v>
      </c>
      <c r="H62" s="2">
        <v>26223.500000000018</v>
      </c>
      <c r="I62" s="2">
        <v>26242.820000000018</v>
      </c>
      <c r="J62" s="2">
        <v>26262.100000000017</v>
      </c>
      <c r="K62" s="2">
        <v>26271.630000000016</v>
      </c>
      <c r="L62" s="2">
        <v>26289.430000000015</v>
      </c>
      <c r="M62" s="2">
        <v>26309.900000000016</v>
      </c>
      <c r="N62" s="2">
        <v>26330.550000000017</v>
      </c>
      <c r="O62" s="2">
        <v>26353.440000000017</v>
      </c>
      <c r="P62" s="2">
        <v>26376.470000000016</v>
      </c>
      <c r="Q62" s="2">
        <v>26399.500000000015</v>
      </c>
      <c r="R62" s="2">
        <v>26410.380000000016</v>
      </c>
      <c r="S62" s="2">
        <v>26428.600000000017</v>
      </c>
      <c r="T62" s="2">
        <v>26446.080000000016</v>
      </c>
      <c r="U62" s="2">
        <v>26467.240000000016</v>
      </c>
      <c r="V62" s="2">
        <v>26477.980000000018</v>
      </c>
      <c r="W62" s="2">
        <v>26499.470000000019</v>
      </c>
      <c r="X62" s="2">
        <v>26519.42000000002</v>
      </c>
      <c r="Y62" s="2">
        <v>26536.680000000018</v>
      </c>
      <c r="Z62" s="2">
        <v>26556.060000000019</v>
      </c>
      <c r="AA62" s="2">
        <v>26574.26000000002</v>
      </c>
      <c r="AB62" s="2">
        <v>26591.51000000002</v>
      </c>
      <c r="AC62" s="2">
        <v>26611.26000000002</v>
      </c>
      <c r="AD62" s="2">
        <v>26630.85000000002</v>
      </c>
      <c r="AE62" s="2"/>
      <c r="AF62" s="3"/>
      <c r="AG62" s="51">
        <f t="shared" si="1"/>
        <v>26630.85000000002</v>
      </c>
      <c r="AH62" s="44">
        <v>26092.9</v>
      </c>
    </row>
    <row r="63" spans="1:34" x14ac:dyDescent="0.35">
      <c r="A63" s="33" t="s">
        <v>69</v>
      </c>
      <c r="B63" s="10">
        <v>76987.39999999998</v>
      </c>
      <c r="C63" s="2">
        <v>76987.39999999998</v>
      </c>
      <c r="D63" s="2">
        <v>76987.39999999998</v>
      </c>
      <c r="E63" s="2">
        <v>76987.39999999998</v>
      </c>
      <c r="F63" s="2">
        <v>76987.39999999998</v>
      </c>
      <c r="G63" s="2">
        <v>76987.39999999998</v>
      </c>
      <c r="H63" s="2">
        <v>76987.39999999998</v>
      </c>
      <c r="I63" s="2">
        <v>76987.39999999998</v>
      </c>
      <c r="J63" s="2">
        <v>76987.39999999998</v>
      </c>
      <c r="K63" s="2">
        <v>76987.39999999998</v>
      </c>
      <c r="L63" s="2">
        <v>76987.39999999998</v>
      </c>
      <c r="M63" s="2">
        <v>76987.39999999998</v>
      </c>
      <c r="N63" s="2">
        <v>76987.39999999998</v>
      </c>
      <c r="O63" s="2">
        <v>76987.39999999998</v>
      </c>
      <c r="P63" s="2">
        <v>76987.39999999998</v>
      </c>
      <c r="Q63" s="2">
        <v>76987.39999999998</v>
      </c>
      <c r="R63" s="2">
        <v>76987.39999999998</v>
      </c>
      <c r="S63" s="2">
        <v>76987.39999999998</v>
      </c>
      <c r="T63" s="2">
        <v>76987.39999999998</v>
      </c>
      <c r="U63" s="2">
        <v>76987.39999999998</v>
      </c>
      <c r="V63" s="2">
        <v>76987.39999999998</v>
      </c>
      <c r="W63" s="2">
        <v>76987.39999999998</v>
      </c>
      <c r="X63" s="2">
        <v>76987.39999999998</v>
      </c>
      <c r="Y63" s="2">
        <v>76987.39999999998</v>
      </c>
      <c r="Z63" s="2">
        <v>76987.39999999998</v>
      </c>
      <c r="AA63" s="2">
        <v>76987.39999999998</v>
      </c>
      <c r="AB63" s="2">
        <v>76987.39999999998</v>
      </c>
      <c r="AC63" s="2">
        <v>76987.39999999998</v>
      </c>
      <c r="AD63" s="2">
        <v>76987.39999999998</v>
      </c>
      <c r="AE63" s="2"/>
      <c r="AF63" s="3"/>
      <c r="AG63" s="51">
        <f t="shared" si="1"/>
        <v>76987.39999999998</v>
      </c>
      <c r="AH63" s="44">
        <v>76987.399999999994</v>
      </c>
    </row>
    <row r="64" spans="1:34" x14ac:dyDescent="0.35">
      <c r="A64" s="33" t="s">
        <v>70</v>
      </c>
      <c r="B64" s="10">
        <v>85676.2</v>
      </c>
      <c r="C64" s="2">
        <v>85680.84</v>
      </c>
      <c r="D64" s="2">
        <v>85682.73</v>
      </c>
      <c r="E64" s="2">
        <v>85693.12999999999</v>
      </c>
      <c r="F64" s="2">
        <v>85693.12999999999</v>
      </c>
      <c r="G64" s="2">
        <v>85702.569999999992</v>
      </c>
      <c r="H64" s="2">
        <v>85702.569999999992</v>
      </c>
      <c r="I64" s="2">
        <v>85715.829999999987</v>
      </c>
      <c r="J64" s="2">
        <v>85730.809999999983</v>
      </c>
      <c r="K64" s="2">
        <v>85732.119999999981</v>
      </c>
      <c r="L64" s="2">
        <v>85732.119999999981</v>
      </c>
      <c r="M64" s="2">
        <v>85740.099999999977</v>
      </c>
      <c r="N64" s="2">
        <v>85750.669999999984</v>
      </c>
      <c r="O64" s="2">
        <v>85772.139999999985</v>
      </c>
      <c r="P64" s="2">
        <v>85781.909999999989</v>
      </c>
      <c r="Q64" s="2">
        <v>85801.26999999999</v>
      </c>
      <c r="R64" s="2">
        <v>85822.51999999999</v>
      </c>
      <c r="S64" s="2">
        <v>85822.51999999999</v>
      </c>
      <c r="T64" s="2">
        <v>85822.51999999999</v>
      </c>
      <c r="U64" s="2">
        <v>85822.51999999999</v>
      </c>
      <c r="V64" s="2">
        <v>85825.76999999999</v>
      </c>
      <c r="W64" s="2">
        <v>85836.51</v>
      </c>
      <c r="X64" s="2">
        <v>85842.34</v>
      </c>
      <c r="Y64" s="2">
        <v>85849.709999999992</v>
      </c>
      <c r="Z64" s="2">
        <v>85865.099999999991</v>
      </c>
      <c r="AA64" s="2">
        <v>85865.45</v>
      </c>
      <c r="AB64" s="2">
        <v>85885.47</v>
      </c>
      <c r="AC64" s="2">
        <v>85894.59</v>
      </c>
      <c r="AD64" s="2">
        <v>85912.43</v>
      </c>
      <c r="AE64" s="2"/>
      <c r="AF64" s="3"/>
      <c r="AG64" s="51">
        <f t="shared" si="1"/>
        <v>85912.43</v>
      </c>
      <c r="AH64" s="44">
        <v>85657.5</v>
      </c>
    </row>
    <row r="65" spans="1:34" x14ac:dyDescent="0.35">
      <c r="A65" s="33" t="s">
        <v>71</v>
      </c>
      <c r="B65" s="10">
        <v>82301.32000000008</v>
      </c>
      <c r="C65" s="2">
        <v>82322.630000000077</v>
      </c>
      <c r="D65" s="2">
        <v>82334.06000000007</v>
      </c>
      <c r="E65" s="2">
        <v>82355.840000000069</v>
      </c>
      <c r="F65" s="2">
        <v>82375.210000000065</v>
      </c>
      <c r="G65" s="2">
        <v>82383.710000000065</v>
      </c>
      <c r="H65" s="2">
        <v>82400.730000000069</v>
      </c>
      <c r="I65" s="2">
        <v>82421.20000000007</v>
      </c>
      <c r="J65" s="2">
        <v>82442.690000000075</v>
      </c>
      <c r="K65" s="2">
        <v>82464.080000000075</v>
      </c>
      <c r="L65" s="2">
        <v>82485.760000000068</v>
      </c>
      <c r="M65" s="2">
        <v>82497.390000000072</v>
      </c>
      <c r="N65" s="2">
        <v>82517.210000000079</v>
      </c>
      <c r="O65" s="2">
        <v>82534.790000000081</v>
      </c>
      <c r="P65" s="2">
        <v>82538.810000000085</v>
      </c>
      <c r="Q65" s="2">
        <v>82546.450000000084</v>
      </c>
      <c r="R65" s="2">
        <v>82568.420000000086</v>
      </c>
      <c r="S65" s="2">
        <v>82587.580000000089</v>
      </c>
      <c r="T65" s="2">
        <v>82590.850000000093</v>
      </c>
      <c r="U65" s="2">
        <v>82601.710000000094</v>
      </c>
      <c r="V65" s="2">
        <v>82601.710000000094</v>
      </c>
      <c r="W65" s="2">
        <v>82601.710000000094</v>
      </c>
      <c r="X65" s="2">
        <v>82601.710000000094</v>
      </c>
      <c r="Y65" s="2">
        <v>82601.710000000094</v>
      </c>
      <c r="Z65" s="2">
        <v>82601.710000000094</v>
      </c>
      <c r="AA65" s="2">
        <v>82601.710000000094</v>
      </c>
      <c r="AB65" s="2">
        <v>82601.710000000094</v>
      </c>
      <c r="AC65" s="2">
        <v>82601.710000000094</v>
      </c>
      <c r="AD65" s="2">
        <v>82601.710000000094</v>
      </c>
      <c r="AE65" s="2"/>
      <c r="AF65" s="3"/>
      <c r="AG65" s="51">
        <f t="shared" si="1"/>
        <v>82601.710000000094</v>
      </c>
      <c r="AH65" s="44">
        <v>82282.259999999995</v>
      </c>
    </row>
    <row r="66" spans="1:34" x14ac:dyDescent="0.35">
      <c r="A66" s="33" t="s">
        <v>72</v>
      </c>
      <c r="B66" s="10">
        <v>80325.450000000201</v>
      </c>
      <c r="C66" s="2">
        <v>80342.570000000196</v>
      </c>
      <c r="D66" s="2">
        <v>80358.750000000189</v>
      </c>
      <c r="E66" s="2">
        <v>80380.390000000189</v>
      </c>
      <c r="F66" s="2">
        <v>80390.910000000193</v>
      </c>
      <c r="G66" s="2">
        <v>80412.800000000192</v>
      </c>
      <c r="H66" s="2">
        <v>80412.800000000192</v>
      </c>
      <c r="I66" s="2">
        <v>80431.000000000189</v>
      </c>
      <c r="J66" s="2">
        <v>80440.900000000183</v>
      </c>
      <c r="K66" s="2">
        <v>80442.170000000187</v>
      </c>
      <c r="L66" s="2">
        <v>80463.230000000185</v>
      </c>
      <c r="M66" s="2">
        <v>80482.380000000179</v>
      </c>
      <c r="N66" s="2">
        <v>80504.130000000179</v>
      </c>
      <c r="O66" s="2">
        <v>80524.640000000174</v>
      </c>
      <c r="P66" s="2">
        <v>80544.180000000168</v>
      </c>
      <c r="Q66" s="2">
        <v>80565.180000000168</v>
      </c>
      <c r="R66" s="2">
        <v>80580.12000000017</v>
      </c>
      <c r="S66" s="2">
        <v>80597.010000000169</v>
      </c>
      <c r="T66" s="2">
        <v>80597.010000000169</v>
      </c>
      <c r="U66" s="2">
        <v>80608.270000000164</v>
      </c>
      <c r="V66" s="2">
        <v>80619.070000000167</v>
      </c>
      <c r="W66" s="2">
        <v>80632.950000000172</v>
      </c>
      <c r="X66" s="2">
        <v>80639.690000000177</v>
      </c>
      <c r="Y66" s="2">
        <v>80653.900000000183</v>
      </c>
      <c r="Z66" s="2">
        <v>80669.690000000177</v>
      </c>
      <c r="AA66" s="2">
        <v>80679.710000000181</v>
      </c>
      <c r="AB66" s="2">
        <v>80688.020000000179</v>
      </c>
      <c r="AC66" s="2">
        <v>80706.260000000184</v>
      </c>
      <c r="AD66" s="2">
        <v>80716.890000000189</v>
      </c>
      <c r="AE66" s="2"/>
      <c r="AF66" s="3"/>
      <c r="AG66" s="51">
        <f t="shared" si="1"/>
        <v>80716.890000000189</v>
      </c>
      <c r="AH66" s="44">
        <v>80304.3</v>
      </c>
    </row>
    <row r="67" spans="1:34" x14ac:dyDescent="0.35">
      <c r="A67" s="33" t="s">
        <v>73</v>
      </c>
      <c r="B67" s="10">
        <v>82823.62999999999</v>
      </c>
      <c r="C67" s="2">
        <v>82834.429999999993</v>
      </c>
      <c r="D67" s="2">
        <v>82854.739999999991</v>
      </c>
      <c r="E67" s="2">
        <v>82873.049999999988</v>
      </c>
      <c r="F67" s="2">
        <v>82880.009999999995</v>
      </c>
      <c r="G67" s="2">
        <v>82901.31</v>
      </c>
      <c r="H67" s="2">
        <v>82911.289999999994</v>
      </c>
      <c r="I67" s="2">
        <v>82922.099999999991</v>
      </c>
      <c r="J67" s="2">
        <v>82943.159999999989</v>
      </c>
      <c r="K67" s="2">
        <v>82955.359999999986</v>
      </c>
      <c r="L67" s="2">
        <v>82976.64999999998</v>
      </c>
      <c r="M67" s="2">
        <v>82994.869999999981</v>
      </c>
      <c r="N67" s="2">
        <v>83006.14999999998</v>
      </c>
      <c r="O67" s="2">
        <v>83024.959999999977</v>
      </c>
      <c r="P67" s="2">
        <v>83039.999999999971</v>
      </c>
      <c r="Q67" s="2">
        <v>83047.219999999972</v>
      </c>
      <c r="R67" s="2">
        <v>83066.259999999966</v>
      </c>
      <c r="S67" s="2">
        <v>83087.589999999967</v>
      </c>
      <c r="T67" s="2">
        <v>83098.589999999967</v>
      </c>
      <c r="U67" s="2">
        <v>83114.099999999962</v>
      </c>
      <c r="V67" s="2">
        <v>83132.669999999969</v>
      </c>
      <c r="W67" s="2">
        <v>83152.419999999969</v>
      </c>
      <c r="X67" s="2">
        <v>83171.659999999974</v>
      </c>
      <c r="Y67" s="2">
        <v>83188.489999999976</v>
      </c>
      <c r="Z67" s="2">
        <v>83208.25999999998</v>
      </c>
      <c r="AA67" s="2">
        <v>83228.269999999975</v>
      </c>
      <c r="AB67" s="2">
        <v>83248.63999999997</v>
      </c>
      <c r="AC67" s="2">
        <v>83269.169999999969</v>
      </c>
      <c r="AD67" s="2">
        <v>83285.549999999974</v>
      </c>
      <c r="AE67" s="2"/>
      <c r="AF67" s="3"/>
      <c r="AG67" s="51">
        <f t="shared" si="1"/>
        <v>83285.549999999974</v>
      </c>
      <c r="AH67" s="44">
        <v>82802.179999999993</v>
      </c>
    </row>
    <row r="68" spans="1:34" x14ac:dyDescent="0.35">
      <c r="A68" s="33" t="s">
        <v>74</v>
      </c>
      <c r="B68" s="10">
        <v>80430.679999999775</v>
      </c>
      <c r="C68" s="2">
        <v>80452.439999999769</v>
      </c>
      <c r="D68" s="2">
        <v>80462.959999999774</v>
      </c>
      <c r="E68" s="2">
        <v>80477.039999999775</v>
      </c>
      <c r="F68" s="2">
        <v>80490.779999999781</v>
      </c>
      <c r="G68" s="2">
        <v>80491.179999999775</v>
      </c>
      <c r="H68" s="2">
        <v>80503.889999999781</v>
      </c>
      <c r="I68" s="2">
        <v>80522.019999999786</v>
      </c>
      <c r="J68" s="2">
        <v>80543.519999999786</v>
      </c>
      <c r="K68" s="2">
        <v>80552.859999999782</v>
      </c>
      <c r="L68" s="2">
        <v>80563.829999999783</v>
      </c>
      <c r="M68" s="2">
        <v>80565.129999999786</v>
      </c>
      <c r="N68" s="2">
        <v>80565.129999999786</v>
      </c>
      <c r="O68" s="2">
        <v>80565.129999999786</v>
      </c>
      <c r="P68" s="2">
        <v>80565.129999999786</v>
      </c>
      <c r="Q68" s="2">
        <v>80565.129999999786</v>
      </c>
      <c r="R68" s="2">
        <v>80565.129999999786</v>
      </c>
      <c r="S68" s="2">
        <v>80565.129999999786</v>
      </c>
      <c r="T68" s="2">
        <v>80565.129999999786</v>
      </c>
      <c r="U68" s="2">
        <v>80565.129999999786</v>
      </c>
      <c r="V68" s="2">
        <v>80565.129999999786</v>
      </c>
      <c r="W68" s="2">
        <v>80572.059999999779</v>
      </c>
      <c r="X68" s="2">
        <v>80580.349999999773</v>
      </c>
      <c r="Y68" s="2">
        <v>80591.719999999768</v>
      </c>
      <c r="Z68" s="2">
        <v>80606.879999999772</v>
      </c>
      <c r="AA68" s="2">
        <v>80623.189999999769</v>
      </c>
      <c r="AB68" s="2">
        <v>80643.139999999767</v>
      </c>
      <c r="AC68" s="2">
        <v>80652.019999999771</v>
      </c>
      <c r="AD68" s="2">
        <v>80670.639999999767</v>
      </c>
      <c r="AE68" s="2"/>
      <c r="AF68" s="3"/>
      <c r="AG68" s="51">
        <f t="shared" ref="AG68:AG99" si="2">MAX(B68:AF68)</f>
        <v>80670.639999999767</v>
      </c>
      <c r="AH68" s="44">
        <v>80414.47</v>
      </c>
    </row>
    <row r="69" spans="1:34" x14ac:dyDescent="0.35">
      <c r="A69" s="33" t="s">
        <v>75</v>
      </c>
      <c r="B69" s="10">
        <v>83750.390000000087</v>
      </c>
      <c r="C69" s="2">
        <v>83771.93000000008</v>
      </c>
      <c r="D69" s="2">
        <v>83793.310000000085</v>
      </c>
      <c r="E69" s="2">
        <v>83809.580000000089</v>
      </c>
      <c r="F69" s="2">
        <v>83813.320000000094</v>
      </c>
      <c r="G69" s="2">
        <v>83813.320000000094</v>
      </c>
      <c r="H69" s="2">
        <v>83830.510000000097</v>
      </c>
      <c r="I69" s="2">
        <v>83851.160000000091</v>
      </c>
      <c r="J69" s="2">
        <v>83861.860000000088</v>
      </c>
      <c r="K69" s="2">
        <v>83872.420000000086</v>
      </c>
      <c r="L69" s="2">
        <v>83893.960000000079</v>
      </c>
      <c r="M69" s="2">
        <v>83915.250000000073</v>
      </c>
      <c r="N69" s="2">
        <v>83933.360000000073</v>
      </c>
      <c r="O69" s="2">
        <v>83954.870000000068</v>
      </c>
      <c r="P69" s="2">
        <v>83973.070000000065</v>
      </c>
      <c r="Q69" s="2">
        <v>83977.440000000061</v>
      </c>
      <c r="R69" s="2">
        <v>83988.470000000059</v>
      </c>
      <c r="S69" s="2">
        <v>84009.960000000065</v>
      </c>
      <c r="T69" s="2">
        <v>84025.480000000069</v>
      </c>
      <c r="U69" s="2">
        <v>84041.690000000075</v>
      </c>
      <c r="V69" s="2">
        <v>84053.280000000072</v>
      </c>
      <c r="W69" s="2">
        <v>84063.900000000067</v>
      </c>
      <c r="X69" s="2">
        <v>84081.980000000069</v>
      </c>
      <c r="Y69" s="2">
        <v>84101.280000000072</v>
      </c>
      <c r="Z69" s="2">
        <v>84118.080000000075</v>
      </c>
      <c r="AA69" s="2">
        <v>84135.970000000074</v>
      </c>
      <c r="AB69" s="2">
        <v>84142.360000000073</v>
      </c>
      <c r="AC69" s="2">
        <v>84142.360000000073</v>
      </c>
      <c r="AD69" s="2">
        <v>84150.93000000008</v>
      </c>
      <c r="AE69" s="2"/>
      <c r="AF69" s="3"/>
      <c r="AG69" s="51">
        <f t="shared" si="2"/>
        <v>84150.93000000008</v>
      </c>
      <c r="AH69" s="44">
        <v>83729.27</v>
      </c>
    </row>
    <row r="70" spans="1:34" x14ac:dyDescent="0.35">
      <c r="A70" s="33" t="s">
        <v>76</v>
      </c>
      <c r="B70" s="10">
        <v>82354.160000000076</v>
      </c>
      <c r="C70" s="2">
        <v>82358.590000000069</v>
      </c>
      <c r="D70" s="2">
        <v>82378.100000000064</v>
      </c>
      <c r="E70" s="2">
        <v>82384.410000000062</v>
      </c>
      <c r="F70" s="2">
        <v>82400.920000000056</v>
      </c>
      <c r="G70" s="2">
        <v>82415.130000000063</v>
      </c>
      <c r="H70" s="2">
        <v>82433.740000000063</v>
      </c>
      <c r="I70" s="2">
        <v>82443.030000000057</v>
      </c>
      <c r="J70" s="2">
        <v>82449.280000000057</v>
      </c>
      <c r="K70" s="2">
        <v>82465.140000000058</v>
      </c>
      <c r="L70" s="2">
        <v>82482.660000000062</v>
      </c>
      <c r="M70" s="2">
        <v>82498.280000000057</v>
      </c>
      <c r="N70" s="2">
        <v>82518.910000000062</v>
      </c>
      <c r="O70" s="2">
        <v>82527.390000000058</v>
      </c>
      <c r="P70" s="2">
        <v>82546.530000000057</v>
      </c>
      <c r="Q70" s="2">
        <v>82550.590000000055</v>
      </c>
      <c r="R70" s="2">
        <v>82562.500000000058</v>
      </c>
      <c r="S70" s="2">
        <v>82579.180000000051</v>
      </c>
      <c r="T70" s="2">
        <v>82585.110000000044</v>
      </c>
      <c r="U70" s="2">
        <v>82590.180000000051</v>
      </c>
      <c r="V70" s="2">
        <v>82611.270000000048</v>
      </c>
      <c r="W70" s="2">
        <v>82626.310000000041</v>
      </c>
      <c r="X70" s="2">
        <v>82645.600000000035</v>
      </c>
      <c r="Y70" s="2">
        <v>82664.750000000029</v>
      </c>
      <c r="Z70" s="2">
        <v>82680.510000000024</v>
      </c>
      <c r="AA70" s="2">
        <v>82691.840000000026</v>
      </c>
      <c r="AB70" s="2">
        <v>82705.22000000003</v>
      </c>
      <c r="AC70" s="2">
        <v>82715.270000000033</v>
      </c>
      <c r="AD70" s="2">
        <v>82727.710000000036</v>
      </c>
      <c r="AE70" s="2"/>
      <c r="AF70" s="3"/>
      <c r="AG70" s="51">
        <f t="shared" si="2"/>
        <v>82727.710000000036</v>
      </c>
      <c r="AH70" s="44">
        <v>82337.009999999995</v>
      </c>
    </row>
    <row r="71" spans="1:34" x14ac:dyDescent="0.35">
      <c r="A71" s="33" t="s">
        <v>77</v>
      </c>
      <c r="B71" s="10">
        <v>72252.360000000088</v>
      </c>
      <c r="C71" s="2">
        <v>72269.330000000089</v>
      </c>
      <c r="D71" s="2">
        <v>72291.270000000091</v>
      </c>
      <c r="E71" s="2">
        <v>72313.210000000094</v>
      </c>
      <c r="F71" s="2">
        <v>72316.610000000088</v>
      </c>
      <c r="G71" s="2">
        <v>72322.590000000084</v>
      </c>
      <c r="H71" s="2">
        <v>72341.220000000088</v>
      </c>
      <c r="I71" s="2">
        <v>72361.810000000085</v>
      </c>
      <c r="J71" s="2">
        <v>72382.990000000078</v>
      </c>
      <c r="K71" s="2">
        <v>72404.360000000073</v>
      </c>
      <c r="L71" s="2">
        <v>72424.010000000068</v>
      </c>
      <c r="M71" s="2">
        <v>72438.500000000073</v>
      </c>
      <c r="N71" s="2">
        <v>72457.45000000007</v>
      </c>
      <c r="O71" s="2">
        <v>72464.020000000077</v>
      </c>
      <c r="P71" s="2">
        <v>72473.580000000075</v>
      </c>
      <c r="Q71" s="2">
        <v>72492.840000000069</v>
      </c>
      <c r="R71" s="2">
        <v>72512.580000000075</v>
      </c>
      <c r="S71" s="2">
        <v>72534.030000000072</v>
      </c>
      <c r="T71" s="2">
        <v>72534.030000000072</v>
      </c>
      <c r="U71" s="2">
        <v>72537.260000000068</v>
      </c>
      <c r="V71" s="2">
        <v>72548.70000000007</v>
      </c>
      <c r="W71" s="2">
        <v>72563.520000000077</v>
      </c>
      <c r="X71" s="2">
        <v>72579.82000000008</v>
      </c>
      <c r="Y71" s="2">
        <v>72586.400000000081</v>
      </c>
      <c r="Z71" s="2">
        <v>72586.400000000081</v>
      </c>
      <c r="AA71" s="2">
        <v>72594.700000000084</v>
      </c>
      <c r="AB71" s="2">
        <v>72607.590000000084</v>
      </c>
      <c r="AC71" s="2">
        <v>72620.150000000081</v>
      </c>
      <c r="AD71" s="2">
        <v>72639.540000000081</v>
      </c>
      <c r="AE71" s="2"/>
      <c r="AF71" s="3"/>
      <c r="AG71" s="51">
        <f t="shared" si="2"/>
        <v>72639.540000000081</v>
      </c>
      <c r="AH71" s="44">
        <v>72230.81</v>
      </c>
    </row>
    <row r="72" spans="1:34" x14ac:dyDescent="0.35">
      <c r="A72" s="33" t="s">
        <v>78</v>
      </c>
      <c r="B72" s="10">
        <v>75593.319999999818</v>
      </c>
      <c r="C72" s="2">
        <v>75614.879999999815</v>
      </c>
      <c r="D72" s="2">
        <v>75636.339999999822</v>
      </c>
      <c r="E72" s="2">
        <v>75657.549999999828</v>
      </c>
      <c r="F72" s="2">
        <v>75664.779999999824</v>
      </c>
      <c r="G72" s="2">
        <v>75671.099999999831</v>
      </c>
      <c r="H72" s="2">
        <v>75686.659999999829</v>
      </c>
      <c r="I72" s="2">
        <v>75707.609999999826</v>
      </c>
      <c r="J72" s="2">
        <v>75719.62999999983</v>
      </c>
      <c r="K72" s="2">
        <v>75727.789999999834</v>
      </c>
      <c r="L72" s="2">
        <v>75746.399999999834</v>
      </c>
      <c r="M72" s="2">
        <v>75766.539999999834</v>
      </c>
      <c r="N72" s="2">
        <v>75787.389999999839</v>
      </c>
      <c r="O72" s="2">
        <v>75808.839999999836</v>
      </c>
      <c r="P72" s="2">
        <v>75829.199999999837</v>
      </c>
      <c r="Q72" s="2">
        <v>75849.909999999843</v>
      </c>
      <c r="R72" s="2">
        <v>75870.989999999845</v>
      </c>
      <c r="S72" s="2">
        <v>75892.569999999847</v>
      </c>
      <c r="T72" s="2">
        <v>75896.989999999845</v>
      </c>
      <c r="U72" s="2">
        <v>75899.049999999843</v>
      </c>
      <c r="V72" s="2">
        <v>75913.459999999846</v>
      </c>
      <c r="W72" s="2">
        <v>75924.209999999846</v>
      </c>
      <c r="X72" s="2">
        <v>75938.459999999846</v>
      </c>
      <c r="Y72" s="2">
        <v>75947.99999999984</v>
      </c>
      <c r="Z72" s="2">
        <v>75963.909999999843</v>
      </c>
      <c r="AA72" s="2">
        <v>75972.269999999844</v>
      </c>
      <c r="AB72" s="2">
        <v>75993.539999999848</v>
      </c>
      <c r="AC72" s="2">
        <v>76010.339999999851</v>
      </c>
      <c r="AD72" s="2">
        <v>76024.099999999846</v>
      </c>
      <c r="AE72" s="2"/>
      <c r="AF72" s="3"/>
      <c r="AG72" s="51">
        <f t="shared" si="2"/>
        <v>76024.099999999846</v>
      </c>
      <c r="AH72" s="44">
        <v>75573.16</v>
      </c>
    </row>
    <row r="73" spans="1:34" x14ac:dyDescent="0.35">
      <c r="A73" s="33" t="s">
        <v>79</v>
      </c>
      <c r="B73" s="10">
        <v>78172.36999999985</v>
      </c>
      <c r="C73" s="2">
        <v>78177.459999999846</v>
      </c>
      <c r="D73" s="2">
        <v>78177.459999999846</v>
      </c>
      <c r="E73" s="2">
        <v>78181.679999999847</v>
      </c>
      <c r="F73" s="2">
        <v>78193.61999999985</v>
      </c>
      <c r="G73" s="2">
        <v>78199.629999999845</v>
      </c>
      <c r="H73" s="2">
        <v>78199.629999999845</v>
      </c>
      <c r="I73" s="2">
        <v>78216.299999999843</v>
      </c>
      <c r="J73" s="2">
        <v>78222.489999999845</v>
      </c>
      <c r="K73" s="2">
        <v>78226.929999999847</v>
      </c>
      <c r="L73" s="2">
        <v>78241.919999999853</v>
      </c>
      <c r="M73" s="2">
        <v>78243.719999999856</v>
      </c>
      <c r="N73" s="2">
        <v>78261.179999999862</v>
      </c>
      <c r="O73" s="2">
        <v>78268.369999999864</v>
      </c>
      <c r="P73" s="2">
        <v>78268.809999999867</v>
      </c>
      <c r="Q73" s="2">
        <v>78270.299999999872</v>
      </c>
      <c r="R73" s="2">
        <v>78279.529999999868</v>
      </c>
      <c r="S73" s="2">
        <v>78281.319999999861</v>
      </c>
      <c r="T73" s="2">
        <v>78281.319999999861</v>
      </c>
      <c r="U73" s="2">
        <v>78281.319999999861</v>
      </c>
      <c r="V73" s="2">
        <v>78281.319999999861</v>
      </c>
      <c r="W73" s="2">
        <v>78281.319999999861</v>
      </c>
      <c r="X73" s="2">
        <v>78281.319999999861</v>
      </c>
      <c r="Y73" s="2">
        <v>78281.319999999861</v>
      </c>
      <c r="Z73" s="2">
        <v>78281.319999999861</v>
      </c>
      <c r="AA73" s="2">
        <v>78281.319999999861</v>
      </c>
      <c r="AB73" s="2">
        <v>78281.319999999861</v>
      </c>
      <c r="AC73" s="2">
        <v>78287.969999999856</v>
      </c>
      <c r="AD73" s="2">
        <v>78307.36999999985</v>
      </c>
      <c r="AE73" s="2"/>
      <c r="AF73" s="3"/>
      <c r="AG73" s="51">
        <f t="shared" si="2"/>
        <v>78307.36999999985</v>
      </c>
      <c r="AH73" s="44">
        <v>78161.259999999995</v>
      </c>
    </row>
    <row r="74" spans="1:34" x14ac:dyDescent="0.35">
      <c r="A74" s="33" t="s">
        <v>80</v>
      </c>
      <c r="B74" s="10">
        <v>82791.530000000042</v>
      </c>
      <c r="C74" s="2">
        <v>82793.900000000038</v>
      </c>
      <c r="D74" s="2">
        <v>82808.630000000034</v>
      </c>
      <c r="E74" s="2">
        <v>82819.630000000034</v>
      </c>
      <c r="F74" s="2">
        <v>82832.570000000036</v>
      </c>
      <c r="G74" s="2">
        <v>82839.270000000033</v>
      </c>
      <c r="H74" s="2">
        <v>82839.270000000033</v>
      </c>
      <c r="I74" s="2">
        <v>82839.270000000033</v>
      </c>
      <c r="J74" s="2">
        <v>82839.270000000033</v>
      </c>
      <c r="K74" s="2">
        <v>82839.270000000033</v>
      </c>
      <c r="L74" s="2">
        <v>82852.390000000029</v>
      </c>
      <c r="M74" s="2">
        <v>82872.670000000027</v>
      </c>
      <c r="N74" s="2">
        <v>82886.170000000027</v>
      </c>
      <c r="O74" s="2">
        <v>82899.580000000031</v>
      </c>
      <c r="P74" s="2">
        <v>82913.760000000024</v>
      </c>
      <c r="Q74" s="2">
        <v>82925.340000000026</v>
      </c>
      <c r="R74" s="2">
        <v>82929.060000000027</v>
      </c>
      <c r="S74" s="2">
        <v>82950.430000000022</v>
      </c>
      <c r="T74" s="2">
        <v>82960.720000000016</v>
      </c>
      <c r="U74" s="2">
        <v>82960.720000000016</v>
      </c>
      <c r="V74" s="2">
        <v>82972.670000000013</v>
      </c>
      <c r="W74" s="2">
        <v>82980.720000000016</v>
      </c>
      <c r="X74" s="2">
        <v>82990.670000000013</v>
      </c>
      <c r="Y74" s="2">
        <v>82990.670000000013</v>
      </c>
      <c r="Z74" s="2">
        <v>82994.570000000007</v>
      </c>
      <c r="AA74" s="2">
        <v>83014.11</v>
      </c>
      <c r="AB74" s="2">
        <v>83035.180000000008</v>
      </c>
      <c r="AC74" s="2">
        <v>83050.12000000001</v>
      </c>
      <c r="AD74" s="2">
        <v>83071.670000000013</v>
      </c>
      <c r="AE74" s="2"/>
      <c r="AF74" s="3"/>
      <c r="AG74" s="51">
        <f t="shared" si="2"/>
        <v>83071.670000000013</v>
      </c>
      <c r="AH74" s="44">
        <v>82776.67</v>
      </c>
    </row>
    <row r="75" spans="1:34" x14ac:dyDescent="0.35">
      <c r="A75" s="33" t="s">
        <v>81</v>
      </c>
      <c r="B75" s="10">
        <v>81690.209999999934</v>
      </c>
      <c r="C75" s="2">
        <v>81707.489999999932</v>
      </c>
      <c r="D75" s="2">
        <v>81727.499999999927</v>
      </c>
      <c r="E75" s="2">
        <v>81746.169999999925</v>
      </c>
      <c r="F75" s="2">
        <v>81764.099999999919</v>
      </c>
      <c r="G75" s="2">
        <v>81784.629999999917</v>
      </c>
      <c r="H75" s="2">
        <v>81806.229999999923</v>
      </c>
      <c r="I75" s="2">
        <v>81827.099999999919</v>
      </c>
      <c r="J75" s="2">
        <v>81848.849999999919</v>
      </c>
      <c r="K75" s="2">
        <v>81870.209999999919</v>
      </c>
      <c r="L75" s="2">
        <v>81886.159999999916</v>
      </c>
      <c r="M75" s="2">
        <v>81900.19999999991</v>
      </c>
      <c r="N75" s="2">
        <v>81918.089999999909</v>
      </c>
      <c r="O75" s="2">
        <v>81938.519999999902</v>
      </c>
      <c r="P75" s="2">
        <v>81951.249999999898</v>
      </c>
      <c r="Q75" s="2">
        <v>81973.019999999902</v>
      </c>
      <c r="R75" s="2">
        <v>81994.639999999898</v>
      </c>
      <c r="S75" s="2">
        <v>82010.739999999903</v>
      </c>
      <c r="T75" s="2">
        <v>82022.779999999897</v>
      </c>
      <c r="U75" s="2">
        <v>82040.369999999893</v>
      </c>
      <c r="V75" s="2">
        <v>82061.139999999898</v>
      </c>
      <c r="W75" s="2">
        <v>82078.069999999891</v>
      </c>
      <c r="X75" s="2">
        <v>82089.509999999893</v>
      </c>
      <c r="Y75" s="2">
        <v>82101.529999999897</v>
      </c>
      <c r="Z75" s="2">
        <v>82112.399999999892</v>
      </c>
      <c r="AA75" s="2">
        <v>82122.439999999886</v>
      </c>
      <c r="AB75" s="2">
        <v>82129.249999999884</v>
      </c>
      <c r="AC75" s="2">
        <v>82145.58999999988</v>
      </c>
      <c r="AD75" s="2">
        <v>82164.249999999884</v>
      </c>
      <c r="AE75" s="2"/>
      <c r="AF75" s="3"/>
      <c r="AG75" s="51">
        <f t="shared" si="2"/>
        <v>82164.249999999884</v>
      </c>
      <c r="AH75" s="44">
        <v>81677.42</v>
      </c>
    </row>
    <row r="76" spans="1:34" x14ac:dyDescent="0.35">
      <c r="A76" s="33" t="s">
        <v>82</v>
      </c>
      <c r="B76" s="10">
        <v>81581.520000000222</v>
      </c>
      <c r="C76" s="2">
        <v>81601.490000000224</v>
      </c>
      <c r="D76" s="2">
        <v>81620.860000000219</v>
      </c>
      <c r="E76" s="2">
        <v>81642.810000000216</v>
      </c>
      <c r="F76" s="2">
        <v>81647.810000000216</v>
      </c>
      <c r="G76" s="2">
        <v>81668.020000000222</v>
      </c>
      <c r="H76" s="2">
        <v>81689.440000000221</v>
      </c>
      <c r="I76" s="2">
        <v>81707.500000000218</v>
      </c>
      <c r="J76" s="2">
        <v>81725.230000000214</v>
      </c>
      <c r="K76" s="2">
        <v>81746.280000000217</v>
      </c>
      <c r="L76" s="2">
        <v>81758.680000000211</v>
      </c>
      <c r="M76" s="2">
        <v>81776.590000000215</v>
      </c>
      <c r="N76" s="2">
        <v>81797.520000000208</v>
      </c>
      <c r="O76" s="2">
        <v>81818.85000000021</v>
      </c>
      <c r="P76" s="2">
        <v>81840.400000000212</v>
      </c>
      <c r="Q76" s="2">
        <v>81861.820000000211</v>
      </c>
      <c r="R76" s="2">
        <v>81883.630000000208</v>
      </c>
      <c r="S76" s="2">
        <v>81905.450000000215</v>
      </c>
      <c r="T76" s="2">
        <v>81927.150000000212</v>
      </c>
      <c r="U76" s="2">
        <v>81941.370000000214</v>
      </c>
      <c r="V76" s="2">
        <v>81960.550000000207</v>
      </c>
      <c r="W76" s="2">
        <v>81974.540000000212</v>
      </c>
      <c r="X76" s="2">
        <v>81991.010000000213</v>
      </c>
      <c r="Y76" s="2">
        <v>82007.090000000215</v>
      </c>
      <c r="Z76" s="2">
        <v>82011.10000000021</v>
      </c>
      <c r="AA76" s="2">
        <v>82029.450000000215</v>
      </c>
      <c r="AB76" s="2">
        <v>82043.730000000214</v>
      </c>
      <c r="AC76" s="2">
        <v>82057.550000000221</v>
      </c>
      <c r="AD76" s="2">
        <v>82070.190000000221</v>
      </c>
      <c r="AE76" s="2"/>
      <c r="AF76" s="3"/>
      <c r="AG76" s="51">
        <f t="shared" si="2"/>
        <v>82070.190000000221</v>
      </c>
      <c r="AH76" s="44">
        <v>81580.39</v>
      </c>
    </row>
    <row r="77" spans="1:34" x14ac:dyDescent="0.35">
      <c r="A77" s="33" t="s">
        <v>83</v>
      </c>
      <c r="B77" s="10">
        <v>81566.88999999997</v>
      </c>
      <c r="C77" s="2">
        <v>81583.699999999968</v>
      </c>
      <c r="D77" s="2">
        <v>81602.759999999966</v>
      </c>
      <c r="E77" s="2">
        <v>81623.999999999971</v>
      </c>
      <c r="F77" s="2">
        <v>81643.879999999976</v>
      </c>
      <c r="G77" s="2">
        <v>81665.619999999981</v>
      </c>
      <c r="H77" s="2">
        <v>81684.359999999986</v>
      </c>
      <c r="I77" s="2">
        <v>81689.39999999998</v>
      </c>
      <c r="J77" s="2">
        <v>81689.39999999998</v>
      </c>
      <c r="K77" s="2">
        <v>81699.449999999983</v>
      </c>
      <c r="L77" s="2">
        <v>81721.569999999978</v>
      </c>
      <c r="M77" s="2">
        <v>81727.419999999984</v>
      </c>
      <c r="N77" s="2">
        <v>81728.989999999991</v>
      </c>
      <c r="O77" s="2">
        <v>81736.84</v>
      </c>
      <c r="P77" s="2">
        <v>81757.539999999994</v>
      </c>
      <c r="Q77" s="2">
        <v>81760.049999999988</v>
      </c>
      <c r="R77" s="2">
        <v>81771.899999999994</v>
      </c>
      <c r="S77" s="2">
        <v>81772.289999999994</v>
      </c>
      <c r="T77" s="2">
        <v>81782.75</v>
      </c>
      <c r="U77" s="2">
        <v>81801.070000000007</v>
      </c>
      <c r="V77" s="2">
        <v>81819.070000000007</v>
      </c>
      <c r="W77" s="2">
        <v>81839.350000000006</v>
      </c>
      <c r="X77" s="2">
        <v>81860.33</v>
      </c>
      <c r="Y77" s="2">
        <v>81873.47</v>
      </c>
      <c r="Z77" s="2">
        <v>81876.97</v>
      </c>
      <c r="AA77" s="2">
        <v>81885.649999999994</v>
      </c>
      <c r="AB77" s="2">
        <v>81906.319999999992</v>
      </c>
      <c r="AC77" s="2">
        <v>81908.87</v>
      </c>
      <c r="AD77" s="2">
        <v>81928.97</v>
      </c>
      <c r="AE77" s="2"/>
      <c r="AF77" s="3"/>
      <c r="AG77" s="51">
        <f t="shared" si="2"/>
        <v>81928.97</v>
      </c>
      <c r="AH77" s="44">
        <v>81553.91</v>
      </c>
    </row>
    <row r="78" spans="1:34" x14ac:dyDescent="0.35">
      <c r="A78" s="33" t="s">
        <v>84</v>
      </c>
      <c r="B78" s="10">
        <v>83550.579999999973</v>
      </c>
      <c r="C78" s="2">
        <v>83564.679999999978</v>
      </c>
      <c r="D78" s="2">
        <v>83581.799999999974</v>
      </c>
      <c r="E78" s="2">
        <v>83603.189999999973</v>
      </c>
      <c r="F78" s="2">
        <v>83611.239999999976</v>
      </c>
      <c r="G78" s="2">
        <v>83630.479999999981</v>
      </c>
      <c r="H78" s="2">
        <v>83644.169999999984</v>
      </c>
      <c r="I78" s="2">
        <v>83657.119999999981</v>
      </c>
      <c r="J78" s="2">
        <v>83664.689999999988</v>
      </c>
      <c r="K78" s="2">
        <v>83678.059999999983</v>
      </c>
      <c r="L78" s="2">
        <v>83690.739999999976</v>
      </c>
      <c r="M78" s="2">
        <v>83699.979999999981</v>
      </c>
      <c r="N78" s="2">
        <v>83699.979999999981</v>
      </c>
      <c r="O78" s="2">
        <v>83699.979999999981</v>
      </c>
      <c r="P78" s="2">
        <v>83715.099999999977</v>
      </c>
      <c r="Q78" s="2">
        <v>83736.769999999975</v>
      </c>
      <c r="R78" s="2">
        <v>83756.799999999974</v>
      </c>
      <c r="S78" s="2">
        <v>83778.27999999997</v>
      </c>
      <c r="T78" s="2">
        <v>83799.609999999971</v>
      </c>
      <c r="U78" s="2">
        <v>83816.009999999966</v>
      </c>
      <c r="V78" s="2">
        <v>83837.209999999963</v>
      </c>
      <c r="W78" s="2">
        <v>83857.40999999996</v>
      </c>
      <c r="X78" s="2">
        <v>83878.719999999958</v>
      </c>
      <c r="Y78" s="2">
        <v>83885.199999999953</v>
      </c>
      <c r="Z78" s="2">
        <v>83899.009999999951</v>
      </c>
      <c r="AA78" s="2">
        <v>83907.409999999945</v>
      </c>
      <c r="AB78" s="2">
        <v>83908.259999999951</v>
      </c>
      <c r="AC78" s="2">
        <v>83911.53999999995</v>
      </c>
      <c r="AD78" s="2">
        <v>83926.459999999948</v>
      </c>
      <c r="AE78" s="2"/>
      <c r="AF78" s="3"/>
      <c r="AG78" s="51">
        <f t="shared" si="2"/>
        <v>83926.459999999948</v>
      </c>
      <c r="AH78" s="44">
        <v>83533.47</v>
      </c>
    </row>
    <row r="79" spans="1:34" x14ac:dyDescent="0.35">
      <c r="A79" s="33" t="s">
        <v>85</v>
      </c>
      <c r="B79" s="10">
        <v>83567.679999999891</v>
      </c>
      <c r="C79" s="2">
        <v>83574.969999999885</v>
      </c>
      <c r="D79" s="2">
        <v>83594.029999999882</v>
      </c>
      <c r="E79" s="2">
        <v>83615.449999999881</v>
      </c>
      <c r="F79" s="2">
        <v>83635.129999999874</v>
      </c>
      <c r="G79" s="2">
        <v>83649.58999999988</v>
      </c>
      <c r="H79" s="2">
        <v>83670.83999999988</v>
      </c>
      <c r="I79" s="2">
        <v>83688.159999999887</v>
      </c>
      <c r="J79" s="2">
        <v>83695.059999999881</v>
      </c>
      <c r="K79" s="2">
        <v>83706.799999999886</v>
      </c>
      <c r="L79" s="2">
        <v>83724.279999999882</v>
      </c>
      <c r="M79" s="2">
        <v>83745.219999999885</v>
      </c>
      <c r="N79" s="2">
        <v>83762.149999999878</v>
      </c>
      <c r="O79" s="2">
        <v>83782.409999999873</v>
      </c>
      <c r="P79" s="2">
        <v>83784.139999999868</v>
      </c>
      <c r="Q79" s="2">
        <v>83794.959999999875</v>
      </c>
      <c r="R79" s="2">
        <v>83815.709999999875</v>
      </c>
      <c r="S79" s="2">
        <v>83836.879999999874</v>
      </c>
      <c r="T79" s="2">
        <v>83848.169999999867</v>
      </c>
      <c r="U79" s="2">
        <v>83864.249999999869</v>
      </c>
      <c r="V79" s="2">
        <v>83884.419999999867</v>
      </c>
      <c r="W79" s="2">
        <v>83898.929999999862</v>
      </c>
      <c r="X79" s="2">
        <v>83914.449999999866</v>
      </c>
      <c r="Y79" s="2">
        <v>83934.209999999861</v>
      </c>
      <c r="Z79" s="2">
        <v>83954.869999999864</v>
      </c>
      <c r="AA79" s="2">
        <v>83970.659999999858</v>
      </c>
      <c r="AB79" s="2">
        <v>83991.319999999861</v>
      </c>
      <c r="AC79" s="2">
        <v>84008.449999999866</v>
      </c>
      <c r="AD79" s="2">
        <v>84028.959999999861</v>
      </c>
      <c r="AE79" s="2"/>
      <c r="AF79" s="3"/>
      <c r="AG79" s="51">
        <f t="shared" si="2"/>
        <v>84028.959999999861</v>
      </c>
      <c r="AH79" s="44">
        <v>83546.720000000001</v>
      </c>
    </row>
    <row r="80" spans="1:34" x14ac:dyDescent="0.35">
      <c r="A80" s="33" t="s">
        <v>86</v>
      </c>
      <c r="B80" s="10">
        <v>82081.309999999808</v>
      </c>
      <c r="C80" s="2">
        <v>82102.52999999981</v>
      </c>
      <c r="D80" s="2">
        <v>82123.849999999817</v>
      </c>
      <c r="E80" s="2">
        <v>82145.079999999813</v>
      </c>
      <c r="F80" s="2">
        <v>82156.499999999811</v>
      </c>
      <c r="G80" s="2">
        <v>82163.729999999807</v>
      </c>
      <c r="H80" s="2">
        <v>82168.38999999981</v>
      </c>
      <c r="I80" s="2">
        <v>82168.38999999981</v>
      </c>
      <c r="J80" s="2">
        <v>82168.38999999981</v>
      </c>
      <c r="K80" s="2">
        <v>82168.38999999981</v>
      </c>
      <c r="L80" s="2">
        <v>82168.38999999981</v>
      </c>
      <c r="M80" s="2">
        <v>82168.38999999981</v>
      </c>
      <c r="N80" s="2">
        <v>82181.749999999811</v>
      </c>
      <c r="O80" s="2">
        <v>82195.509999999806</v>
      </c>
      <c r="P80" s="2">
        <v>82213.729999999807</v>
      </c>
      <c r="Q80" s="2">
        <v>82234.77999999981</v>
      </c>
      <c r="R80" s="2">
        <v>82256.219999999812</v>
      </c>
      <c r="S80" s="2">
        <v>82267.63999999981</v>
      </c>
      <c r="T80" s="2">
        <v>82288.619999999806</v>
      </c>
      <c r="U80" s="2">
        <v>82302.579999999813</v>
      </c>
      <c r="V80" s="2">
        <v>82322.549999999814</v>
      </c>
      <c r="W80" s="2">
        <v>82336.00999999982</v>
      </c>
      <c r="X80" s="2">
        <v>82350.939999999813</v>
      </c>
      <c r="Y80" s="2">
        <v>82357.679999999818</v>
      </c>
      <c r="Z80" s="2">
        <v>82368.269999999815</v>
      </c>
      <c r="AA80" s="2">
        <v>82385.929999999818</v>
      </c>
      <c r="AB80" s="2">
        <v>82407.229999999821</v>
      </c>
      <c r="AC80" s="2">
        <v>82427.279999999824</v>
      </c>
      <c r="AD80" s="2">
        <v>82447.529999999824</v>
      </c>
      <c r="AE80" s="2"/>
      <c r="AF80" s="3"/>
      <c r="AG80" s="51">
        <f t="shared" si="2"/>
        <v>82447.529999999824</v>
      </c>
      <c r="AH80" s="44">
        <v>82059.8</v>
      </c>
    </row>
    <row r="81" spans="1:34" x14ac:dyDescent="0.35">
      <c r="A81" s="33" t="s">
        <v>87</v>
      </c>
      <c r="B81" s="10">
        <v>81905.800000000105</v>
      </c>
      <c r="C81" s="2">
        <v>81919.490000000107</v>
      </c>
      <c r="D81" s="2">
        <v>81940.720000000103</v>
      </c>
      <c r="E81" s="2">
        <v>81962.270000000106</v>
      </c>
      <c r="F81" s="2">
        <v>81983.6700000001</v>
      </c>
      <c r="G81" s="2">
        <v>81995.3100000001</v>
      </c>
      <c r="H81" s="2">
        <v>82013.730000000098</v>
      </c>
      <c r="I81" s="2">
        <v>82013.730000000098</v>
      </c>
      <c r="J81" s="2">
        <v>82013.730000000098</v>
      </c>
      <c r="K81" s="2">
        <v>82013.730000000098</v>
      </c>
      <c r="L81" s="2">
        <v>82013.730000000098</v>
      </c>
      <c r="M81" s="2">
        <v>82023.760000000097</v>
      </c>
      <c r="N81" s="2">
        <v>82032.390000000101</v>
      </c>
      <c r="O81" s="2">
        <v>82053.900000000096</v>
      </c>
      <c r="P81" s="2">
        <v>82075.290000000095</v>
      </c>
      <c r="Q81" s="2">
        <v>82093.540000000095</v>
      </c>
      <c r="R81" s="2">
        <v>82113.130000000092</v>
      </c>
      <c r="S81" s="2">
        <v>82129.820000000094</v>
      </c>
      <c r="T81" s="2">
        <v>82149.890000000101</v>
      </c>
      <c r="U81" s="2">
        <v>82164.370000000097</v>
      </c>
      <c r="V81" s="2">
        <v>82174.6700000001</v>
      </c>
      <c r="W81" s="2">
        <v>82193.620000000097</v>
      </c>
      <c r="X81" s="2">
        <v>82214.150000000096</v>
      </c>
      <c r="Y81" s="2">
        <v>82233.950000000099</v>
      </c>
      <c r="Z81" s="2">
        <v>82251.300000000105</v>
      </c>
      <c r="AA81" s="2">
        <v>82264.880000000107</v>
      </c>
      <c r="AB81" s="2">
        <v>82282.6700000001</v>
      </c>
      <c r="AC81" s="2">
        <v>82298.730000000098</v>
      </c>
      <c r="AD81" s="2">
        <v>82309.880000000092</v>
      </c>
      <c r="AE81" s="2"/>
      <c r="AF81" s="3"/>
      <c r="AG81" s="51">
        <f t="shared" si="2"/>
        <v>82309.880000000092</v>
      </c>
      <c r="AH81" s="44">
        <v>81888.5</v>
      </c>
    </row>
    <row r="82" spans="1:34" x14ac:dyDescent="0.35">
      <c r="A82" s="33" t="s">
        <v>88</v>
      </c>
      <c r="B82" s="10">
        <v>81917.509999999966</v>
      </c>
      <c r="C82" s="2">
        <v>81938.959999999963</v>
      </c>
      <c r="D82" s="2">
        <v>81960.489999999962</v>
      </c>
      <c r="E82" s="2">
        <v>81980.889999999956</v>
      </c>
      <c r="F82" s="2">
        <v>81980.899999999951</v>
      </c>
      <c r="G82" s="2">
        <v>81980.899999999951</v>
      </c>
      <c r="H82" s="2">
        <v>81980.899999999951</v>
      </c>
      <c r="I82" s="2">
        <v>81980.899999999951</v>
      </c>
      <c r="J82" s="2">
        <v>81990.319999999949</v>
      </c>
      <c r="K82" s="2">
        <v>82000.669999999955</v>
      </c>
      <c r="L82" s="2">
        <v>82021.599999999948</v>
      </c>
      <c r="M82" s="2">
        <v>82037.759999999951</v>
      </c>
      <c r="N82" s="2">
        <v>82058.989999999947</v>
      </c>
      <c r="O82" s="2">
        <v>82080.769999999946</v>
      </c>
      <c r="P82" s="2">
        <v>82101.189999999944</v>
      </c>
      <c r="Q82" s="2">
        <v>82122.939999999944</v>
      </c>
      <c r="R82" s="2">
        <v>82144.579999999944</v>
      </c>
      <c r="S82" s="2">
        <v>82165.949999999939</v>
      </c>
      <c r="T82" s="2">
        <v>82187.789999999935</v>
      </c>
      <c r="U82" s="2">
        <v>82203.559999999939</v>
      </c>
      <c r="V82" s="2">
        <v>82224.779999999941</v>
      </c>
      <c r="W82" s="2">
        <v>82242.209999999934</v>
      </c>
      <c r="X82" s="2">
        <v>82260.379999999932</v>
      </c>
      <c r="Y82" s="2">
        <v>82278.959999999934</v>
      </c>
      <c r="Z82" s="2">
        <v>82291.579999999929</v>
      </c>
      <c r="AA82" s="2">
        <v>82309.379999999932</v>
      </c>
      <c r="AB82" s="2">
        <v>82316.43999999993</v>
      </c>
      <c r="AC82" s="2">
        <v>82337.899999999936</v>
      </c>
      <c r="AD82" s="2">
        <v>82358.749999999942</v>
      </c>
      <c r="AE82" s="2"/>
      <c r="AF82" s="3"/>
      <c r="AG82" s="51">
        <f t="shared" si="2"/>
        <v>82358.749999999942</v>
      </c>
      <c r="AH82" s="44">
        <v>81896.710000000006</v>
      </c>
    </row>
    <row r="83" spans="1:34" x14ac:dyDescent="0.35">
      <c r="A83" s="33" t="s">
        <v>89</v>
      </c>
      <c r="B83" s="10">
        <v>81883.639999999737</v>
      </c>
      <c r="C83" s="2">
        <v>81905.56999999973</v>
      </c>
      <c r="D83" s="2">
        <v>81918.989999999729</v>
      </c>
      <c r="E83" s="2">
        <v>81928.849999999729</v>
      </c>
      <c r="F83" s="2">
        <v>81949.079999999725</v>
      </c>
      <c r="G83" s="2">
        <v>81960.119999999719</v>
      </c>
      <c r="H83" s="2">
        <v>81973.199999999721</v>
      </c>
      <c r="I83" s="2">
        <v>81981.189999999726</v>
      </c>
      <c r="J83" s="2">
        <v>81988.929999999731</v>
      </c>
      <c r="K83" s="2">
        <v>82006.949999999735</v>
      </c>
      <c r="L83" s="2">
        <v>82027.849999999729</v>
      </c>
      <c r="M83" s="2">
        <v>82044.359999999724</v>
      </c>
      <c r="N83" s="2">
        <v>82066.029999999722</v>
      </c>
      <c r="O83" s="2">
        <v>82084.279999999722</v>
      </c>
      <c r="P83" s="2">
        <v>82104.429999999717</v>
      </c>
      <c r="Q83" s="2">
        <v>82125.939999999711</v>
      </c>
      <c r="R83" s="2">
        <v>82147.199999999706</v>
      </c>
      <c r="S83" s="2">
        <v>82168.929999999702</v>
      </c>
      <c r="T83" s="2">
        <v>82190.859999999695</v>
      </c>
      <c r="U83" s="2">
        <v>82196.799999999697</v>
      </c>
      <c r="V83" s="2">
        <v>82211.589999999691</v>
      </c>
      <c r="W83" s="2">
        <v>82219.22999999969</v>
      </c>
      <c r="X83" s="2">
        <v>82229.999999999694</v>
      </c>
      <c r="Y83" s="2">
        <v>82247.359999999695</v>
      </c>
      <c r="Z83" s="2">
        <v>82261.7399999997</v>
      </c>
      <c r="AA83" s="2">
        <v>82268.699999999706</v>
      </c>
      <c r="AB83" s="2">
        <v>82289.819999999701</v>
      </c>
      <c r="AC83" s="2">
        <v>82311.189999999697</v>
      </c>
      <c r="AD83" s="2">
        <v>82332.939999999697</v>
      </c>
      <c r="AE83" s="2"/>
      <c r="AF83" s="3"/>
      <c r="AG83" s="51">
        <f t="shared" si="2"/>
        <v>82332.939999999697</v>
      </c>
      <c r="AH83" s="44">
        <v>81862.490000000005</v>
      </c>
    </row>
    <row r="84" spans="1:34" x14ac:dyDescent="0.35">
      <c r="A84" s="33" t="s">
        <v>90</v>
      </c>
      <c r="B84" s="10">
        <v>83515.580000000045</v>
      </c>
      <c r="C84" s="2">
        <v>83531.950000000041</v>
      </c>
      <c r="D84" s="2">
        <v>83551.430000000037</v>
      </c>
      <c r="E84" s="2">
        <v>83551.430000000037</v>
      </c>
      <c r="F84" s="2">
        <v>83563.320000000036</v>
      </c>
      <c r="G84" s="2">
        <v>83580.11000000003</v>
      </c>
      <c r="H84" s="2">
        <v>83600.310000000027</v>
      </c>
      <c r="I84" s="2">
        <v>83619.99000000002</v>
      </c>
      <c r="J84" s="2">
        <v>83638.480000000025</v>
      </c>
      <c r="K84" s="2">
        <v>83644.090000000026</v>
      </c>
      <c r="L84" s="2">
        <v>83646.130000000019</v>
      </c>
      <c r="M84" s="2">
        <v>83656.550000000017</v>
      </c>
      <c r="N84" s="2">
        <v>83673.180000000022</v>
      </c>
      <c r="O84" s="2">
        <v>83694.660000000018</v>
      </c>
      <c r="P84" s="2">
        <v>83707.200000000012</v>
      </c>
      <c r="Q84" s="2">
        <v>83707.200000000012</v>
      </c>
      <c r="R84" s="2">
        <v>83707.200000000012</v>
      </c>
      <c r="S84" s="2">
        <v>83707.200000000012</v>
      </c>
      <c r="T84" s="2">
        <v>83707.200000000012</v>
      </c>
      <c r="U84" s="2">
        <v>83708.13</v>
      </c>
      <c r="V84" s="2">
        <v>83718.92</v>
      </c>
      <c r="W84" s="2">
        <v>83719.819999999992</v>
      </c>
      <c r="X84" s="2">
        <v>83740.599999999991</v>
      </c>
      <c r="Y84" s="2">
        <v>83762.12999999999</v>
      </c>
      <c r="Z84" s="2">
        <v>83767.579999999987</v>
      </c>
      <c r="AA84" s="2">
        <v>83781.289999999994</v>
      </c>
      <c r="AB84" s="2">
        <v>83802.84</v>
      </c>
      <c r="AC84" s="2">
        <v>83823.76999999999</v>
      </c>
      <c r="AD84" s="2">
        <v>83845.23</v>
      </c>
      <c r="AE84" s="2"/>
      <c r="AF84" s="3"/>
      <c r="AG84" s="51">
        <f t="shared" si="2"/>
        <v>83845.23</v>
      </c>
      <c r="AH84" s="44">
        <v>83493.570000000007</v>
      </c>
    </row>
    <row r="85" spans="1:34" x14ac:dyDescent="0.35">
      <c r="A85" s="33" t="s">
        <v>91</v>
      </c>
      <c r="B85" s="10">
        <v>83833.299999999756</v>
      </c>
      <c r="C85" s="2">
        <v>83843.739999999758</v>
      </c>
      <c r="D85" s="2">
        <v>83852.759999999762</v>
      </c>
      <c r="E85" s="2">
        <v>83873.949999999764</v>
      </c>
      <c r="F85" s="2">
        <v>83879.54999999977</v>
      </c>
      <c r="G85" s="2">
        <v>83890.879999999772</v>
      </c>
      <c r="H85" s="2">
        <v>83900.749999999767</v>
      </c>
      <c r="I85" s="2">
        <v>83922.67999999976</v>
      </c>
      <c r="J85" s="2">
        <v>83943.969999999754</v>
      </c>
      <c r="K85" s="2">
        <v>83965.349999999758</v>
      </c>
      <c r="L85" s="2">
        <v>83967.309999999765</v>
      </c>
      <c r="M85" s="2">
        <v>83968.019999999771</v>
      </c>
      <c r="N85" s="2">
        <v>83970.909999999771</v>
      </c>
      <c r="O85" s="2">
        <v>83980.119999999777</v>
      </c>
      <c r="P85" s="2">
        <v>84001.599999999773</v>
      </c>
      <c r="Q85" s="2">
        <v>84018.709999999774</v>
      </c>
      <c r="R85" s="2">
        <v>84024.469999999768</v>
      </c>
      <c r="S85" s="2">
        <v>84037.129999999772</v>
      </c>
      <c r="T85" s="2">
        <v>84038.879999999772</v>
      </c>
      <c r="U85" s="2">
        <v>84042.039999999775</v>
      </c>
      <c r="V85" s="2">
        <v>84063.349999999773</v>
      </c>
      <c r="W85" s="2">
        <v>84084.29999999977</v>
      </c>
      <c r="X85" s="2">
        <v>84097.129999999772</v>
      </c>
      <c r="Y85" s="2">
        <v>84117.609999999768</v>
      </c>
      <c r="Z85" s="2">
        <v>84136.939999999769</v>
      </c>
      <c r="AA85" s="2">
        <v>84148.239999999772</v>
      </c>
      <c r="AB85" s="2">
        <v>84160.259999999776</v>
      </c>
      <c r="AC85" s="2">
        <v>84181.129999999772</v>
      </c>
      <c r="AD85" s="2">
        <v>84196.749999999767</v>
      </c>
      <c r="AE85" s="2"/>
      <c r="AF85" s="3"/>
      <c r="AG85" s="51">
        <f t="shared" si="2"/>
        <v>84196.749999999767</v>
      </c>
      <c r="AH85" s="44">
        <v>83812.08</v>
      </c>
    </row>
    <row r="86" spans="1:34" x14ac:dyDescent="0.35">
      <c r="A86" s="33" t="s">
        <v>92</v>
      </c>
      <c r="B86" s="10">
        <v>83072.840000000098</v>
      </c>
      <c r="C86" s="2">
        <v>83094.1700000001</v>
      </c>
      <c r="D86" s="2">
        <v>83115.760000000097</v>
      </c>
      <c r="E86" s="2">
        <v>83132.070000000094</v>
      </c>
      <c r="F86" s="2">
        <v>83153.700000000099</v>
      </c>
      <c r="G86" s="2">
        <v>83175.030000000101</v>
      </c>
      <c r="H86" s="2">
        <v>83195.750000000102</v>
      </c>
      <c r="I86" s="2">
        <v>83212.470000000103</v>
      </c>
      <c r="J86" s="2">
        <v>83222.780000000101</v>
      </c>
      <c r="K86" s="2">
        <v>83235.280000000101</v>
      </c>
      <c r="L86" s="2">
        <v>83235.860000000102</v>
      </c>
      <c r="M86" s="2">
        <v>83252.180000000109</v>
      </c>
      <c r="N86" s="2">
        <v>83273.460000000108</v>
      </c>
      <c r="O86" s="2">
        <v>83295.130000000107</v>
      </c>
      <c r="P86" s="2">
        <v>83316.150000000111</v>
      </c>
      <c r="Q86" s="2">
        <v>83333.220000000118</v>
      </c>
      <c r="R86" s="2">
        <v>83345.370000000112</v>
      </c>
      <c r="S86" s="2">
        <v>83356.330000000118</v>
      </c>
      <c r="T86" s="2">
        <v>83376.91000000012</v>
      </c>
      <c r="U86" s="2">
        <v>83387.150000000125</v>
      </c>
      <c r="V86" s="2">
        <v>83408.490000000122</v>
      </c>
      <c r="W86" s="2">
        <v>83429.590000000127</v>
      </c>
      <c r="X86" s="2">
        <v>83436.690000000133</v>
      </c>
      <c r="Y86" s="2">
        <v>83451.520000000135</v>
      </c>
      <c r="Z86" s="2">
        <v>83458.080000000133</v>
      </c>
      <c r="AA86" s="2">
        <v>83471.110000000132</v>
      </c>
      <c r="AB86" s="2">
        <v>83483.970000000132</v>
      </c>
      <c r="AC86" s="2">
        <v>83504.03000000013</v>
      </c>
      <c r="AD86" s="2">
        <v>83524.740000000136</v>
      </c>
      <c r="AE86" s="2"/>
      <c r="AF86" s="3"/>
      <c r="AG86" s="51">
        <f t="shared" si="2"/>
        <v>83524.740000000136</v>
      </c>
      <c r="AH86" s="44">
        <v>83051</v>
      </c>
    </row>
    <row r="87" spans="1:34" x14ac:dyDescent="0.35">
      <c r="A87" s="33" t="s">
        <v>93</v>
      </c>
      <c r="B87" s="10">
        <v>76722.919999999896</v>
      </c>
      <c r="C87" s="2">
        <v>76722.919999999896</v>
      </c>
      <c r="D87" s="2">
        <v>76722.989999999903</v>
      </c>
      <c r="E87" s="2">
        <v>76734.6899999999</v>
      </c>
      <c r="F87" s="2">
        <v>76753.069999999905</v>
      </c>
      <c r="G87" s="2">
        <v>76774.409999999902</v>
      </c>
      <c r="H87" s="2">
        <v>76792.239999999903</v>
      </c>
      <c r="I87" s="2">
        <v>76810.779999999897</v>
      </c>
      <c r="J87" s="2">
        <v>76832.0799999999</v>
      </c>
      <c r="K87" s="2">
        <v>76853.509999999893</v>
      </c>
      <c r="L87" s="2">
        <v>76869.749999999898</v>
      </c>
      <c r="M87" s="2">
        <v>76891.009999999893</v>
      </c>
      <c r="N87" s="2">
        <v>76912.619999999893</v>
      </c>
      <c r="O87" s="2">
        <v>76934.409999999887</v>
      </c>
      <c r="P87" s="2">
        <v>76947.739999999889</v>
      </c>
      <c r="Q87" s="2">
        <v>76966.159999999887</v>
      </c>
      <c r="R87" s="2">
        <v>76983.379999999888</v>
      </c>
      <c r="S87" s="2">
        <v>77004.939999999886</v>
      </c>
      <c r="T87" s="2">
        <v>77026.909999999887</v>
      </c>
      <c r="U87" s="2">
        <v>77042.769999999888</v>
      </c>
      <c r="V87" s="2">
        <v>77050.559999999881</v>
      </c>
      <c r="W87" s="2">
        <v>77067.369999999879</v>
      </c>
      <c r="X87" s="2">
        <v>77087.749999999884</v>
      </c>
      <c r="Y87" s="2">
        <v>77105.449999999881</v>
      </c>
      <c r="Z87" s="2">
        <v>77125.019999999888</v>
      </c>
      <c r="AA87" s="2">
        <v>77143.049999999886</v>
      </c>
      <c r="AB87" s="2">
        <v>77164.819999999891</v>
      </c>
      <c r="AC87" s="2">
        <v>77183.339999999895</v>
      </c>
      <c r="AD87" s="2">
        <v>77202.399999999892</v>
      </c>
      <c r="AE87" s="2"/>
      <c r="AF87" s="3"/>
      <c r="AG87" s="51">
        <f t="shared" si="2"/>
        <v>77202.399999999892</v>
      </c>
      <c r="AH87" s="44">
        <v>76722.92</v>
      </c>
    </row>
    <row r="88" spans="1:34" x14ac:dyDescent="0.35">
      <c r="A88" s="33" t="s">
        <v>94</v>
      </c>
      <c r="B88" s="10">
        <v>85004.750000000029</v>
      </c>
      <c r="C88" s="2">
        <v>85024.700000000026</v>
      </c>
      <c r="D88" s="2">
        <v>85037.510000000024</v>
      </c>
      <c r="E88" s="2">
        <v>85053.630000000019</v>
      </c>
      <c r="F88" s="2">
        <v>85074.950000000026</v>
      </c>
      <c r="G88" s="2">
        <v>85094.880000000019</v>
      </c>
      <c r="H88" s="2">
        <v>85099.810000000012</v>
      </c>
      <c r="I88" s="2">
        <v>85099.810000000012</v>
      </c>
      <c r="J88" s="2">
        <v>85111.150000000009</v>
      </c>
      <c r="K88" s="2">
        <v>85131.390000000014</v>
      </c>
      <c r="L88" s="2">
        <v>85139.790000000008</v>
      </c>
      <c r="M88" s="2">
        <v>85159.560000000012</v>
      </c>
      <c r="N88" s="2">
        <v>85166.21</v>
      </c>
      <c r="O88" s="2">
        <v>85187.22</v>
      </c>
      <c r="P88" s="2">
        <v>85208.51</v>
      </c>
      <c r="Q88" s="2">
        <v>85221.159999999989</v>
      </c>
      <c r="R88" s="2">
        <v>85238.98</v>
      </c>
      <c r="S88" s="2">
        <v>85255.26999999999</v>
      </c>
      <c r="T88" s="2">
        <v>85270.01999999999</v>
      </c>
      <c r="U88" s="2">
        <v>85282.349999999991</v>
      </c>
      <c r="V88" s="2">
        <v>85303.799999999988</v>
      </c>
      <c r="W88" s="2">
        <v>85315.62999999999</v>
      </c>
      <c r="X88" s="2">
        <v>85336.93</v>
      </c>
      <c r="Y88" s="2">
        <v>85355.54</v>
      </c>
      <c r="Z88" s="2">
        <v>85363.26999999999</v>
      </c>
      <c r="AA88" s="2">
        <v>85372.739999999991</v>
      </c>
      <c r="AB88" s="2">
        <v>85372.919999999984</v>
      </c>
      <c r="AC88" s="2">
        <v>85389.369999999981</v>
      </c>
      <c r="AD88" s="2">
        <v>85401.769999999975</v>
      </c>
      <c r="AE88" s="2"/>
      <c r="AF88" s="3"/>
      <c r="AG88" s="51">
        <f t="shared" si="2"/>
        <v>85401.769999999975</v>
      </c>
      <c r="AH88" s="44">
        <v>84991.22</v>
      </c>
    </row>
    <row r="89" spans="1:34" x14ac:dyDescent="0.35">
      <c r="A89" s="33" t="s">
        <v>95</v>
      </c>
      <c r="B89" s="10">
        <v>80841.639999999825</v>
      </c>
      <c r="C89" s="2">
        <v>80863.109999999826</v>
      </c>
      <c r="D89" s="2">
        <v>80876.389999999825</v>
      </c>
      <c r="E89" s="2">
        <v>80898.039999999819</v>
      </c>
      <c r="F89" s="2">
        <v>80917.459999999817</v>
      </c>
      <c r="G89" s="2">
        <v>80937.079999999813</v>
      </c>
      <c r="H89" s="2">
        <v>80958.689999999813</v>
      </c>
      <c r="I89" s="2">
        <v>80969.299999999814</v>
      </c>
      <c r="J89" s="2">
        <v>80989.709999999817</v>
      </c>
      <c r="K89" s="2">
        <v>81010.219999999812</v>
      </c>
      <c r="L89" s="2">
        <v>81031.379999999815</v>
      </c>
      <c r="M89" s="2">
        <v>81053.549999999814</v>
      </c>
      <c r="N89" s="2">
        <v>81075.359999999811</v>
      </c>
      <c r="O89" s="2">
        <v>81097.199999999808</v>
      </c>
      <c r="P89" s="2">
        <v>81116.879999999801</v>
      </c>
      <c r="Q89" s="2">
        <v>81138.499999999796</v>
      </c>
      <c r="R89" s="2">
        <v>81160.39999999979</v>
      </c>
      <c r="S89" s="2">
        <v>81179.219999999797</v>
      </c>
      <c r="T89" s="2">
        <v>81199.859999999797</v>
      </c>
      <c r="U89" s="2">
        <v>81213.619999999792</v>
      </c>
      <c r="V89" s="2">
        <v>81231.019999999786</v>
      </c>
      <c r="W89" s="2">
        <v>81250.279999999781</v>
      </c>
      <c r="X89" s="2">
        <v>81271.079999999783</v>
      </c>
      <c r="Y89" s="2">
        <v>81286.439999999784</v>
      </c>
      <c r="Z89" s="2">
        <v>81298.529999999781</v>
      </c>
      <c r="AA89" s="2">
        <v>81313.16999999978</v>
      </c>
      <c r="AB89" s="2">
        <v>81316.929999999775</v>
      </c>
      <c r="AC89" s="2">
        <v>81322.66999999978</v>
      </c>
      <c r="AD89" s="2">
        <v>81344.379999999786</v>
      </c>
      <c r="AE89" s="2"/>
      <c r="AF89" s="3"/>
      <c r="AG89" s="51">
        <f t="shared" si="2"/>
        <v>81344.379999999786</v>
      </c>
      <c r="AH89" s="44">
        <v>80820.27</v>
      </c>
    </row>
    <row r="90" spans="1:34" x14ac:dyDescent="0.35">
      <c r="A90" s="33" t="s">
        <v>96</v>
      </c>
      <c r="B90" s="10">
        <v>82627.709999999875</v>
      </c>
      <c r="C90" s="2">
        <v>82643.189999999871</v>
      </c>
      <c r="D90" s="2">
        <v>82654.35999999987</v>
      </c>
      <c r="E90" s="2">
        <v>82675.799999999872</v>
      </c>
      <c r="F90" s="2">
        <v>82686.499999999869</v>
      </c>
      <c r="G90" s="2">
        <v>82708.159999999873</v>
      </c>
      <c r="H90" s="2">
        <v>82712.099999999875</v>
      </c>
      <c r="I90" s="2">
        <v>82713.389999999868</v>
      </c>
      <c r="J90" s="2">
        <v>82713.389999999868</v>
      </c>
      <c r="K90" s="2">
        <v>82713.389999999868</v>
      </c>
      <c r="L90" s="2">
        <v>82713.389999999868</v>
      </c>
      <c r="M90" s="2">
        <v>82713.389999999868</v>
      </c>
      <c r="N90" s="2">
        <v>82713.389999999868</v>
      </c>
      <c r="O90" s="2">
        <v>82720.339999999866</v>
      </c>
      <c r="P90" s="2">
        <v>82738.339999999866</v>
      </c>
      <c r="Q90" s="2">
        <v>82758.059999999867</v>
      </c>
      <c r="R90" s="2">
        <v>82767.629999999874</v>
      </c>
      <c r="S90" s="2">
        <v>82782.689999999871</v>
      </c>
      <c r="T90" s="2">
        <v>82803.929999999877</v>
      </c>
      <c r="U90" s="2">
        <v>82803.949999999881</v>
      </c>
      <c r="V90" s="2">
        <v>82804.519999999888</v>
      </c>
      <c r="W90" s="2">
        <v>82804.519999999888</v>
      </c>
      <c r="X90" s="2">
        <v>82804.519999999888</v>
      </c>
      <c r="Y90" s="2">
        <v>82804.519999999888</v>
      </c>
      <c r="Z90" s="2">
        <v>82804.519999999888</v>
      </c>
      <c r="AA90" s="2">
        <v>82804.519999999888</v>
      </c>
      <c r="AB90" s="2">
        <v>82804.519999999888</v>
      </c>
      <c r="AC90" s="2">
        <v>82804.519999999888</v>
      </c>
      <c r="AD90" s="2">
        <v>82804.519999999888</v>
      </c>
      <c r="AE90" s="2"/>
      <c r="AF90" s="3"/>
      <c r="AG90" s="51">
        <f t="shared" si="2"/>
        <v>82804.519999999888</v>
      </c>
      <c r="AH90" s="44">
        <v>82606.36</v>
      </c>
    </row>
    <row r="91" spans="1:34" x14ac:dyDescent="0.35">
      <c r="A91" s="33" t="s">
        <v>97</v>
      </c>
      <c r="B91" s="10">
        <v>83523.500000000073</v>
      </c>
      <c r="C91" s="2">
        <v>83543.540000000066</v>
      </c>
      <c r="D91" s="2">
        <v>83564.820000000065</v>
      </c>
      <c r="E91" s="2">
        <v>83584.230000000069</v>
      </c>
      <c r="F91" s="2">
        <v>83604.170000000071</v>
      </c>
      <c r="G91" s="2">
        <v>83605.440000000075</v>
      </c>
      <c r="H91" s="2">
        <v>83619.68000000008</v>
      </c>
      <c r="I91" s="2">
        <v>83634.990000000078</v>
      </c>
      <c r="J91" s="2">
        <v>83655.710000000079</v>
      </c>
      <c r="K91" s="2">
        <v>83655.710000000079</v>
      </c>
      <c r="L91" s="2">
        <v>83676.600000000079</v>
      </c>
      <c r="M91" s="2">
        <v>83694.540000000081</v>
      </c>
      <c r="N91" s="2">
        <v>83694.540000000081</v>
      </c>
      <c r="O91" s="2">
        <v>83699.640000000087</v>
      </c>
      <c r="P91" s="2">
        <v>83721.110000000088</v>
      </c>
      <c r="Q91" s="2">
        <v>83735.30000000009</v>
      </c>
      <c r="R91" s="2">
        <v>83746.290000000095</v>
      </c>
      <c r="S91" s="2">
        <v>83746.290000000095</v>
      </c>
      <c r="T91" s="2">
        <v>83753.05000000009</v>
      </c>
      <c r="U91" s="2">
        <v>83762.850000000093</v>
      </c>
      <c r="V91" s="2">
        <v>83783.460000000094</v>
      </c>
      <c r="W91" s="2">
        <v>83804.5600000001</v>
      </c>
      <c r="X91" s="2">
        <v>83817.210000000094</v>
      </c>
      <c r="Y91" s="2">
        <v>83817.210000000094</v>
      </c>
      <c r="Z91" s="2">
        <v>83817.210000000094</v>
      </c>
      <c r="AA91" s="2">
        <v>83817.210000000094</v>
      </c>
      <c r="AB91" s="2">
        <v>83824.890000000087</v>
      </c>
      <c r="AC91" s="2">
        <v>83824.950000000084</v>
      </c>
      <c r="AD91" s="2">
        <v>83845.790000000081</v>
      </c>
      <c r="AE91" s="2"/>
      <c r="AF91" s="3"/>
      <c r="AG91" s="51">
        <f t="shared" si="2"/>
        <v>83845.790000000081</v>
      </c>
      <c r="AH91" s="44">
        <v>83507.12</v>
      </c>
    </row>
    <row r="92" spans="1:34" x14ac:dyDescent="0.35">
      <c r="A92" s="33" t="s">
        <v>98</v>
      </c>
      <c r="B92" s="10">
        <v>82262.5600000001</v>
      </c>
      <c r="C92" s="2">
        <v>82284.140000000101</v>
      </c>
      <c r="D92" s="2">
        <v>82303.880000000107</v>
      </c>
      <c r="E92" s="2">
        <v>82312.330000000104</v>
      </c>
      <c r="F92" s="2">
        <v>82327.160000000105</v>
      </c>
      <c r="G92" s="2">
        <v>82338.440000000104</v>
      </c>
      <c r="H92" s="2">
        <v>82357.870000000097</v>
      </c>
      <c r="I92" s="2">
        <v>82379.0600000001</v>
      </c>
      <c r="J92" s="2">
        <v>82400.400000000096</v>
      </c>
      <c r="K92" s="2">
        <v>82422.070000000094</v>
      </c>
      <c r="L92" s="2">
        <v>82441.500000000087</v>
      </c>
      <c r="M92" s="2">
        <v>82456.060000000085</v>
      </c>
      <c r="N92" s="2">
        <v>82471.760000000082</v>
      </c>
      <c r="O92" s="2">
        <v>82489.710000000079</v>
      </c>
      <c r="P92" s="2">
        <v>82510.210000000079</v>
      </c>
      <c r="Q92" s="2">
        <v>82526.18000000008</v>
      </c>
      <c r="R92" s="2">
        <v>82547.350000000079</v>
      </c>
      <c r="S92" s="2">
        <v>82568.480000000083</v>
      </c>
      <c r="T92" s="2">
        <v>82587.590000000084</v>
      </c>
      <c r="U92" s="2">
        <v>82606.900000000081</v>
      </c>
      <c r="V92" s="2">
        <v>82621.440000000075</v>
      </c>
      <c r="W92" s="2">
        <v>82643.080000000075</v>
      </c>
      <c r="X92" s="2">
        <v>82662.45000000007</v>
      </c>
      <c r="Y92" s="2">
        <v>82680.380000000063</v>
      </c>
      <c r="Z92" s="2">
        <v>82701.250000000058</v>
      </c>
      <c r="AA92" s="2">
        <v>82710.390000000058</v>
      </c>
      <c r="AB92" s="2">
        <v>82731.230000000054</v>
      </c>
      <c r="AC92" s="2">
        <v>82748.310000000056</v>
      </c>
      <c r="AD92" s="2">
        <v>82765.520000000062</v>
      </c>
      <c r="AE92" s="2"/>
      <c r="AF92" s="3"/>
      <c r="AG92" s="51">
        <f t="shared" si="2"/>
        <v>82765.520000000062</v>
      </c>
      <c r="AH92" s="44">
        <v>82241.31</v>
      </c>
    </row>
    <row r="93" spans="1:34" x14ac:dyDescent="0.35">
      <c r="A93" s="33" t="s">
        <v>99</v>
      </c>
      <c r="B93" s="10">
        <v>79465.580000000147</v>
      </c>
      <c r="C93" s="2">
        <v>79477.500000000146</v>
      </c>
      <c r="D93" s="2">
        <v>79482.840000000142</v>
      </c>
      <c r="E93" s="2">
        <v>79493.220000000147</v>
      </c>
      <c r="F93" s="2">
        <v>79496.220000000147</v>
      </c>
      <c r="G93" s="2">
        <v>79518.01000000014</v>
      </c>
      <c r="H93" s="2">
        <v>79538.570000000138</v>
      </c>
      <c r="I93" s="2">
        <v>79558.070000000138</v>
      </c>
      <c r="J93" s="2">
        <v>79573.01000000014</v>
      </c>
      <c r="K93" s="2">
        <v>79593.530000000144</v>
      </c>
      <c r="L93" s="2">
        <v>79614.800000000148</v>
      </c>
      <c r="M93" s="2">
        <v>79636.260000000155</v>
      </c>
      <c r="N93" s="2">
        <v>79655.900000000154</v>
      </c>
      <c r="O93" s="2">
        <v>79677.080000000147</v>
      </c>
      <c r="P93" s="2">
        <v>79692.360000000146</v>
      </c>
      <c r="Q93" s="2">
        <v>79705.530000000144</v>
      </c>
      <c r="R93" s="2">
        <v>79727.170000000144</v>
      </c>
      <c r="S93" s="2">
        <v>79745.870000000141</v>
      </c>
      <c r="T93" s="2">
        <v>79765.480000000141</v>
      </c>
      <c r="U93" s="2">
        <v>79777.610000000146</v>
      </c>
      <c r="V93" s="2">
        <v>79792.620000000141</v>
      </c>
      <c r="W93" s="2">
        <v>79813.920000000144</v>
      </c>
      <c r="X93" s="2">
        <v>79824.720000000147</v>
      </c>
      <c r="Y93" s="2">
        <v>79831.800000000148</v>
      </c>
      <c r="Z93" s="2">
        <v>79851.260000000155</v>
      </c>
      <c r="AA93" s="2">
        <v>79871.800000000148</v>
      </c>
      <c r="AB93" s="2">
        <v>79881.100000000151</v>
      </c>
      <c r="AC93" s="2">
        <v>79890.740000000151</v>
      </c>
      <c r="AD93" s="2">
        <v>79912.140000000145</v>
      </c>
      <c r="AE93" s="2"/>
      <c r="AF93" s="3"/>
      <c r="AG93" s="51">
        <f t="shared" si="2"/>
        <v>79912.140000000145</v>
      </c>
      <c r="AH93" s="44">
        <v>79465.009999999995</v>
      </c>
    </row>
    <row r="94" spans="1:34" x14ac:dyDescent="0.35">
      <c r="A94" s="33" t="s">
        <v>100</v>
      </c>
      <c r="B94" s="10">
        <v>80861.200000000026</v>
      </c>
      <c r="C94" s="2">
        <v>80879.790000000023</v>
      </c>
      <c r="D94" s="2">
        <v>80890.420000000027</v>
      </c>
      <c r="E94" s="2">
        <v>80900.72000000003</v>
      </c>
      <c r="F94" s="2">
        <v>80911.170000000027</v>
      </c>
      <c r="G94" s="2">
        <v>80924.540000000023</v>
      </c>
      <c r="H94" s="2">
        <v>80941.960000000021</v>
      </c>
      <c r="I94" s="2">
        <v>80963.330000000016</v>
      </c>
      <c r="J94" s="2">
        <v>80983.280000000013</v>
      </c>
      <c r="K94" s="2">
        <v>80997.570000000007</v>
      </c>
      <c r="L94" s="2">
        <v>80999.320000000007</v>
      </c>
      <c r="M94" s="2">
        <v>81018.680000000008</v>
      </c>
      <c r="N94" s="2">
        <v>81040.52</v>
      </c>
      <c r="O94" s="2">
        <v>81062.320000000007</v>
      </c>
      <c r="P94" s="2">
        <v>81075.200000000012</v>
      </c>
      <c r="Q94" s="2">
        <v>81089.060000000012</v>
      </c>
      <c r="R94" s="2">
        <v>81109.780000000013</v>
      </c>
      <c r="S94" s="2">
        <v>81131.110000000015</v>
      </c>
      <c r="T94" s="2">
        <v>81152.500000000015</v>
      </c>
      <c r="U94" s="2">
        <v>81168.530000000013</v>
      </c>
      <c r="V94" s="2">
        <v>81188.49000000002</v>
      </c>
      <c r="W94" s="2">
        <v>81209.820000000022</v>
      </c>
      <c r="X94" s="2">
        <v>81223.60000000002</v>
      </c>
      <c r="Y94" s="2">
        <v>81244.640000000014</v>
      </c>
      <c r="Z94" s="2">
        <v>81263.290000000008</v>
      </c>
      <c r="AA94" s="2">
        <v>81277.610000000015</v>
      </c>
      <c r="AB94" s="2">
        <v>81277.610000000015</v>
      </c>
      <c r="AC94" s="2">
        <v>81277.610000000015</v>
      </c>
      <c r="AD94" s="2">
        <v>81277.610000000015</v>
      </c>
      <c r="AE94" s="2"/>
      <c r="AF94" s="3"/>
      <c r="AG94" s="51">
        <f t="shared" si="2"/>
        <v>81277.610000000015</v>
      </c>
      <c r="AH94" s="44">
        <v>80839.67</v>
      </c>
    </row>
    <row r="95" spans="1:34" x14ac:dyDescent="0.35">
      <c r="A95" s="33" t="s">
        <v>101</v>
      </c>
      <c r="B95" s="10">
        <v>81338.739999999962</v>
      </c>
      <c r="C95" s="2">
        <v>81359.329999999958</v>
      </c>
      <c r="D95" s="2">
        <v>81375.489999999962</v>
      </c>
      <c r="E95" s="2">
        <v>81391.389999999956</v>
      </c>
      <c r="F95" s="2">
        <v>81401.40999999996</v>
      </c>
      <c r="G95" s="2">
        <v>81405.149999999965</v>
      </c>
      <c r="H95" s="2">
        <v>81421.949999999968</v>
      </c>
      <c r="I95" s="2">
        <v>81442.989999999962</v>
      </c>
      <c r="J95" s="2">
        <v>81464.079999999958</v>
      </c>
      <c r="K95" s="2">
        <v>81484.259999999951</v>
      </c>
      <c r="L95" s="2">
        <v>81505.189999999944</v>
      </c>
      <c r="M95" s="2">
        <v>81521.599999999948</v>
      </c>
      <c r="N95" s="2">
        <v>81543.059999999954</v>
      </c>
      <c r="O95" s="2">
        <v>81552.929999999949</v>
      </c>
      <c r="P95" s="2">
        <v>81572.889999999956</v>
      </c>
      <c r="Q95" s="2">
        <v>81593.929999999949</v>
      </c>
      <c r="R95" s="2">
        <v>81615.329999999944</v>
      </c>
      <c r="S95" s="2">
        <v>81636.66999999994</v>
      </c>
      <c r="T95" s="2">
        <v>81657.679999999935</v>
      </c>
      <c r="U95" s="2">
        <v>81672.849999999933</v>
      </c>
      <c r="V95" s="2">
        <v>81694.379999999932</v>
      </c>
      <c r="W95" s="2">
        <v>81706.429999999935</v>
      </c>
      <c r="X95" s="2">
        <v>81707.489999999932</v>
      </c>
      <c r="Y95" s="2">
        <v>81726.29999999993</v>
      </c>
      <c r="Z95" s="2">
        <v>81737.919999999925</v>
      </c>
      <c r="AA95" s="2">
        <v>81757.739999999932</v>
      </c>
      <c r="AB95" s="2">
        <v>81771.979999999938</v>
      </c>
      <c r="AC95" s="2">
        <v>81792.889999999941</v>
      </c>
      <c r="AD95" s="2">
        <v>81808.549999999945</v>
      </c>
      <c r="AE95" s="2"/>
      <c r="AF95" s="3"/>
      <c r="AG95" s="51">
        <f t="shared" si="2"/>
        <v>81808.549999999945</v>
      </c>
      <c r="AH95" s="44">
        <v>81324.58</v>
      </c>
    </row>
    <row r="96" spans="1:34" x14ac:dyDescent="0.35">
      <c r="A96" s="33" t="s">
        <v>102</v>
      </c>
      <c r="B96" s="10">
        <v>82018.440000000192</v>
      </c>
      <c r="C96" s="2">
        <v>82036.310000000187</v>
      </c>
      <c r="D96" s="2">
        <v>82050.74000000018</v>
      </c>
      <c r="E96" s="2">
        <v>82072.430000000182</v>
      </c>
      <c r="F96" s="2">
        <v>82076.960000000181</v>
      </c>
      <c r="G96" s="2">
        <v>82085.750000000175</v>
      </c>
      <c r="H96" s="2">
        <v>82103.49000000018</v>
      </c>
      <c r="I96" s="2">
        <v>82119.840000000186</v>
      </c>
      <c r="J96" s="2">
        <v>82126.97000000019</v>
      </c>
      <c r="K96" s="2">
        <v>82146.530000000188</v>
      </c>
      <c r="L96" s="2">
        <v>82163.090000000186</v>
      </c>
      <c r="M96" s="2">
        <v>82165.74000000018</v>
      </c>
      <c r="N96" s="2">
        <v>82184.610000000175</v>
      </c>
      <c r="O96" s="2">
        <v>82205.500000000175</v>
      </c>
      <c r="P96" s="2">
        <v>82226.030000000173</v>
      </c>
      <c r="Q96" s="2">
        <v>82238.60000000018</v>
      </c>
      <c r="R96" s="2">
        <v>82239.280000000173</v>
      </c>
      <c r="S96" s="2">
        <v>82252.820000000167</v>
      </c>
      <c r="T96" s="2">
        <v>82274.800000000163</v>
      </c>
      <c r="U96" s="2">
        <v>82286.070000000167</v>
      </c>
      <c r="V96" s="2">
        <v>82286.070000000167</v>
      </c>
      <c r="W96" s="2">
        <v>82288.420000000173</v>
      </c>
      <c r="X96" s="2">
        <v>82305.770000000179</v>
      </c>
      <c r="Y96" s="2">
        <v>82326.770000000179</v>
      </c>
      <c r="Z96" s="2">
        <v>82348.760000000184</v>
      </c>
      <c r="AA96" s="2">
        <v>82369.540000000183</v>
      </c>
      <c r="AB96" s="2">
        <v>82390.550000000178</v>
      </c>
      <c r="AC96" s="2">
        <v>82402.700000000172</v>
      </c>
      <c r="AD96" s="2">
        <v>82402.700000000172</v>
      </c>
      <c r="AE96" s="2"/>
      <c r="AF96" s="3"/>
      <c r="AG96" s="51">
        <f t="shared" si="2"/>
        <v>82402.700000000172</v>
      </c>
      <c r="AH96" s="44">
        <v>81996.820000000007</v>
      </c>
    </row>
    <row r="97" spans="1:34" x14ac:dyDescent="0.35">
      <c r="A97" s="33" t="s">
        <v>103</v>
      </c>
      <c r="B97" s="10">
        <v>82665.66999999978</v>
      </c>
      <c r="C97" s="2">
        <v>82687.119999999777</v>
      </c>
      <c r="D97" s="2">
        <v>82705.079999999783</v>
      </c>
      <c r="E97" s="2">
        <v>82726.639999999781</v>
      </c>
      <c r="F97" s="2">
        <v>82737.579999999783</v>
      </c>
      <c r="G97" s="2">
        <v>82757.699999999779</v>
      </c>
      <c r="H97" s="2">
        <v>82766.009999999776</v>
      </c>
      <c r="I97" s="2">
        <v>82766.009999999776</v>
      </c>
      <c r="J97" s="2">
        <v>82782.659999999771</v>
      </c>
      <c r="K97" s="2">
        <v>82804.829999999769</v>
      </c>
      <c r="L97" s="2">
        <v>82823.739999999772</v>
      </c>
      <c r="M97" s="2">
        <v>82843.269999999771</v>
      </c>
      <c r="N97" s="2">
        <v>82864.469999999768</v>
      </c>
      <c r="O97" s="2">
        <v>82884.669999999765</v>
      </c>
      <c r="P97" s="2">
        <v>82903.809999999765</v>
      </c>
      <c r="Q97" s="2">
        <v>82924.439999999769</v>
      </c>
      <c r="R97" s="2">
        <v>82942.069999999774</v>
      </c>
      <c r="S97" s="2">
        <v>82950.929999999775</v>
      </c>
      <c r="T97" s="2">
        <v>82961.269999999771</v>
      </c>
      <c r="U97" s="2">
        <v>82972.919999999765</v>
      </c>
      <c r="V97" s="2">
        <v>82994.709999999759</v>
      </c>
      <c r="W97" s="2">
        <v>83014.829999999754</v>
      </c>
      <c r="X97" s="2">
        <v>83032.719999999754</v>
      </c>
      <c r="Y97" s="2">
        <v>83049.279999999751</v>
      </c>
      <c r="Z97" s="2">
        <v>83071.099999999758</v>
      </c>
      <c r="AA97" s="2">
        <v>83083.839999999764</v>
      </c>
      <c r="AB97" s="2">
        <v>83099.709999999759</v>
      </c>
      <c r="AC97" s="2">
        <v>83120.559999999765</v>
      </c>
      <c r="AD97" s="2">
        <v>83140.67999999976</v>
      </c>
      <c r="AE97" s="2"/>
      <c r="AF97" s="3"/>
      <c r="AG97" s="51">
        <f t="shared" si="2"/>
        <v>83140.67999999976</v>
      </c>
      <c r="AH97" s="44">
        <v>82654.89</v>
      </c>
    </row>
    <row r="98" spans="1:34" x14ac:dyDescent="0.35">
      <c r="A98" s="33" t="s">
        <v>104</v>
      </c>
      <c r="B98" s="10">
        <v>80662.130000000194</v>
      </c>
      <c r="C98" s="2">
        <v>80683.4800000002</v>
      </c>
      <c r="D98" s="2">
        <v>80705.010000000198</v>
      </c>
      <c r="E98" s="2">
        <v>80725.850000000195</v>
      </c>
      <c r="F98" s="2">
        <v>80745.500000000189</v>
      </c>
      <c r="G98" s="2">
        <v>80767.190000000192</v>
      </c>
      <c r="H98" s="2">
        <v>80785.190000000192</v>
      </c>
      <c r="I98" s="2">
        <v>80806.740000000194</v>
      </c>
      <c r="J98" s="2">
        <v>80828.270000000193</v>
      </c>
      <c r="K98" s="2">
        <v>80838.930000000197</v>
      </c>
      <c r="L98" s="2">
        <v>80838.930000000197</v>
      </c>
      <c r="M98" s="2">
        <v>80856.620000000199</v>
      </c>
      <c r="N98" s="2">
        <v>80871.0900000002</v>
      </c>
      <c r="O98" s="2">
        <v>80892.920000000202</v>
      </c>
      <c r="P98" s="2">
        <v>80913.450000000201</v>
      </c>
      <c r="Q98" s="2">
        <v>80934.960000000196</v>
      </c>
      <c r="R98" s="2">
        <v>80953.0900000002</v>
      </c>
      <c r="S98" s="2">
        <v>80974.200000000201</v>
      </c>
      <c r="T98" s="2">
        <v>80995.300000000207</v>
      </c>
      <c r="U98" s="2">
        <v>81005.570000000211</v>
      </c>
      <c r="V98" s="2">
        <v>81027.040000000212</v>
      </c>
      <c r="W98" s="2">
        <v>81048.290000000212</v>
      </c>
      <c r="X98" s="2">
        <v>81069.580000000205</v>
      </c>
      <c r="Y98" s="2">
        <v>81087.96000000021</v>
      </c>
      <c r="Z98" s="2">
        <v>81106.750000000204</v>
      </c>
      <c r="AA98" s="2">
        <v>81126.280000000203</v>
      </c>
      <c r="AB98" s="2">
        <v>81143.960000000196</v>
      </c>
      <c r="AC98" s="2">
        <v>81164.700000000201</v>
      </c>
      <c r="AD98" s="2">
        <v>81186.110000000204</v>
      </c>
      <c r="AE98" s="2"/>
      <c r="AF98" s="3"/>
      <c r="AG98" s="51">
        <f t="shared" si="2"/>
        <v>81186.110000000204</v>
      </c>
      <c r="AH98" s="44">
        <v>80640.600000000006</v>
      </c>
    </row>
    <row r="99" spans="1:34" x14ac:dyDescent="0.35">
      <c r="A99" s="33" t="s">
        <v>105</v>
      </c>
      <c r="B99" s="10">
        <v>80345.11</v>
      </c>
      <c r="C99" s="2">
        <v>80362.13</v>
      </c>
      <c r="D99" s="2">
        <v>80383.010000000009</v>
      </c>
      <c r="E99" s="2">
        <v>80404.460000000006</v>
      </c>
      <c r="F99" s="2">
        <v>80424.810000000012</v>
      </c>
      <c r="G99" s="2">
        <v>80440.130000000019</v>
      </c>
      <c r="H99" s="2">
        <v>80460.260000000024</v>
      </c>
      <c r="I99" s="2">
        <v>80478.370000000024</v>
      </c>
      <c r="J99" s="2">
        <v>80500.35000000002</v>
      </c>
      <c r="K99" s="2">
        <v>80521.960000000021</v>
      </c>
      <c r="L99" s="2">
        <v>80543.330000000016</v>
      </c>
      <c r="M99" s="2">
        <v>80564.710000000021</v>
      </c>
      <c r="N99" s="2">
        <v>80584.460000000021</v>
      </c>
      <c r="O99" s="2">
        <v>80605.780000000028</v>
      </c>
      <c r="P99" s="2">
        <v>80617.490000000034</v>
      </c>
      <c r="Q99" s="2">
        <v>80638.890000000029</v>
      </c>
      <c r="R99" s="2">
        <v>80649.800000000032</v>
      </c>
      <c r="S99" s="2">
        <v>80671.380000000034</v>
      </c>
      <c r="T99" s="2">
        <v>80692.990000000034</v>
      </c>
      <c r="U99" s="2">
        <v>80706.47000000003</v>
      </c>
      <c r="V99" s="2">
        <v>80727.800000000032</v>
      </c>
      <c r="W99" s="2">
        <v>80749.36000000003</v>
      </c>
      <c r="X99" s="2">
        <v>80771.230000000025</v>
      </c>
      <c r="Y99" s="2">
        <v>80775.080000000031</v>
      </c>
      <c r="Z99" s="2">
        <v>80791.640000000029</v>
      </c>
      <c r="AA99" s="2">
        <v>80812.030000000028</v>
      </c>
      <c r="AB99" s="2">
        <v>80833.510000000024</v>
      </c>
      <c r="AC99" s="2">
        <v>80855.430000000022</v>
      </c>
      <c r="AD99" s="2">
        <v>80876.800000000017</v>
      </c>
      <c r="AE99" s="2"/>
      <c r="AF99" s="3"/>
      <c r="AG99" s="51">
        <f t="shared" si="2"/>
        <v>80876.800000000017</v>
      </c>
      <c r="AH99" s="44">
        <v>80323.38</v>
      </c>
    </row>
    <row r="100" spans="1:34" x14ac:dyDescent="0.35">
      <c r="A100" s="33" t="s">
        <v>106</v>
      </c>
      <c r="B100" s="10">
        <v>78012.770000000077</v>
      </c>
      <c r="C100" s="2">
        <v>78033.710000000079</v>
      </c>
      <c r="D100" s="2">
        <v>78045.710000000079</v>
      </c>
      <c r="E100" s="2">
        <v>78067.400000000081</v>
      </c>
      <c r="F100" s="2">
        <v>78088.250000000087</v>
      </c>
      <c r="G100" s="2">
        <v>78107.320000000094</v>
      </c>
      <c r="H100" s="2">
        <v>78122.030000000101</v>
      </c>
      <c r="I100" s="2">
        <v>78139.240000000107</v>
      </c>
      <c r="J100" s="2">
        <v>78160.730000000112</v>
      </c>
      <c r="K100" s="2">
        <v>78176.060000000114</v>
      </c>
      <c r="L100" s="2">
        <v>78186.680000000109</v>
      </c>
      <c r="M100" s="2">
        <v>78199.200000000114</v>
      </c>
      <c r="N100" s="2">
        <v>78219.800000000119</v>
      </c>
      <c r="O100" s="2">
        <v>78241.060000000114</v>
      </c>
      <c r="P100" s="2">
        <v>78261.16000000012</v>
      </c>
      <c r="Q100" s="2">
        <v>78282.700000000114</v>
      </c>
      <c r="R100" s="2">
        <v>78297.390000000116</v>
      </c>
      <c r="S100" s="2">
        <v>78316.230000000112</v>
      </c>
      <c r="T100" s="2">
        <v>78336.79000000011</v>
      </c>
      <c r="U100" s="2">
        <v>78345.810000000114</v>
      </c>
      <c r="V100" s="2">
        <v>78362.810000000114</v>
      </c>
      <c r="W100" s="2">
        <v>78378.480000000112</v>
      </c>
      <c r="X100" s="2">
        <v>78393.060000000114</v>
      </c>
      <c r="Y100" s="2">
        <v>78407.140000000116</v>
      </c>
      <c r="Z100" s="2">
        <v>78421.380000000121</v>
      </c>
      <c r="AA100" s="2">
        <v>78442.210000000123</v>
      </c>
      <c r="AB100" s="2">
        <v>78463.360000000117</v>
      </c>
      <c r="AC100" s="2">
        <v>78479.710000000123</v>
      </c>
      <c r="AD100" s="2">
        <v>78500.66000000012</v>
      </c>
      <c r="AE100" s="2"/>
      <c r="AF100" s="3"/>
      <c r="AG100" s="51">
        <f t="shared" ref="AG100:AG106" si="3">MAX(B100:AF100)</f>
        <v>78500.66000000012</v>
      </c>
      <c r="AH100" s="44">
        <v>78002.2</v>
      </c>
    </row>
    <row r="101" spans="1:34" x14ac:dyDescent="0.35">
      <c r="A101" s="33" t="s">
        <v>107</v>
      </c>
      <c r="B101" s="10">
        <v>80705.47000000003</v>
      </c>
      <c r="C101" s="2">
        <v>80726.100000000035</v>
      </c>
      <c r="D101" s="2">
        <v>80746.140000000029</v>
      </c>
      <c r="E101" s="2">
        <v>80768.160000000033</v>
      </c>
      <c r="F101" s="2">
        <v>80788.450000000026</v>
      </c>
      <c r="G101" s="2">
        <v>80808.510000000024</v>
      </c>
      <c r="H101" s="2">
        <v>80829.310000000027</v>
      </c>
      <c r="I101" s="2">
        <v>80841.930000000022</v>
      </c>
      <c r="J101" s="2">
        <v>80863.480000000025</v>
      </c>
      <c r="K101" s="2">
        <v>80883.690000000031</v>
      </c>
      <c r="L101" s="2">
        <v>80900.97000000003</v>
      </c>
      <c r="M101" s="2">
        <v>80919.300000000032</v>
      </c>
      <c r="N101" s="2">
        <v>80933.950000000026</v>
      </c>
      <c r="O101" s="2">
        <v>80952.99000000002</v>
      </c>
      <c r="P101" s="2">
        <v>80971.040000000023</v>
      </c>
      <c r="Q101" s="2">
        <v>80992.690000000017</v>
      </c>
      <c r="R101" s="2">
        <v>81012.540000000023</v>
      </c>
      <c r="S101" s="2">
        <v>81030.140000000029</v>
      </c>
      <c r="T101" s="2">
        <v>81049.590000000026</v>
      </c>
      <c r="U101" s="2">
        <v>81061.160000000033</v>
      </c>
      <c r="V101" s="2">
        <v>81063.97000000003</v>
      </c>
      <c r="W101" s="2">
        <v>81084.86000000003</v>
      </c>
      <c r="X101" s="2">
        <v>81104.910000000033</v>
      </c>
      <c r="Y101" s="2">
        <v>81120.250000000029</v>
      </c>
      <c r="Z101" s="2">
        <v>81131.240000000034</v>
      </c>
      <c r="AA101" s="2">
        <v>81152.250000000029</v>
      </c>
      <c r="AB101" s="2">
        <v>81154.260000000024</v>
      </c>
      <c r="AC101" s="2">
        <v>81171.390000000029</v>
      </c>
      <c r="AD101" s="2">
        <v>81171.390000000029</v>
      </c>
      <c r="AE101" s="2"/>
      <c r="AF101" s="3"/>
      <c r="AG101" s="51">
        <f t="shared" si="3"/>
        <v>81171.390000000029</v>
      </c>
      <c r="AH101" s="44">
        <v>80703.820000000007</v>
      </c>
    </row>
    <row r="102" spans="1:34" x14ac:dyDescent="0.35">
      <c r="A102" s="33" t="s">
        <v>108</v>
      </c>
      <c r="B102" s="10">
        <v>81170.96999999987</v>
      </c>
      <c r="C102" s="2">
        <v>81192.319999999876</v>
      </c>
      <c r="D102" s="2">
        <v>81206.989999999874</v>
      </c>
      <c r="E102" s="2">
        <v>81228.119999999879</v>
      </c>
      <c r="F102" s="2">
        <v>81248.499999999884</v>
      </c>
      <c r="G102" s="2">
        <v>81268.049999999886</v>
      </c>
      <c r="H102" s="2">
        <v>81289.789999999892</v>
      </c>
      <c r="I102" s="2">
        <v>81311.059999999896</v>
      </c>
      <c r="J102" s="2">
        <v>81333.069999999891</v>
      </c>
      <c r="K102" s="2">
        <v>81348.479999999894</v>
      </c>
      <c r="L102" s="2">
        <v>81359.349999999889</v>
      </c>
      <c r="M102" s="2">
        <v>81378.029999999882</v>
      </c>
      <c r="N102" s="2">
        <v>81399.299999999886</v>
      </c>
      <c r="O102" s="2">
        <v>81421.029999999882</v>
      </c>
      <c r="P102" s="2">
        <v>81439.769999999888</v>
      </c>
      <c r="Q102" s="2">
        <v>81458.849999999889</v>
      </c>
      <c r="R102" s="2">
        <v>81474.919999999896</v>
      </c>
      <c r="S102" s="2">
        <v>81496.20999999989</v>
      </c>
      <c r="T102" s="2">
        <v>81517.569999999891</v>
      </c>
      <c r="U102" s="2">
        <v>81524.45999999989</v>
      </c>
      <c r="V102" s="2">
        <v>81540.859999999884</v>
      </c>
      <c r="W102" s="2">
        <v>81555.989999999889</v>
      </c>
      <c r="X102" s="2">
        <v>81572.979999999894</v>
      </c>
      <c r="Y102" s="2">
        <v>81591.859999999899</v>
      </c>
      <c r="Z102" s="2">
        <v>81613.089999999895</v>
      </c>
      <c r="AA102" s="2">
        <v>81632.5799999999</v>
      </c>
      <c r="AB102" s="2">
        <v>81652.489999999903</v>
      </c>
      <c r="AC102" s="2">
        <v>81669.919999999896</v>
      </c>
      <c r="AD102" s="2">
        <v>81670.479999999894</v>
      </c>
      <c r="AE102" s="2"/>
      <c r="AF102" s="3"/>
      <c r="AG102" s="51">
        <f t="shared" si="3"/>
        <v>81670.479999999894</v>
      </c>
      <c r="AH102" s="44">
        <v>81150.03</v>
      </c>
    </row>
    <row r="103" spans="1:34" x14ac:dyDescent="0.35">
      <c r="A103" s="33" t="s">
        <v>109</v>
      </c>
      <c r="B103" s="10">
        <v>80130.070000000065</v>
      </c>
      <c r="C103" s="2">
        <v>80140.210000000065</v>
      </c>
      <c r="D103" s="2">
        <v>80161.140000000058</v>
      </c>
      <c r="E103" s="2">
        <v>80178.200000000055</v>
      </c>
      <c r="F103" s="2">
        <v>80200.410000000062</v>
      </c>
      <c r="G103" s="2">
        <v>80220.650000000067</v>
      </c>
      <c r="H103" s="2">
        <v>80242.390000000072</v>
      </c>
      <c r="I103" s="2">
        <v>80261.150000000067</v>
      </c>
      <c r="J103" s="2">
        <v>80282.610000000073</v>
      </c>
      <c r="K103" s="2">
        <v>80303.610000000073</v>
      </c>
      <c r="L103" s="2">
        <v>80320.850000000079</v>
      </c>
      <c r="M103" s="2">
        <v>80335.440000000075</v>
      </c>
      <c r="N103" s="2">
        <v>80340.510000000082</v>
      </c>
      <c r="O103" s="2">
        <v>80361.010000000082</v>
      </c>
      <c r="P103" s="2">
        <v>80381.18000000008</v>
      </c>
      <c r="Q103" s="2">
        <v>80402.250000000087</v>
      </c>
      <c r="R103" s="2">
        <v>80423.30000000009</v>
      </c>
      <c r="S103" s="2">
        <v>80444.330000000089</v>
      </c>
      <c r="T103" s="2">
        <v>80464.860000000088</v>
      </c>
      <c r="U103" s="2">
        <v>80480.740000000093</v>
      </c>
      <c r="V103" s="2">
        <v>80488.3100000001</v>
      </c>
      <c r="W103" s="2">
        <v>80506.140000000101</v>
      </c>
      <c r="X103" s="2">
        <v>80527.740000000107</v>
      </c>
      <c r="Y103" s="2">
        <v>80547.29000000011</v>
      </c>
      <c r="Z103" s="2">
        <v>80568.520000000106</v>
      </c>
      <c r="AA103" s="2">
        <v>80588.280000000101</v>
      </c>
      <c r="AB103" s="2">
        <v>80609.550000000105</v>
      </c>
      <c r="AC103" s="2">
        <v>80627.950000000099</v>
      </c>
      <c r="AD103" s="2">
        <v>80631.260000000097</v>
      </c>
      <c r="AE103" s="2"/>
      <c r="AF103" s="3"/>
      <c r="AG103" s="51">
        <f t="shared" si="3"/>
        <v>80631.260000000097</v>
      </c>
      <c r="AH103" s="44">
        <v>80109.94</v>
      </c>
    </row>
    <row r="104" spans="1:34" x14ac:dyDescent="0.35">
      <c r="A104" s="33" t="s">
        <v>110</v>
      </c>
      <c r="B104" s="10">
        <v>81523.550000000148</v>
      </c>
      <c r="C104" s="2">
        <v>81537.850000000151</v>
      </c>
      <c r="D104" s="2">
        <v>81537.850000000151</v>
      </c>
      <c r="E104" s="2">
        <v>81540.070000000153</v>
      </c>
      <c r="F104" s="2">
        <v>81540.070000000153</v>
      </c>
      <c r="G104" s="2">
        <v>81545.280000000159</v>
      </c>
      <c r="H104" s="2">
        <v>81563.340000000157</v>
      </c>
      <c r="I104" s="2">
        <v>81584.450000000157</v>
      </c>
      <c r="J104" s="2">
        <v>81605.63000000015</v>
      </c>
      <c r="K104" s="2">
        <v>81626.660000000149</v>
      </c>
      <c r="L104" s="2">
        <v>81647.750000000146</v>
      </c>
      <c r="M104" s="2">
        <v>81668.450000000143</v>
      </c>
      <c r="N104" s="2">
        <v>81689.800000000148</v>
      </c>
      <c r="O104" s="2">
        <v>81694.650000000154</v>
      </c>
      <c r="P104" s="2">
        <v>81694.650000000154</v>
      </c>
      <c r="Q104" s="2">
        <v>81694.650000000154</v>
      </c>
      <c r="R104" s="2">
        <v>81694.650000000154</v>
      </c>
      <c r="S104" s="2">
        <v>81694.650000000154</v>
      </c>
      <c r="T104" s="2">
        <v>81704.800000000148</v>
      </c>
      <c r="U104" s="2">
        <v>81704.800000000148</v>
      </c>
      <c r="V104" s="2">
        <v>81721.990000000151</v>
      </c>
      <c r="W104" s="2">
        <v>81743.110000000146</v>
      </c>
      <c r="X104" s="2">
        <v>81763.940000000148</v>
      </c>
      <c r="Y104" s="2">
        <v>81774.510000000155</v>
      </c>
      <c r="Z104" s="2">
        <v>81782.510000000155</v>
      </c>
      <c r="AA104" s="2">
        <v>81795.070000000153</v>
      </c>
      <c r="AB104" s="2">
        <v>81814.500000000146</v>
      </c>
      <c r="AC104" s="2">
        <v>81834.040000000139</v>
      </c>
      <c r="AD104" s="2">
        <v>81852.910000000134</v>
      </c>
      <c r="AE104" s="2"/>
      <c r="AF104" s="3"/>
      <c r="AG104" s="51">
        <f t="shared" si="3"/>
        <v>81852.910000000134</v>
      </c>
      <c r="AH104" s="44">
        <v>81511.73</v>
      </c>
    </row>
    <row r="105" spans="1:34" x14ac:dyDescent="0.35">
      <c r="A105" s="33" t="s">
        <v>111</v>
      </c>
      <c r="B105" s="10">
        <v>73651.170000000027</v>
      </c>
      <c r="C105" s="2">
        <v>73672.570000000022</v>
      </c>
      <c r="D105" s="2">
        <v>73694.030000000028</v>
      </c>
      <c r="E105" s="2">
        <v>73715.390000000029</v>
      </c>
      <c r="F105" s="2">
        <v>73735.760000000024</v>
      </c>
      <c r="G105" s="2">
        <v>73756.530000000028</v>
      </c>
      <c r="H105" s="2">
        <v>73778.120000000024</v>
      </c>
      <c r="I105" s="2">
        <v>73798.920000000027</v>
      </c>
      <c r="J105" s="2">
        <v>73819.61000000003</v>
      </c>
      <c r="K105" s="2">
        <v>73840.390000000029</v>
      </c>
      <c r="L105" s="2">
        <v>73854.730000000025</v>
      </c>
      <c r="M105" s="2">
        <v>73873.000000000029</v>
      </c>
      <c r="N105" s="2">
        <v>73894.200000000026</v>
      </c>
      <c r="O105" s="2">
        <v>73913.640000000029</v>
      </c>
      <c r="P105" s="2">
        <v>73927.920000000027</v>
      </c>
      <c r="Q105" s="2">
        <v>73943.11000000003</v>
      </c>
      <c r="R105" s="2">
        <v>73962.680000000037</v>
      </c>
      <c r="S105" s="2">
        <v>73966.150000000038</v>
      </c>
      <c r="T105" s="2">
        <v>73984.070000000036</v>
      </c>
      <c r="U105" s="2">
        <v>74002.59000000004</v>
      </c>
      <c r="V105" s="2">
        <v>74023.98000000004</v>
      </c>
      <c r="W105" s="2">
        <v>74045.570000000036</v>
      </c>
      <c r="X105" s="2">
        <v>74066.990000000034</v>
      </c>
      <c r="Y105" s="2">
        <v>74085.770000000033</v>
      </c>
      <c r="Z105" s="2">
        <v>74107.060000000027</v>
      </c>
      <c r="AA105" s="2">
        <v>74117.210000000021</v>
      </c>
      <c r="AB105" s="2">
        <v>74139.35000000002</v>
      </c>
      <c r="AC105" s="2">
        <v>74142.370000000024</v>
      </c>
      <c r="AD105" s="2">
        <v>74163.86000000003</v>
      </c>
      <c r="AE105" s="2"/>
      <c r="AF105" s="3"/>
      <c r="AG105" s="51">
        <f t="shared" si="3"/>
        <v>74163.86000000003</v>
      </c>
      <c r="AH105" s="44">
        <v>73638.11</v>
      </c>
    </row>
    <row r="106" spans="1:34" ht="15" thickBot="1" x14ac:dyDescent="0.4">
      <c r="A106" s="34" t="s">
        <v>112</v>
      </c>
      <c r="B106" s="11">
        <v>80795.089999999909</v>
      </c>
      <c r="C106" s="4">
        <v>80811.169999999911</v>
      </c>
      <c r="D106" s="4">
        <v>80831.649999999907</v>
      </c>
      <c r="E106" s="4">
        <v>80848.30999999991</v>
      </c>
      <c r="F106" s="4">
        <v>80868.639999999912</v>
      </c>
      <c r="G106" s="4">
        <v>80889.779999999912</v>
      </c>
      <c r="H106" s="4">
        <v>80911.609999999913</v>
      </c>
      <c r="I106" s="4">
        <v>80931.719999999914</v>
      </c>
      <c r="J106" s="4">
        <v>80953.30999999991</v>
      </c>
      <c r="K106" s="4">
        <v>80970.679999999906</v>
      </c>
      <c r="L106" s="4">
        <v>80991.459999999905</v>
      </c>
      <c r="M106" s="4">
        <v>81001.719999999899</v>
      </c>
      <c r="N106" s="4">
        <v>81001.719999999899</v>
      </c>
      <c r="O106" s="4">
        <v>81018.349999999904</v>
      </c>
      <c r="P106" s="4">
        <v>81032.239999999903</v>
      </c>
      <c r="Q106" s="4">
        <v>81043.899999999907</v>
      </c>
      <c r="R106" s="4">
        <v>81061.1899999999</v>
      </c>
      <c r="S106" s="4">
        <v>81082.849999999904</v>
      </c>
      <c r="T106" s="4">
        <v>81094.769999999902</v>
      </c>
      <c r="U106" s="4">
        <v>81107.679999999906</v>
      </c>
      <c r="V106" s="4">
        <v>81126.05999999991</v>
      </c>
      <c r="W106" s="4">
        <v>81144.229999999909</v>
      </c>
      <c r="X106" s="4">
        <v>81162.55999999991</v>
      </c>
      <c r="Y106" s="4">
        <v>81182.839999999909</v>
      </c>
      <c r="Z106" s="4">
        <v>81204.239999999903</v>
      </c>
      <c r="AA106" s="4">
        <v>81224.569999999905</v>
      </c>
      <c r="AB106" s="4">
        <v>81240.929999999906</v>
      </c>
      <c r="AC106" s="4">
        <v>81262.929999999906</v>
      </c>
      <c r="AD106" s="4">
        <v>81285.099999999904</v>
      </c>
      <c r="AE106" s="4"/>
      <c r="AF106" s="5"/>
      <c r="AG106" s="52">
        <f t="shared" si="3"/>
        <v>81285.099999999904</v>
      </c>
      <c r="AH106" s="44">
        <v>80774.52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45323</v>
      </c>
      <c r="C108" s="46">
        <v>45324</v>
      </c>
      <c r="D108" s="46">
        <v>45325</v>
      </c>
      <c r="E108" s="46">
        <v>45326</v>
      </c>
      <c r="F108" s="46">
        <v>45327</v>
      </c>
      <c r="G108" s="46">
        <v>45328</v>
      </c>
      <c r="H108" s="46">
        <v>45329</v>
      </c>
      <c r="I108" s="46">
        <v>45330</v>
      </c>
      <c r="J108" s="46">
        <v>45331</v>
      </c>
      <c r="K108" s="46">
        <v>45332</v>
      </c>
      <c r="L108" s="46">
        <v>45333</v>
      </c>
      <c r="M108" s="46">
        <v>45334</v>
      </c>
      <c r="N108" s="46">
        <v>45335</v>
      </c>
      <c r="O108" s="46">
        <v>45336</v>
      </c>
      <c r="P108" s="46">
        <v>45337</v>
      </c>
      <c r="Q108" s="46">
        <v>45338</v>
      </c>
      <c r="R108" s="46">
        <v>45339</v>
      </c>
      <c r="S108" s="46">
        <v>45340</v>
      </c>
      <c r="T108" s="46">
        <v>45341</v>
      </c>
      <c r="U108" s="46">
        <v>45342</v>
      </c>
      <c r="V108" s="46">
        <v>45343</v>
      </c>
      <c r="W108" s="46">
        <v>45344</v>
      </c>
      <c r="X108" s="46">
        <v>45345</v>
      </c>
      <c r="Y108" s="46">
        <v>45346</v>
      </c>
      <c r="Z108" s="46">
        <v>45347</v>
      </c>
      <c r="AA108" s="46">
        <v>45348</v>
      </c>
      <c r="AB108" s="46">
        <v>45349</v>
      </c>
      <c r="AC108" s="46">
        <v>45350</v>
      </c>
      <c r="AD108" s="46">
        <v>45351</v>
      </c>
      <c r="AE108" s="46"/>
      <c r="AF108" s="49"/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18">
        <v>37401.739999999976</v>
      </c>
      <c r="C109" s="14">
        <v>37408.629999999976</v>
      </c>
      <c r="D109" s="14">
        <v>37425.419999999976</v>
      </c>
      <c r="E109" s="14">
        <v>37441.539999999979</v>
      </c>
      <c r="F109" s="14">
        <v>37459.869999999981</v>
      </c>
      <c r="G109" s="14">
        <v>37481.019999999982</v>
      </c>
      <c r="H109" s="14">
        <v>37499.539999999979</v>
      </c>
      <c r="I109" s="14">
        <v>37521.269999999982</v>
      </c>
      <c r="J109" s="14">
        <v>37535.929999999986</v>
      </c>
      <c r="K109" s="14">
        <v>37558.029999999984</v>
      </c>
      <c r="L109" s="14">
        <v>37579.329999999987</v>
      </c>
      <c r="M109" s="14">
        <v>37600.499999999985</v>
      </c>
      <c r="N109" s="14">
        <v>37620.879999999983</v>
      </c>
      <c r="O109" s="14">
        <v>37641.889999999985</v>
      </c>
      <c r="P109" s="14">
        <v>37663.449999999983</v>
      </c>
      <c r="Q109" s="14">
        <v>37684.319999999985</v>
      </c>
      <c r="R109" s="14">
        <v>37705.989999999983</v>
      </c>
      <c r="S109" s="14">
        <v>37727.659999999982</v>
      </c>
      <c r="T109" s="14">
        <v>37749.529999999984</v>
      </c>
      <c r="U109" s="14">
        <v>37767.479999999981</v>
      </c>
      <c r="V109" s="14">
        <v>37788.539999999979</v>
      </c>
      <c r="W109" s="14">
        <v>37806.199999999983</v>
      </c>
      <c r="X109" s="14">
        <v>37827.859999999986</v>
      </c>
      <c r="Y109" s="14">
        <v>37849.159999999989</v>
      </c>
      <c r="Z109" s="14">
        <v>37863.709999999992</v>
      </c>
      <c r="AA109" s="14">
        <v>37873.939999999995</v>
      </c>
      <c r="AB109" s="14">
        <v>37893.129999999997</v>
      </c>
      <c r="AC109" s="14">
        <v>37914.54</v>
      </c>
      <c r="AD109" s="14">
        <v>37936.300000000003</v>
      </c>
      <c r="AE109" s="14"/>
      <c r="AF109" s="22"/>
      <c r="AG109" s="51">
        <f t="shared" ref="AG109:AG124" si="4">MAX(B109:AF109)</f>
        <v>37936.300000000003</v>
      </c>
      <c r="AH109" s="44">
        <v>37384.81</v>
      </c>
    </row>
    <row r="110" spans="1:34" x14ac:dyDescent="0.35">
      <c r="A110" s="26" t="s">
        <v>114</v>
      </c>
      <c r="B110" s="19">
        <v>37406.110000000022</v>
      </c>
      <c r="C110" s="2">
        <v>37428.260000000024</v>
      </c>
      <c r="D110" s="2">
        <v>37448.650000000023</v>
      </c>
      <c r="E110" s="2">
        <v>37453.74000000002</v>
      </c>
      <c r="F110" s="2">
        <v>37475.690000000017</v>
      </c>
      <c r="G110" s="2">
        <v>37494.310000000019</v>
      </c>
      <c r="H110" s="2">
        <v>37514.92000000002</v>
      </c>
      <c r="I110" s="2">
        <v>37536.300000000017</v>
      </c>
      <c r="J110" s="2">
        <v>37552.760000000017</v>
      </c>
      <c r="K110" s="2">
        <v>37571.600000000013</v>
      </c>
      <c r="L110" s="2">
        <v>37593.320000000014</v>
      </c>
      <c r="M110" s="2">
        <v>37615.210000000014</v>
      </c>
      <c r="N110" s="2">
        <v>37637.060000000012</v>
      </c>
      <c r="O110" s="2">
        <v>37658.160000000011</v>
      </c>
      <c r="P110" s="2">
        <v>37679.710000000014</v>
      </c>
      <c r="Q110" s="2">
        <v>37700.900000000016</v>
      </c>
      <c r="R110" s="2">
        <v>37722.570000000014</v>
      </c>
      <c r="S110" s="2">
        <v>37738.920000000013</v>
      </c>
      <c r="T110" s="2">
        <v>37760.210000000014</v>
      </c>
      <c r="U110" s="2">
        <v>37777.790000000015</v>
      </c>
      <c r="V110" s="2">
        <v>37798.920000000013</v>
      </c>
      <c r="W110" s="2">
        <v>37820.530000000013</v>
      </c>
      <c r="X110" s="2">
        <v>37842.340000000011</v>
      </c>
      <c r="Y110" s="2">
        <v>37854.890000000014</v>
      </c>
      <c r="Z110" s="2">
        <v>37854.890000000014</v>
      </c>
      <c r="AA110" s="2">
        <v>37873.940000000017</v>
      </c>
      <c r="AB110" s="2">
        <v>37894.270000000019</v>
      </c>
      <c r="AC110" s="2">
        <v>37915.35000000002</v>
      </c>
      <c r="AD110" s="2">
        <v>37936.720000000023</v>
      </c>
      <c r="AE110" s="2"/>
      <c r="AF110" s="7"/>
      <c r="AG110" s="51">
        <f t="shared" si="4"/>
        <v>37936.720000000023</v>
      </c>
      <c r="AH110" s="44">
        <v>37384.129999999997</v>
      </c>
    </row>
    <row r="111" spans="1:34" x14ac:dyDescent="0.35">
      <c r="A111" s="26" t="s">
        <v>115</v>
      </c>
      <c r="B111" s="19">
        <v>33473.609999999993</v>
      </c>
      <c r="C111" s="2">
        <v>33495.399999999994</v>
      </c>
      <c r="D111" s="2">
        <v>33516.629999999997</v>
      </c>
      <c r="E111" s="2">
        <v>33537.009999999995</v>
      </c>
      <c r="F111" s="2">
        <v>33558.899999999994</v>
      </c>
      <c r="G111" s="2">
        <v>33580.629999999997</v>
      </c>
      <c r="H111" s="2">
        <v>33602.269999999997</v>
      </c>
      <c r="I111" s="2">
        <v>33617.599999999999</v>
      </c>
      <c r="J111" s="2">
        <v>33637.279999999999</v>
      </c>
      <c r="K111" s="2">
        <v>33658.949999999997</v>
      </c>
      <c r="L111" s="2">
        <v>33676.68</v>
      </c>
      <c r="M111" s="2">
        <v>33676.68</v>
      </c>
      <c r="N111" s="2">
        <v>33679.5</v>
      </c>
      <c r="O111" s="2">
        <v>33695.42</v>
      </c>
      <c r="P111" s="2">
        <v>33717.07</v>
      </c>
      <c r="Q111" s="2">
        <v>33738.480000000003</v>
      </c>
      <c r="R111" s="2">
        <v>33759.990000000005</v>
      </c>
      <c r="S111" s="2">
        <v>33770.970000000008</v>
      </c>
      <c r="T111" s="2">
        <v>33793.310000000005</v>
      </c>
      <c r="U111" s="2">
        <v>33813.110000000008</v>
      </c>
      <c r="V111" s="2">
        <v>33830.760000000009</v>
      </c>
      <c r="W111" s="2">
        <v>33852.330000000009</v>
      </c>
      <c r="X111" s="2">
        <v>33874.080000000009</v>
      </c>
      <c r="Y111" s="2">
        <v>33895.410000000011</v>
      </c>
      <c r="Z111" s="2">
        <v>33912.560000000012</v>
      </c>
      <c r="AA111" s="2">
        <v>33933.37000000001</v>
      </c>
      <c r="AB111" s="2">
        <v>33954.040000000008</v>
      </c>
      <c r="AC111" s="2">
        <v>33966.680000000008</v>
      </c>
      <c r="AD111" s="2">
        <v>33987.320000000007</v>
      </c>
      <c r="AE111" s="2"/>
      <c r="AF111" s="7"/>
      <c r="AG111" s="51">
        <f t="shared" si="4"/>
        <v>33987.320000000007</v>
      </c>
      <c r="AH111" s="44">
        <v>33451.96</v>
      </c>
    </row>
    <row r="112" spans="1:34" x14ac:dyDescent="0.35">
      <c r="A112" s="26" t="s">
        <v>116</v>
      </c>
      <c r="B112" s="19">
        <v>32842.059999999925</v>
      </c>
      <c r="C112" s="2">
        <v>32863.839999999924</v>
      </c>
      <c r="D112" s="2">
        <v>32885.119999999923</v>
      </c>
      <c r="E112" s="2">
        <v>32907.259999999922</v>
      </c>
      <c r="F112" s="2">
        <v>32929.399999999921</v>
      </c>
      <c r="G112" s="2">
        <v>32949.049999999923</v>
      </c>
      <c r="H112" s="2">
        <v>32970.529999999926</v>
      </c>
      <c r="I112" s="2">
        <v>32992.339999999924</v>
      </c>
      <c r="J112" s="2">
        <v>33013.769999999924</v>
      </c>
      <c r="K112" s="2">
        <v>33035.409999999923</v>
      </c>
      <c r="L112" s="2">
        <v>33056.389999999927</v>
      </c>
      <c r="M112" s="2">
        <v>33074.659999999923</v>
      </c>
      <c r="N112" s="2">
        <v>33079.67999999992</v>
      </c>
      <c r="O112" s="2">
        <v>33095.619999999923</v>
      </c>
      <c r="P112" s="2">
        <v>33095.619999999923</v>
      </c>
      <c r="Q112" s="2">
        <v>33115.769999999924</v>
      </c>
      <c r="R112" s="2">
        <v>33134.639999999927</v>
      </c>
      <c r="S112" s="2">
        <v>33148.099999999926</v>
      </c>
      <c r="T112" s="2">
        <v>33170.109999999928</v>
      </c>
      <c r="U112" s="2">
        <v>33182.709999999926</v>
      </c>
      <c r="V112" s="2">
        <v>33194.539999999928</v>
      </c>
      <c r="W112" s="2">
        <v>33194.539999999928</v>
      </c>
      <c r="X112" s="2">
        <v>33194.539999999928</v>
      </c>
      <c r="Y112" s="2">
        <v>33194.539999999928</v>
      </c>
      <c r="Z112" s="2">
        <v>33210.949999999932</v>
      </c>
      <c r="AA112" s="2">
        <v>33212.659999999931</v>
      </c>
      <c r="AB112" s="2">
        <v>33230.129999999932</v>
      </c>
      <c r="AC112" s="2">
        <v>33248.069999999934</v>
      </c>
      <c r="AD112" s="2">
        <v>33257.609999999935</v>
      </c>
      <c r="AE112" s="2"/>
      <c r="AF112" s="7"/>
      <c r="AG112" s="51">
        <f t="shared" si="4"/>
        <v>33257.609999999935</v>
      </c>
      <c r="AH112" s="44">
        <v>32820.769999999997</v>
      </c>
    </row>
    <row r="113" spans="1:34" x14ac:dyDescent="0.35">
      <c r="A113" s="26" t="s">
        <v>117</v>
      </c>
      <c r="B113" s="19">
        <v>31852.15999999996</v>
      </c>
      <c r="C113" s="2">
        <v>31869.72999999996</v>
      </c>
      <c r="D113" s="2">
        <v>31891.649999999958</v>
      </c>
      <c r="E113" s="2">
        <v>31914.079999999958</v>
      </c>
      <c r="F113" s="2">
        <v>31916.189999999959</v>
      </c>
      <c r="G113" s="2">
        <v>31926.15999999996</v>
      </c>
      <c r="H113" s="2">
        <v>31948.059999999961</v>
      </c>
      <c r="I113" s="2">
        <v>31967.619999999963</v>
      </c>
      <c r="J113" s="2">
        <v>31988.269999999964</v>
      </c>
      <c r="K113" s="2">
        <v>32009.639999999963</v>
      </c>
      <c r="L113" s="2">
        <v>32026.909999999963</v>
      </c>
      <c r="M113" s="2">
        <v>32043.649999999965</v>
      </c>
      <c r="N113" s="2">
        <v>32065.349999999966</v>
      </c>
      <c r="O113" s="2">
        <v>32075.589999999967</v>
      </c>
      <c r="P113" s="2">
        <v>32091.559999999969</v>
      </c>
      <c r="Q113" s="2">
        <v>32111.979999999967</v>
      </c>
      <c r="R113" s="2">
        <v>32133.139999999967</v>
      </c>
      <c r="S113" s="2">
        <v>32155.149999999965</v>
      </c>
      <c r="T113" s="2">
        <v>32176.889999999967</v>
      </c>
      <c r="U113" s="2">
        <v>32196.339999999967</v>
      </c>
      <c r="V113" s="2">
        <v>32217.669999999969</v>
      </c>
      <c r="W113" s="2">
        <v>32239.319999999971</v>
      </c>
      <c r="X113" s="2">
        <v>32248.099999999969</v>
      </c>
      <c r="Y113" s="2">
        <v>32267.419999999969</v>
      </c>
      <c r="Z113" s="2">
        <v>32272.11999999997</v>
      </c>
      <c r="AA113" s="2">
        <v>32280.569999999971</v>
      </c>
      <c r="AB113" s="2">
        <v>32302.63999999997</v>
      </c>
      <c r="AC113" s="2">
        <v>32324.759999999969</v>
      </c>
      <c r="AD113" s="2">
        <v>32343.449999999968</v>
      </c>
      <c r="AE113" s="2"/>
      <c r="AF113" s="7"/>
      <c r="AG113" s="51">
        <f t="shared" si="4"/>
        <v>32343.449999999968</v>
      </c>
      <c r="AH113" s="44">
        <v>31838.04</v>
      </c>
    </row>
    <row r="114" spans="1:34" x14ac:dyDescent="0.35">
      <c r="A114" s="26" t="s">
        <v>118</v>
      </c>
      <c r="B114" s="19">
        <v>23591.160000000022</v>
      </c>
      <c r="C114" s="2">
        <v>23612.630000000023</v>
      </c>
      <c r="D114" s="2">
        <v>23633.760000000024</v>
      </c>
      <c r="E114" s="2">
        <v>23634.560000000023</v>
      </c>
      <c r="F114" s="2">
        <v>23655.450000000023</v>
      </c>
      <c r="G114" s="2">
        <v>23676.300000000021</v>
      </c>
      <c r="H114" s="2">
        <v>23695.660000000022</v>
      </c>
      <c r="I114" s="2">
        <v>23714.570000000022</v>
      </c>
      <c r="J114" s="2">
        <v>23735.810000000023</v>
      </c>
      <c r="K114" s="2">
        <v>23747.640000000025</v>
      </c>
      <c r="L114" s="2">
        <v>23764.540000000026</v>
      </c>
      <c r="M114" s="2">
        <v>23772.170000000027</v>
      </c>
      <c r="N114" s="2">
        <v>23772.170000000027</v>
      </c>
      <c r="O114" s="2">
        <v>23772.170000000027</v>
      </c>
      <c r="P114" s="2">
        <v>23774.310000000027</v>
      </c>
      <c r="Q114" s="2">
        <v>23788.420000000027</v>
      </c>
      <c r="R114" s="2">
        <v>23794.430000000026</v>
      </c>
      <c r="S114" s="2">
        <v>23815.970000000027</v>
      </c>
      <c r="T114" s="2">
        <v>23835.210000000028</v>
      </c>
      <c r="U114" s="2">
        <v>23851.710000000028</v>
      </c>
      <c r="V114" s="2">
        <v>23872.11000000003</v>
      </c>
      <c r="W114" s="2">
        <v>23893.38000000003</v>
      </c>
      <c r="X114" s="2">
        <v>23915.06000000003</v>
      </c>
      <c r="Y114" s="2">
        <v>23931.45000000003</v>
      </c>
      <c r="Z114" s="2">
        <v>23952.100000000031</v>
      </c>
      <c r="AA114" s="2">
        <v>23973.11000000003</v>
      </c>
      <c r="AB114" s="2">
        <v>23994.730000000029</v>
      </c>
      <c r="AC114" s="2">
        <v>24015.820000000029</v>
      </c>
      <c r="AD114" s="2">
        <v>24034.940000000028</v>
      </c>
      <c r="AE114" s="2"/>
      <c r="AF114" s="7"/>
      <c r="AG114" s="51">
        <f t="shared" si="4"/>
        <v>24034.940000000028</v>
      </c>
      <c r="AH114" s="44">
        <v>23579.46</v>
      </c>
    </row>
    <row r="115" spans="1:34" x14ac:dyDescent="0.35">
      <c r="A115" s="26" t="s">
        <v>119</v>
      </c>
      <c r="B115" s="19">
        <v>22649.999999999996</v>
      </c>
      <c r="C115" s="2">
        <v>22671.829999999998</v>
      </c>
      <c r="D115" s="2">
        <v>22693.079999999998</v>
      </c>
      <c r="E115" s="2">
        <v>22701.73</v>
      </c>
      <c r="F115" s="2">
        <v>22720.07</v>
      </c>
      <c r="G115" s="2">
        <v>22740.239999999998</v>
      </c>
      <c r="H115" s="2">
        <v>22761.3</v>
      </c>
      <c r="I115" s="2">
        <v>22782.68</v>
      </c>
      <c r="J115" s="2">
        <v>22803.54</v>
      </c>
      <c r="K115" s="2">
        <v>22824.54</v>
      </c>
      <c r="L115" s="2">
        <v>22843.58</v>
      </c>
      <c r="M115" s="2">
        <v>22860.300000000003</v>
      </c>
      <c r="N115" s="2">
        <v>22881.370000000003</v>
      </c>
      <c r="O115" s="2">
        <v>22887.49</v>
      </c>
      <c r="P115" s="2">
        <v>22909.06</v>
      </c>
      <c r="Q115" s="2">
        <v>22920.780000000002</v>
      </c>
      <c r="R115" s="2">
        <v>22942.22</v>
      </c>
      <c r="S115" s="2">
        <v>22964.170000000002</v>
      </c>
      <c r="T115" s="2">
        <v>22980.83</v>
      </c>
      <c r="U115" s="2">
        <v>23000.620000000003</v>
      </c>
      <c r="V115" s="2">
        <v>23010.500000000004</v>
      </c>
      <c r="W115" s="2">
        <v>23028.740000000005</v>
      </c>
      <c r="X115" s="2">
        <v>23041.380000000005</v>
      </c>
      <c r="Y115" s="2">
        <v>23062.110000000004</v>
      </c>
      <c r="Z115" s="2">
        <v>23083.360000000004</v>
      </c>
      <c r="AA115" s="2">
        <v>23104.050000000003</v>
      </c>
      <c r="AB115" s="2">
        <v>23112.940000000002</v>
      </c>
      <c r="AC115" s="2">
        <v>23134.190000000002</v>
      </c>
      <c r="AD115" s="2">
        <v>23155.61</v>
      </c>
      <c r="AE115" s="2"/>
      <c r="AF115" s="7"/>
      <c r="AG115" s="51">
        <f t="shared" si="4"/>
        <v>23155.61</v>
      </c>
      <c r="AH115" s="44">
        <v>22628.42</v>
      </c>
    </row>
    <row r="116" spans="1:34" x14ac:dyDescent="0.35">
      <c r="A116" s="26" t="s">
        <v>120</v>
      </c>
      <c r="B116" s="19">
        <v>22592.480000000021</v>
      </c>
      <c r="C116" s="2">
        <v>22606.380000000023</v>
      </c>
      <c r="D116" s="2">
        <v>22627.410000000022</v>
      </c>
      <c r="E116" s="2">
        <v>22639.85000000002</v>
      </c>
      <c r="F116" s="2">
        <v>22648.24000000002</v>
      </c>
      <c r="G116" s="2">
        <v>22668.390000000021</v>
      </c>
      <c r="H116" s="2">
        <v>22682.17000000002</v>
      </c>
      <c r="I116" s="2">
        <v>22697.690000000021</v>
      </c>
      <c r="J116" s="2">
        <v>22718.730000000021</v>
      </c>
      <c r="K116" s="2">
        <v>22731.000000000022</v>
      </c>
      <c r="L116" s="2">
        <v>22741.070000000022</v>
      </c>
      <c r="M116" s="2">
        <v>22757.410000000022</v>
      </c>
      <c r="N116" s="2">
        <v>22779.340000000022</v>
      </c>
      <c r="O116" s="2">
        <v>22800.860000000022</v>
      </c>
      <c r="P116" s="2">
        <v>22822.770000000022</v>
      </c>
      <c r="Q116" s="2">
        <v>22844.370000000021</v>
      </c>
      <c r="R116" s="2">
        <v>22865.640000000021</v>
      </c>
      <c r="S116" s="2">
        <v>22887.530000000021</v>
      </c>
      <c r="T116" s="2">
        <v>22905.480000000021</v>
      </c>
      <c r="U116" s="2">
        <v>22917.540000000023</v>
      </c>
      <c r="V116" s="2">
        <v>22937.950000000023</v>
      </c>
      <c r="W116" s="2">
        <v>22948.530000000024</v>
      </c>
      <c r="X116" s="2">
        <v>22969.780000000024</v>
      </c>
      <c r="Y116" s="2">
        <v>22981.060000000023</v>
      </c>
      <c r="Z116" s="2">
        <v>22991.610000000022</v>
      </c>
      <c r="AA116" s="2">
        <v>23012.580000000024</v>
      </c>
      <c r="AB116" s="2">
        <v>23033.570000000025</v>
      </c>
      <c r="AC116" s="2">
        <v>23055.100000000024</v>
      </c>
      <c r="AD116" s="2">
        <v>23074.370000000024</v>
      </c>
      <c r="AE116" s="2"/>
      <c r="AF116" s="7"/>
      <c r="AG116" s="51">
        <f t="shared" si="4"/>
        <v>23074.370000000024</v>
      </c>
      <c r="AH116" s="44">
        <v>22572.49</v>
      </c>
    </row>
    <row r="117" spans="1:34" x14ac:dyDescent="0.35">
      <c r="A117" s="26" t="s">
        <v>121</v>
      </c>
      <c r="B117" s="19">
        <v>22139.709999999985</v>
      </c>
      <c r="C117" s="2">
        <v>22161.389999999985</v>
      </c>
      <c r="D117" s="2">
        <v>22182.159999999985</v>
      </c>
      <c r="E117" s="2">
        <v>22203.299999999985</v>
      </c>
      <c r="F117" s="2">
        <v>22225.329999999984</v>
      </c>
      <c r="G117" s="2">
        <v>22246.529999999984</v>
      </c>
      <c r="H117" s="2">
        <v>22267.769999999986</v>
      </c>
      <c r="I117" s="2">
        <v>22289.099999999988</v>
      </c>
      <c r="J117" s="2">
        <v>22310.529999999988</v>
      </c>
      <c r="K117" s="2">
        <v>22331.719999999987</v>
      </c>
      <c r="L117" s="2">
        <v>22352.879999999986</v>
      </c>
      <c r="M117" s="2">
        <v>22374.709999999988</v>
      </c>
      <c r="N117" s="2">
        <v>22396.179999999989</v>
      </c>
      <c r="O117" s="2">
        <v>22417.53999999999</v>
      </c>
      <c r="P117" s="2">
        <v>22425.169999999991</v>
      </c>
      <c r="Q117" s="2">
        <v>22425.169999999991</v>
      </c>
      <c r="R117" s="2">
        <v>22425.169999999991</v>
      </c>
      <c r="S117" s="2">
        <v>22425.169999999991</v>
      </c>
      <c r="T117" s="2">
        <v>22442.749999999993</v>
      </c>
      <c r="U117" s="2">
        <v>22462.499999999993</v>
      </c>
      <c r="V117" s="2">
        <v>22465.249999999993</v>
      </c>
      <c r="W117" s="2">
        <v>22481.209999999992</v>
      </c>
      <c r="X117" s="2">
        <v>22497.359999999993</v>
      </c>
      <c r="Y117" s="2">
        <v>22517.569999999992</v>
      </c>
      <c r="Z117" s="2">
        <v>22538.539999999994</v>
      </c>
      <c r="AA117" s="2">
        <v>22559.049999999992</v>
      </c>
      <c r="AB117" s="2">
        <v>22580.21999999999</v>
      </c>
      <c r="AC117" s="2">
        <v>22601.96999999999</v>
      </c>
      <c r="AD117" s="2">
        <v>22616.549999999992</v>
      </c>
      <c r="AE117" s="2"/>
      <c r="AF117" s="7"/>
      <c r="AG117" s="51">
        <f t="shared" si="4"/>
        <v>22616.549999999992</v>
      </c>
      <c r="AH117" s="44">
        <v>22124.99</v>
      </c>
    </row>
    <row r="118" spans="1:34" x14ac:dyDescent="0.35">
      <c r="A118" s="26" t="s">
        <v>122</v>
      </c>
      <c r="B118" s="19">
        <v>3725.1400000000003</v>
      </c>
      <c r="C118" s="2">
        <v>3746.6200000000003</v>
      </c>
      <c r="D118" s="2">
        <v>3767.9500000000003</v>
      </c>
      <c r="E118" s="2">
        <v>3789.6800000000003</v>
      </c>
      <c r="F118" s="2">
        <v>3810.5200000000004</v>
      </c>
      <c r="G118" s="2">
        <v>3831.8600000000006</v>
      </c>
      <c r="H118" s="2">
        <v>3851.1500000000005</v>
      </c>
      <c r="I118" s="2">
        <v>3859.0900000000006</v>
      </c>
      <c r="J118" s="2">
        <v>3872.7600000000007</v>
      </c>
      <c r="K118" s="2">
        <v>3894.0900000000006</v>
      </c>
      <c r="L118" s="2">
        <v>3915.4000000000005</v>
      </c>
      <c r="M118" s="2">
        <v>3937.0700000000006</v>
      </c>
      <c r="N118" s="2">
        <v>3958.0200000000004</v>
      </c>
      <c r="O118" s="2">
        <v>3979.6100000000006</v>
      </c>
      <c r="P118" s="2">
        <v>3999.8100000000004</v>
      </c>
      <c r="Q118" s="2">
        <v>4010.9800000000005</v>
      </c>
      <c r="R118" s="2">
        <v>4032.4900000000007</v>
      </c>
      <c r="S118" s="2">
        <v>4053.8900000000008</v>
      </c>
      <c r="T118" s="2">
        <v>4075.6800000000007</v>
      </c>
      <c r="U118" s="2">
        <v>4093.9100000000008</v>
      </c>
      <c r="V118" s="2">
        <v>4115.3300000000008</v>
      </c>
      <c r="W118" s="2">
        <v>4136.7400000000007</v>
      </c>
      <c r="X118" s="2">
        <v>4158.18</v>
      </c>
      <c r="Y118" s="2">
        <v>4179.1000000000004</v>
      </c>
      <c r="Z118" s="2">
        <v>4200.75</v>
      </c>
      <c r="AA118" s="2">
        <v>4222.32</v>
      </c>
      <c r="AB118" s="2">
        <v>4244.1499999999996</v>
      </c>
      <c r="AC118" s="2">
        <v>4265.87</v>
      </c>
      <c r="AD118" s="2">
        <v>4287.84</v>
      </c>
      <c r="AE118" s="2"/>
      <c r="AF118" s="7"/>
      <c r="AG118" s="51">
        <f t="shared" si="4"/>
        <v>4287.84</v>
      </c>
      <c r="AH118" s="44">
        <v>3703.66</v>
      </c>
    </row>
    <row r="119" spans="1:34" x14ac:dyDescent="0.35">
      <c r="A119" s="26" t="s">
        <v>123</v>
      </c>
      <c r="B119" s="19">
        <v>4040.5399999999995</v>
      </c>
      <c r="C119" s="2">
        <v>4062.4199999999996</v>
      </c>
      <c r="D119" s="2">
        <v>4083.5899999999997</v>
      </c>
      <c r="E119" s="2">
        <v>4105.53</v>
      </c>
      <c r="F119" s="2">
        <v>4127.12</v>
      </c>
      <c r="G119" s="2">
        <v>4148.12</v>
      </c>
      <c r="H119" s="2">
        <v>4169.3900000000003</v>
      </c>
      <c r="I119" s="2">
        <v>4191.0200000000004</v>
      </c>
      <c r="J119" s="2">
        <v>4205.93</v>
      </c>
      <c r="K119" s="2">
        <v>4210.8200000000006</v>
      </c>
      <c r="L119" s="2">
        <v>4228.670000000001</v>
      </c>
      <c r="M119" s="2">
        <v>4250.5100000000011</v>
      </c>
      <c r="N119" s="2">
        <v>4270.3100000000013</v>
      </c>
      <c r="O119" s="2">
        <v>4291.130000000001</v>
      </c>
      <c r="P119" s="2">
        <v>4312.7600000000011</v>
      </c>
      <c r="Q119" s="2">
        <v>4333.5100000000011</v>
      </c>
      <c r="R119" s="2">
        <v>4355.5600000000013</v>
      </c>
      <c r="S119" s="2">
        <v>4377.2000000000016</v>
      </c>
      <c r="T119" s="2">
        <v>4385.7000000000016</v>
      </c>
      <c r="U119" s="2">
        <v>4405.7100000000019</v>
      </c>
      <c r="V119" s="2">
        <v>4426.8800000000019</v>
      </c>
      <c r="W119" s="2">
        <v>4448.2100000000019</v>
      </c>
      <c r="X119" s="2">
        <v>4469.6000000000022</v>
      </c>
      <c r="Y119" s="2">
        <v>4491.0200000000023</v>
      </c>
      <c r="Z119" s="2">
        <v>4512.6100000000024</v>
      </c>
      <c r="AA119" s="2">
        <v>4534.1400000000021</v>
      </c>
      <c r="AB119" s="2">
        <v>4555.6700000000019</v>
      </c>
      <c r="AC119" s="2">
        <v>4575.4500000000016</v>
      </c>
      <c r="AD119" s="2">
        <v>4596.4300000000012</v>
      </c>
      <c r="AE119" s="2"/>
      <c r="AF119" s="7"/>
      <c r="AG119" s="51">
        <f t="shared" si="4"/>
        <v>4596.4300000000012</v>
      </c>
      <c r="AH119" s="44">
        <v>4018.97</v>
      </c>
    </row>
    <row r="120" spans="1:34" x14ac:dyDescent="0.35">
      <c r="A120" s="26" t="s">
        <v>124</v>
      </c>
      <c r="B120" s="19">
        <v>3682.2100000000019</v>
      </c>
      <c r="C120" s="2">
        <v>3699.9100000000017</v>
      </c>
      <c r="D120" s="2">
        <v>3720.9500000000016</v>
      </c>
      <c r="E120" s="2">
        <v>3741.8400000000015</v>
      </c>
      <c r="F120" s="2">
        <v>3756.8600000000015</v>
      </c>
      <c r="G120" s="2">
        <v>3771.6000000000013</v>
      </c>
      <c r="H120" s="2">
        <v>3782.1800000000012</v>
      </c>
      <c r="I120" s="2">
        <v>3803.860000000001</v>
      </c>
      <c r="J120" s="2">
        <v>3815.5200000000009</v>
      </c>
      <c r="K120" s="2">
        <v>3833.8700000000008</v>
      </c>
      <c r="L120" s="2">
        <v>3848.7800000000007</v>
      </c>
      <c r="M120" s="2">
        <v>3863.7300000000005</v>
      </c>
      <c r="N120" s="2">
        <v>3885.6700000000005</v>
      </c>
      <c r="O120" s="2">
        <v>3907.1000000000004</v>
      </c>
      <c r="P120" s="2">
        <v>3928.4000000000005</v>
      </c>
      <c r="Q120" s="2">
        <v>3949.4300000000007</v>
      </c>
      <c r="R120" s="2">
        <v>3970.0700000000006</v>
      </c>
      <c r="S120" s="2">
        <v>3991.2800000000007</v>
      </c>
      <c r="T120" s="2">
        <v>4013.2600000000007</v>
      </c>
      <c r="U120" s="2">
        <v>4033.1900000000005</v>
      </c>
      <c r="V120" s="2">
        <v>4053.1600000000003</v>
      </c>
      <c r="W120" s="2">
        <v>4071.28</v>
      </c>
      <c r="X120" s="2">
        <v>4080.3</v>
      </c>
      <c r="Y120" s="2">
        <v>4098.8200000000006</v>
      </c>
      <c r="Z120" s="2">
        <v>4120.5300000000007</v>
      </c>
      <c r="AA120" s="2">
        <v>4142.2400000000007</v>
      </c>
      <c r="AB120" s="2">
        <v>4164.2000000000007</v>
      </c>
      <c r="AC120" s="2">
        <v>4178.5800000000008</v>
      </c>
      <c r="AD120" s="2">
        <v>4191.4000000000005</v>
      </c>
      <c r="AE120" s="2"/>
      <c r="AF120" s="7"/>
      <c r="AG120" s="51">
        <f t="shared" si="4"/>
        <v>4191.4000000000005</v>
      </c>
      <c r="AH120" s="44">
        <v>3677.49</v>
      </c>
    </row>
    <row r="121" spans="1:34" x14ac:dyDescent="0.35">
      <c r="A121" s="26" t="s">
        <v>125</v>
      </c>
      <c r="B121" s="19">
        <v>1881.7500000000007</v>
      </c>
      <c r="C121" s="2">
        <v>1903.3400000000006</v>
      </c>
      <c r="D121" s="2">
        <v>1924.8900000000006</v>
      </c>
      <c r="E121" s="2">
        <v>1946.3000000000006</v>
      </c>
      <c r="F121" s="2">
        <v>1968.7900000000006</v>
      </c>
      <c r="G121" s="2">
        <v>1990.1800000000007</v>
      </c>
      <c r="H121" s="2">
        <v>2011.9000000000008</v>
      </c>
      <c r="I121" s="2">
        <v>2033.3500000000008</v>
      </c>
      <c r="J121" s="2">
        <v>2051.610000000001</v>
      </c>
      <c r="K121" s="2">
        <v>2073.0700000000011</v>
      </c>
      <c r="L121" s="2">
        <v>2094.690000000001</v>
      </c>
      <c r="M121" s="2">
        <v>2111.440000000001</v>
      </c>
      <c r="N121" s="2">
        <v>2132.6000000000008</v>
      </c>
      <c r="O121" s="2">
        <v>2154.1600000000008</v>
      </c>
      <c r="P121" s="2">
        <v>2175.4100000000008</v>
      </c>
      <c r="Q121" s="2">
        <v>2197.2500000000009</v>
      </c>
      <c r="R121" s="2">
        <v>2218.670000000001</v>
      </c>
      <c r="S121" s="2">
        <v>2238.150000000001</v>
      </c>
      <c r="T121" s="2">
        <v>2258.1800000000012</v>
      </c>
      <c r="U121" s="2">
        <v>2261.5800000000013</v>
      </c>
      <c r="V121" s="2">
        <v>2282.5100000000011</v>
      </c>
      <c r="W121" s="2">
        <v>2303.2900000000013</v>
      </c>
      <c r="X121" s="2">
        <v>2324.7100000000014</v>
      </c>
      <c r="Y121" s="2">
        <v>2345.1700000000014</v>
      </c>
      <c r="Z121" s="2">
        <v>2366.7200000000016</v>
      </c>
      <c r="AA121" s="2">
        <v>2388.4800000000018</v>
      </c>
      <c r="AB121" s="2">
        <v>2409.1000000000017</v>
      </c>
      <c r="AC121" s="2">
        <v>2430.5800000000017</v>
      </c>
      <c r="AD121" s="2">
        <v>2452.0400000000018</v>
      </c>
      <c r="AE121" s="2"/>
      <c r="AF121" s="7"/>
      <c r="AG121" s="51">
        <f t="shared" si="4"/>
        <v>2452.0400000000018</v>
      </c>
      <c r="AH121" s="44">
        <v>1860.46</v>
      </c>
    </row>
    <row r="122" spans="1:34" x14ac:dyDescent="0.35">
      <c r="A122" s="26" t="s">
        <v>126</v>
      </c>
      <c r="B122" s="19">
        <v>2936.2399999999984</v>
      </c>
      <c r="C122" s="2">
        <v>2957.8099999999986</v>
      </c>
      <c r="D122" s="2">
        <v>2979.5299999999984</v>
      </c>
      <c r="E122" s="2">
        <v>3000.9799999999982</v>
      </c>
      <c r="F122" s="2">
        <v>3022.5399999999981</v>
      </c>
      <c r="G122" s="2">
        <v>3044.3699999999981</v>
      </c>
      <c r="H122" s="2">
        <v>3065.9399999999982</v>
      </c>
      <c r="I122" s="2">
        <v>3087.0799999999981</v>
      </c>
      <c r="J122" s="2">
        <v>3108.8299999999981</v>
      </c>
      <c r="K122" s="2">
        <v>3130.6499999999983</v>
      </c>
      <c r="L122" s="2">
        <v>3149.1999999999985</v>
      </c>
      <c r="M122" s="2">
        <v>3152.6199999999985</v>
      </c>
      <c r="N122" s="2">
        <v>3173.5999999999985</v>
      </c>
      <c r="O122" s="2">
        <v>3195.3099999999986</v>
      </c>
      <c r="P122" s="2">
        <v>3217.4699999999984</v>
      </c>
      <c r="Q122" s="2">
        <v>3238.6699999999983</v>
      </c>
      <c r="R122" s="2">
        <v>3260.5399999999981</v>
      </c>
      <c r="S122" s="2">
        <v>3282.659999999998</v>
      </c>
      <c r="T122" s="2">
        <v>3294.199999999998</v>
      </c>
      <c r="U122" s="2">
        <v>3309.429999999998</v>
      </c>
      <c r="V122" s="2">
        <v>3331.0299999999979</v>
      </c>
      <c r="W122" s="2">
        <v>3352.8199999999979</v>
      </c>
      <c r="X122" s="2">
        <v>3374.5599999999977</v>
      </c>
      <c r="Y122" s="2">
        <v>3396.5499999999975</v>
      </c>
      <c r="Z122" s="2">
        <v>3418.2299999999973</v>
      </c>
      <c r="AA122" s="2">
        <v>3430.9999999999973</v>
      </c>
      <c r="AB122" s="2">
        <v>3451.9199999999973</v>
      </c>
      <c r="AC122" s="2">
        <v>3464.9699999999975</v>
      </c>
      <c r="AD122" s="2">
        <v>3486.6099999999974</v>
      </c>
      <c r="AE122" s="2"/>
      <c r="AF122" s="7"/>
      <c r="AG122" s="51">
        <f t="shared" si="4"/>
        <v>3486.6099999999974</v>
      </c>
      <c r="AH122" s="44">
        <v>2920.43</v>
      </c>
    </row>
    <row r="123" spans="1:34" x14ac:dyDescent="0.35">
      <c r="A123" s="26" t="s">
        <v>127</v>
      </c>
      <c r="B123" s="19">
        <v>3197.6200000000003</v>
      </c>
      <c r="C123" s="2">
        <v>3218.9100000000003</v>
      </c>
      <c r="D123" s="2">
        <v>3235.4200000000005</v>
      </c>
      <c r="E123" s="2">
        <v>3241.0500000000006</v>
      </c>
      <c r="F123" s="2">
        <v>3257.9500000000007</v>
      </c>
      <c r="G123" s="2">
        <v>3278.1900000000005</v>
      </c>
      <c r="H123" s="2">
        <v>3297.8500000000004</v>
      </c>
      <c r="I123" s="2">
        <v>3318.9500000000003</v>
      </c>
      <c r="J123" s="2">
        <v>3340.2200000000003</v>
      </c>
      <c r="K123" s="2">
        <v>3361.34</v>
      </c>
      <c r="L123" s="2">
        <v>3376.44</v>
      </c>
      <c r="M123" s="2">
        <v>3397.88</v>
      </c>
      <c r="N123" s="2">
        <v>3418.9900000000002</v>
      </c>
      <c r="O123" s="2">
        <v>3436.78</v>
      </c>
      <c r="P123" s="2">
        <v>3458.75</v>
      </c>
      <c r="Q123" s="2">
        <v>3480.55</v>
      </c>
      <c r="R123" s="2">
        <v>3502.4100000000003</v>
      </c>
      <c r="S123" s="2">
        <v>3524.15</v>
      </c>
      <c r="T123" s="2">
        <v>3545.94</v>
      </c>
      <c r="U123" s="2">
        <v>3564.85</v>
      </c>
      <c r="V123" s="2">
        <v>3572.33</v>
      </c>
      <c r="W123" s="2">
        <v>3574.9</v>
      </c>
      <c r="X123" s="2">
        <v>3596.12</v>
      </c>
      <c r="Y123" s="2">
        <v>3616.8199999999997</v>
      </c>
      <c r="Z123" s="2">
        <v>3637.1499999999996</v>
      </c>
      <c r="AA123" s="2">
        <v>3658.7899999999995</v>
      </c>
      <c r="AB123" s="2">
        <v>3680.5799999999995</v>
      </c>
      <c r="AC123" s="2">
        <v>3702.4399999999996</v>
      </c>
      <c r="AD123" s="2">
        <v>3724.72</v>
      </c>
      <c r="AE123" s="2"/>
      <c r="AF123" s="7"/>
      <c r="AG123" s="51">
        <f t="shared" si="4"/>
        <v>3724.72</v>
      </c>
      <c r="AH123" s="44">
        <v>3175.98</v>
      </c>
    </row>
    <row r="124" spans="1:34" ht="15" thickBot="1" x14ac:dyDescent="0.4">
      <c r="A124" s="36" t="s">
        <v>128</v>
      </c>
      <c r="B124" s="20">
        <v>3052.3699999999994</v>
      </c>
      <c r="C124" s="4">
        <v>3072.7199999999993</v>
      </c>
      <c r="D124" s="4">
        <v>3080.5399999999995</v>
      </c>
      <c r="E124" s="4">
        <v>3094.2299999999996</v>
      </c>
      <c r="F124" s="4">
        <v>3110.5399999999995</v>
      </c>
      <c r="G124" s="4">
        <v>3110.6899999999996</v>
      </c>
      <c r="H124" s="4">
        <v>3110.6899999999996</v>
      </c>
      <c r="I124" s="4">
        <v>3110.6899999999996</v>
      </c>
      <c r="J124" s="4">
        <v>3110.6899999999996</v>
      </c>
      <c r="K124" s="4">
        <v>3110.6899999999996</v>
      </c>
      <c r="L124" s="4">
        <v>3118.1099999999997</v>
      </c>
      <c r="M124" s="4">
        <v>3138.8299999999995</v>
      </c>
      <c r="N124" s="4">
        <v>3159.0099999999993</v>
      </c>
      <c r="O124" s="4">
        <v>3180.6799999999994</v>
      </c>
      <c r="P124" s="4">
        <v>3202.5699999999993</v>
      </c>
      <c r="Q124" s="4">
        <v>3224.5199999999991</v>
      </c>
      <c r="R124" s="4">
        <v>3246.2499999999991</v>
      </c>
      <c r="S124" s="4">
        <v>3268.079999999999</v>
      </c>
      <c r="T124" s="4">
        <v>3285.6099999999992</v>
      </c>
      <c r="U124" s="4">
        <v>3305.7799999999993</v>
      </c>
      <c r="V124" s="4">
        <v>3324.3699999999994</v>
      </c>
      <c r="W124" s="4">
        <v>3346.1299999999997</v>
      </c>
      <c r="X124" s="4">
        <v>3367.8799999999997</v>
      </c>
      <c r="Y124" s="4">
        <v>3389.2899999999995</v>
      </c>
      <c r="Z124" s="4">
        <v>3410.2499999999995</v>
      </c>
      <c r="AA124" s="4">
        <v>3429.9999999999995</v>
      </c>
      <c r="AB124" s="4">
        <v>3451.4799999999996</v>
      </c>
      <c r="AC124" s="4">
        <v>3472.9099999999994</v>
      </c>
      <c r="AD124" s="4">
        <v>3491.3399999999992</v>
      </c>
      <c r="AE124" s="4"/>
      <c r="AF124" s="8"/>
      <c r="AG124" s="52">
        <f t="shared" si="4"/>
        <v>3491.3399999999992</v>
      </c>
      <c r="AH124" s="44">
        <v>3052.37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45323</v>
      </c>
      <c r="C126" s="46">
        <v>45324</v>
      </c>
      <c r="D126" s="46">
        <v>45325</v>
      </c>
      <c r="E126" s="46">
        <v>45326</v>
      </c>
      <c r="F126" s="46">
        <v>45327</v>
      </c>
      <c r="G126" s="46">
        <v>45328</v>
      </c>
      <c r="H126" s="46">
        <v>45329</v>
      </c>
      <c r="I126" s="46">
        <v>45330</v>
      </c>
      <c r="J126" s="46">
        <v>45331</v>
      </c>
      <c r="K126" s="46">
        <v>45332</v>
      </c>
      <c r="L126" s="46">
        <v>45333</v>
      </c>
      <c r="M126" s="46">
        <v>45334</v>
      </c>
      <c r="N126" s="46">
        <v>45335</v>
      </c>
      <c r="O126" s="46">
        <v>45336</v>
      </c>
      <c r="P126" s="46">
        <v>45337</v>
      </c>
      <c r="Q126" s="46">
        <v>45338</v>
      </c>
      <c r="R126" s="46">
        <v>45339</v>
      </c>
      <c r="S126" s="46">
        <v>45340</v>
      </c>
      <c r="T126" s="46">
        <v>45341</v>
      </c>
      <c r="U126" s="46">
        <v>45342</v>
      </c>
      <c r="V126" s="46">
        <v>45343</v>
      </c>
      <c r="W126" s="46">
        <v>45344</v>
      </c>
      <c r="X126" s="46">
        <v>45345</v>
      </c>
      <c r="Y126" s="46">
        <v>45346</v>
      </c>
      <c r="Z126" s="46">
        <v>45347</v>
      </c>
      <c r="AA126" s="46">
        <v>45348</v>
      </c>
      <c r="AB126" s="46">
        <v>45349</v>
      </c>
      <c r="AC126" s="46">
        <v>45350</v>
      </c>
      <c r="AD126" s="46">
        <v>45351</v>
      </c>
      <c r="AE126" s="46"/>
      <c r="AF126" s="46"/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19">
        <v>87482</v>
      </c>
      <c r="C127" s="2">
        <v>87482</v>
      </c>
      <c r="D127" s="2">
        <v>87482</v>
      </c>
      <c r="E127" s="2">
        <v>87482</v>
      </c>
      <c r="F127" s="2">
        <v>87482</v>
      </c>
      <c r="G127" s="2">
        <v>87482</v>
      </c>
      <c r="H127" s="2">
        <v>87482</v>
      </c>
      <c r="I127" s="2">
        <v>87482</v>
      </c>
      <c r="J127" s="2">
        <v>87482</v>
      </c>
      <c r="K127" s="2">
        <v>87482</v>
      </c>
      <c r="L127" s="2">
        <v>87482</v>
      </c>
      <c r="M127" s="2">
        <v>87482</v>
      </c>
      <c r="N127" s="2">
        <v>87482</v>
      </c>
      <c r="O127" s="2">
        <v>87482</v>
      </c>
      <c r="P127" s="2">
        <v>87482</v>
      </c>
      <c r="Q127" s="2">
        <v>87482</v>
      </c>
      <c r="R127" s="2">
        <v>87482</v>
      </c>
      <c r="S127" s="2">
        <v>87482</v>
      </c>
      <c r="T127" s="2">
        <v>87482</v>
      </c>
      <c r="U127" s="2">
        <v>87482</v>
      </c>
      <c r="V127" s="2">
        <v>87482</v>
      </c>
      <c r="W127" s="2">
        <v>87482</v>
      </c>
      <c r="X127" s="2">
        <v>87482</v>
      </c>
      <c r="Y127" s="2">
        <v>87482</v>
      </c>
      <c r="Z127" s="2">
        <v>87482</v>
      </c>
      <c r="AA127" s="2">
        <v>87482</v>
      </c>
      <c r="AB127" s="2">
        <v>87482</v>
      </c>
      <c r="AC127" s="2">
        <v>87482</v>
      </c>
      <c r="AD127" s="2">
        <v>87482</v>
      </c>
      <c r="AE127" s="2"/>
      <c r="AF127" s="7"/>
      <c r="AG127" s="54">
        <f t="shared" ref="AG127:AG163" si="5">MAX(B127:AF127)</f>
        <v>87482</v>
      </c>
      <c r="AH127" s="44">
        <v>111170</v>
      </c>
    </row>
    <row r="128" spans="1:34" x14ac:dyDescent="0.35">
      <c r="A128" s="40" t="s">
        <v>297</v>
      </c>
      <c r="B128" s="18">
        <v>111188</v>
      </c>
      <c r="C128" s="14">
        <v>111188</v>
      </c>
      <c r="D128" s="14">
        <v>111188</v>
      </c>
      <c r="E128" s="14">
        <v>111189</v>
      </c>
      <c r="F128" s="14">
        <v>111189</v>
      </c>
      <c r="G128" s="14">
        <v>111189</v>
      </c>
      <c r="H128" s="14">
        <v>111189</v>
      </c>
      <c r="I128" s="14">
        <v>111189</v>
      </c>
      <c r="J128" s="14">
        <v>111189</v>
      </c>
      <c r="K128" s="14">
        <v>111190.8</v>
      </c>
      <c r="L128" s="14">
        <v>111190.8</v>
      </c>
      <c r="M128" s="14">
        <v>111190.8</v>
      </c>
      <c r="N128" s="14">
        <v>111190.8</v>
      </c>
      <c r="O128" s="14">
        <v>111190.8</v>
      </c>
      <c r="P128" s="14">
        <v>111212</v>
      </c>
      <c r="Q128" s="14">
        <v>111216.2</v>
      </c>
      <c r="R128" s="14">
        <v>111216.2</v>
      </c>
      <c r="S128" s="14">
        <v>111226.9</v>
      </c>
      <c r="T128" s="14">
        <v>111226.9</v>
      </c>
      <c r="U128" s="14">
        <v>111226.9</v>
      </c>
      <c r="V128" s="14">
        <v>111226.9</v>
      </c>
      <c r="W128" s="14">
        <v>111226.9</v>
      </c>
      <c r="X128" s="14">
        <v>111226.9</v>
      </c>
      <c r="Y128" s="14">
        <v>111226.9</v>
      </c>
      <c r="Z128" s="14">
        <v>111226.9</v>
      </c>
      <c r="AA128" s="14">
        <v>111226.9</v>
      </c>
      <c r="AB128" s="14">
        <v>111226.9</v>
      </c>
      <c r="AC128" s="14">
        <v>111226.9</v>
      </c>
      <c r="AD128" s="14">
        <v>111226.9</v>
      </c>
      <c r="AE128" s="14"/>
      <c r="AF128" s="22"/>
      <c r="AG128" s="53">
        <f t="shared" si="5"/>
        <v>111226.9</v>
      </c>
      <c r="AH128" s="44">
        <v>87482</v>
      </c>
    </row>
    <row r="129" spans="1:34" x14ac:dyDescent="0.35">
      <c r="A129" s="27" t="s">
        <v>271</v>
      </c>
      <c r="B129" s="19">
        <v>104151.16</v>
      </c>
      <c r="C129" s="2">
        <v>104151.16</v>
      </c>
      <c r="D129" s="2">
        <v>104151.16</v>
      </c>
      <c r="E129" s="2">
        <v>104151.16</v>
      </c>
      <c r="F129" s="2">
        <v>104151.16</v>
      </c>
      <c r="G129" s="2">
        <v>104151.16</v>
      </c>
      <c r="H129" s="2">
        <v>104151.16</v>
      </c>
      <c r="I129" s="2">
        <v>104151.16</v>
      </c>
      <c r="J129" s="2">
        <v>104151.16</v>
      </c>
      <c r="K129" s="2">
        <v>104164.3</v>
      </c>
      <c r="L129" s="2">
        <v>104164.3</v>
      </c>
      <c r="M129" s="2">
        <v>104167.2</v>
      </c>
      <c r="N129" s="2">
        <v>104167.2</v>
      </c>
      <c r="O129" s="2">
        <v>104167.2</v>
      </c>
      <c r="P129" s="2">
        <v>104167.2</v>
      </c>
      <c r="Q129" s="2">
        <v>104167.2</v>
      </c>
      <c r="R129" s="2">
        <v>104167.2</v>
      </c>
      <c r="S129" s="2">
        <v>104167.2</v>
      </c>
      <c r="T129" s="2">
        <v>104167.2</v>
      </c>
      <c r="U129" s="2">
        <v>104167.2</v>
      </c>
      <c r="V129" s="2">
        <v>104167.2</v>
      </c>
      <c r="W129" s="2">
        <v>104167.2</v>
      </c>
      <c r="X129" s="2">
        <v>104167.2</v>
      </c>
      <c r="Y129" s="2">
        <v>104167.2</v>
      </c>
      <c r="Z129" s="2">
        <v>104167.2</v>
      </c>
      <c r="AA129" s="2">
        <v>104167.2</v>
      </c>
      <c r="AB129" s="2">
        <v>104167.2</v>
      </c>
      <c r="AC129" s="2">
        <v>104167.2</v>
      </c>
      <c r="AD129" s="2">
        <v>104167.2</v>
      </c>
      <c r="AE129" s="2"/>
      <c r="AF129" s="7"/>
      <c r="AG129" s="9">
        <f t="shared" si="5"/>
        <v>104167.2</v>
      </c>
      <c r="AH129" s="44">
        <v>104151.16</v>
      </c>
    </row>
    <row r="130" spans="1:34" x14ac:dyDescent="0.35">
      <c r="A130" s="27" t="s">
        <v>274</v>
      </c>
      <c r="B130" s="19">
        <v>102498</v>
      </c>
      <c r="C130" s="2">
        <v>102498</v>
      </c>
      <c r="D130" s="2">
        <v>102498</v>
      </c>
      <c r="E130" s="2">
        <v>102498</v>
      </c>
      <c r="F130" s="2">
        <v>102498</v>
      </c>
      <c r="G130" s="2">
        <v>102522</v>
      </c>
      <c r="H130" s="2">
        <v>102535</v>
      </c>
      <c r="I130" s="2">
        <v>102540</v>
      </c>
      <c r="J130" s="2">
        <v>102540</v>
      </c>
      <c r="K130" s="2">
        <v>102655.29999999999</v>
      </c>
      <c r="L130" s="2">
        <v>102655.29999999999</v>
      </c>
      <c r="M130" s="2">
        <v>102682.59999999999</v>
      </c>
      <c r="N130" s="2">
        <v>102705.4</v>
      </c>
      <c r="O130" s="2">
        <v>102717.5</v>
      </c>
      <c r="P130" s="2">
        <v>102717.5</v>
      </c>
      <c r="Q130" s="2">
        <v>102717.5</v>
      </c>
      <c r="R130" s="2">
        <v>102717.5</v>
      </c>
      <c r="S130" s="2">
        <v>102717.5</v>
      </c>
      <c r="T130" s="2">
        <v>102717.5</v>
      </c>
      <c r="U130" s="2">
        <v>102717.5</v>
      </c>
      <c r="V130" s="2">
        <v>102717.5</v>
      </c>
      <c r="W130" s="2">
        <v>102717.5</v>
      </c>
      <c r="X130" s="2">
        <v>102717.5</v>
      </c>
      <c r="Y130" s="2">
        <v>102717.5</v>
      </c>
      <c r="Z130" s="2">
        <v>102717.5</v>
      </c>
      <c r="AA130" s="2">
        <v>102717.5</v>
      </c>
      <c r="AB130" s="2">
        <v>102717.5</v>
      </c>
      <c r="AC130" s="2">
        <v>102717.5</v>
      </c>
      <c r="AD130" s="2">
        <v>102717.5</v>
      </c>
      <c r="AE130" s="2"/>
      <c r="AF130" s="7"/>
      <c r="AG130" s="9">
        <f t="shared" si="5"/>
        <v>102717.5</v>
      </c>
      <c r="AH130" s="44">
        <v>102486</v>
      </c>
    </row>
    <row r="131" spans="1:34" x14ac:dyDescent="0.35">
      <c r="A131" s="27" t="s">
        <v>272</v>
      </c>
      <c r="B131" s="19">
        <v>102048.18999999999</v>
      </c>
      <c r="C131" s="2">
        <v>102048.18999999999</v>
      </c>
      <c r="D131" s="2">
        <v>102048.18999999999</v>
      </c>
      <c r="E131" s="2">
        <v>102048.18999999999</v>
      </c>
      <c r="F131" s="2">
        <v>102048.18999999999</v>
      </c>
      <c r="G131" s="2">
        <v>102048.18999999999</v>
      </c>
      <c r="H131" s="2">
        <v>102048.18999999999</v>
      </c>
      <c r="I131" s="2">
        <v>102048.18999999999</v>
      </c>
      <c r="J131" s="2">
        <v>102048.18999999999</v>
      </c>
      <c r="K131" s="2">
        <v>102048.18999999999</v>
      </c>
      <c r="L131" s="2">
        <v>102048.18999999999</v>
      </c>
      <c r="M131" s="2">
        <v>102048.18999999999</v>
      </c>
      <c r="N131" s="2">
        <v>102048.18999999999</v>
      </c>
      <c r="O131" s="2">
        <v>102048.18999999999</v>
      </c>
      <c r="P131" s="2">
        <v>102048.18999999999</v>
      </c>
      <c r="Q131" s="2">
        <v>102048.18999999999</v>
      </c>
      <c r="R131" s="2">
        <v>102048.18999999999</v>
      </c>
      <c r="S131" s="2">
        <v>102048.18999999999</v>
      </c>
      <c r="T131" s="2">
        <v>102048.18999999999</v>
      </c>
      <c r="U131" s="2">
        <v>102048.18999999999</v>
      </c>
      <c r="V131" s="2">
        <v>102048.18999999999</v>
      </c>
      <c r="W131" s="2">
        <v>102048.18999999999</v>
      </c>
      <c r="X131" s="2">
        <v>102048.18999999999</v>
      </c>
      <c r="Y131" s="2">
        <v>102048.18999999999</v>
      </c>
      <c r="Z131" s="2">
        <v>102048.18999999999</v>
      </c>
      <c r="AA131" s="2">
        <v>102048.18999999999</v>
      </c>
      <c r="AB131" s="2">
        <v>102048.18999999999</v>
      </c>
      <c r="AC131" s="2">
        <v>102048.18999999999</v>
      </c>
      <c r="AD131" s="2">
        <v>102048.18999999999</v>
      </c>
      <c r="AE131" s="2"/>
      <c r="AF131" s="2"/>
      <c r="AG131" s="9">
        <f t="shared" si="5"/>
        <v>102048.18999999999</v>
      </c>
      <c r="AH131" s="44">
        <v>102048.19</v>
      </c>
    </row>
    <row r="132" spans="1:34" x14ac:dyDescent="0.35">
      <c r="A132" s="27" t="s">
        <v>285</v>
      </c>
      <c r="B132" s="19">
        <v>101476.09999999999</v>
      </c>
      <c r="C132" s="2">
        <v>101476.09999999999</v>
      </c>
      <c r="D132" s="2">
        <v>101476.09999999999</v>
      </c>
      <c r="E132" s="2">
        <v>101476.09999999999</v>
      </c>
      <c r="F132" s="2">
        <v>101476.09999999999</v>
      </c>
      <c r="G132" s="2">
        <v>101476.09999999999</v>
      </c>
      <c r="H132" s="2">
        <v>101476.09999999999</v>
      </c>
      <c r="I132" s="2">
        <v>101476.09999999999</v>
      </c>
      <c r="J132" s="2">
        <v>101476.09999999999</v>
      </c>
      <c r="K132" s="2">
        <v>101476.09999999999</v>
      </c>
      <c r="L132" s="2">
        <v>101476.09999999999</v>
      </c>
      <c r="M132" s="2">
        <v>101476.09999999999</v>
      </c>
      <c r="N132" s="2">
        <v>101476.09999999999</v>
      </c>
      <c r="O132" s="2">
        <v>101476.09999999999</v>
      </c>
      <c r="P132" s="2">
        <v>101476.09999999999</v>
      </c>
      <c r="Q132" s="2">
        <v>101476.09999999999</v>
      </c>
      <c r="R132" s="2">
        <v>101476.09999999999</v>
      </c>
      <c r="S132" s="2">
        <v>101476.09999999999</v>
      </c>
      <c r="T132" s="2">
        <v>101476.09999999999</v>
      </c>
      <c r="U132" s="2">
        <v>101476.09999999999</v>
      </c>
      <c r="V132" s="2">
        <v>101476.09999999999</v>
      </c>
      <c r="W132" s="2">
        <v>101476.09999999999</v>
      </c>
      <c r="X132" s="2">
        <v>101476.09999999999</v>
      </c>
      <c r="Y132" s="2">
        <v>101476.09999999999</v>
      </c>
      <c r="Z132" s="2">
        <v>101476.09999999999</v>
      </c>
      <c r="AA132" s="2">
        <v>101476.09999999999</v>
      </c>
      <c r="AB132" s="2">
        <v>101476.09999999999</v>
      </c>
      <c r="AC132" s="2">
        <v>101476.09999999999</v>
      </c>
      <c r="AD132" s="2">
        <v>101476.09999999999</v>
      </c>
      <c r="AE132" s="2"/>
      <c r="AF132" s="7"/>
      <c r="AG132" s="9">
        <f t="shared" si="5"/>
        <v>101476.09999999999</v>
      </c>
      <c r="AH132" s="44">
        <v>101476.1</v>
      </c>
    </row>
    <row r="133" spans="1:34" x14ac:dyDescent="0.35">
      <c r="A133" s="27" t="s">
        <v>306</v>
      </c>
      <c r="B133" s="19">
        <v>100866.39000000003</v>
      </c>
      <c r="C133" s="2">
        <v>100866.39000000003</v>
      </c>
      <c r="D133" s="2">
        <v>100866.39000000003</v>
      </c>
      <c r="E133" s="2">
        <v>100866.39000000003</v>
      </c>
      <c r="F133" s="2">
        <v>100866.39000000003</v>
      </c>
      <c r="G133" s="2">
        <v>100866.39000000003</v>
      </c>
      <c r="H133" s="2">
        <v>100866.39000000003</v>
      </c>
      <c r="I133" s="2">
        <v>100866.39000000003</v>
      </c>
      <c r="J133" s="2">
        <v>100866.39000000003</v>
      </c>
      <c r="K133" s="2">
        <v>100866.39000000003</v>
      </c>
      <c r="L133" s="2">
        <v>100866.39000000003</v>
      </c>
      <c r="M133" s="2">
        <v>100866.39000000003</v>
      </c>
      <c r="N133" s="2">
        <v>100866.39000000003</v>
      </c>
      <c r="O133" s="2">
        <v>100866.39000000003</v>
      </c>
      <c r="P133" s="2">
        <v>100866.39000000003</v>
      </c>
      <c r="Q133" s="2">
        <v>100866.39000000003</v>
      </c>
      <c r="R133" s="2">
        <v>100866.39000000003</v>
      </c>
      <c r="S133" s="2">
        <v>100866.39000000003</v>
      </c>
      <c r="T133" s="2">
        <v>100866.39000000003</v>
      </c>
      <c r="U133" s="2">
        <v>100866.39000000003</v>
      </c>
      <c r="V133" s="2">
        <v>100866.39000000003</v>
      </c>
      <c r="W133" s="2">
        <v>100866.39000000003</v>
      </c>
      <c r="X133" s="2">
        <v>100866.39000000003</v>
      </c>
      <c r="Y133" s="2">
        <v>100866.39000000003</v>
      </c>
      <c r="Z133" s="2">
        <v>100866.39000000003</v>
      </c>
      <c r="AA133" s="2">
        <v>100866.39000000003</v>
      </c>
      <c r="AB133" s="2">
        <v>100866.39000000003</v>
      </c>
      <c r="AC133" s="2">
        <v>100866.39000000003</v>
      </c>
      <c r="AD133" s="2">
        <v>100866.39000000003</v>
      </c>
      <c r="AE133" s="2"/>
      <c r="AF133" s="7"/>
      <c r="AG133" s="9">
        <f t="shared" si="5"/>
        <v>100866.39000000003</v>
      </c>
      <c r="AH133" s="44">
        <v>100866.39</v>
      </c>
    </row>
    <row r="134" spans="1:34" x14ac:dyDescent="0.35">
      <c r="A134" s="28" t="s">
        <v>308</v>
      </c>
      <c r="B134" s="23">
        <v>101852.22</v>
      </c>
      <c r="C134" s="24">
        <v>101852.22</v>
      </c>
      <c r="D134" s="24">
        <v>101852.22</v>
      </c>
      <c r="E134" s="24">
        <v>101852.22</v>
      </c>
      <c r="F134" s="24">
        <v>101852.22</v>
      </c>
      <c r="G134" s="24">
        <v>101852.22</v>
      </c>
      <c r="H134" s="24">
        <v>101852.22</v>
      </c>
      <c r="I134" s="24">
        <v>101852.22</v>
      </c>
      <c r="J134" s="24">
        <v>101852.22</v>
      </c>
      <c r="K134" s="24">
        <v>101852.22</v>
      </c>
      <c r="L134" s="24">
        <v>101852.22</v>
      </c>
      <c r="M134" s="24">
        <v>101852.22</v>
      </c>
      <c r="N134" s="24">
        <v>101852.22</v>
      </c>
      <c r="O134" s="24">
        <v>101852.22</v>
      </c>
      <c r="P134" s="24">
        <v>101852.22</v>
      </c>
      <c r="Q134" s="24">
        <v>101852.22</v>
      </c>
      <c r="R134" s="24">
        <v>101852.22</v>
      </c>
      <c r="S134" s="24">
        <v>101852.22</v>
      </c>
      <c r="T134" s="24">
        <v>101852.22</v>
      </c>
      <c r="U134" s="24">
        <v>101852.22</v>
      </c>
      <c r="V134" s="24">
        <v>101852.22</v>
      </c>
      <c r="W134" s="24">
        <v>101852.22</v>
      </c>
      <c r="X134" s="24">
        <v>101852.22</v>
      </c>
      <c r="Y134" s="24">
        <v>101852.22</v>
      </c>
      <c r="Z134" s="24">
        <v>101852.22</v>
      </c>
      <c r="AA134" s="24">
        <v>101852.22</v>
      </c>
      <c r="AB134" s="24">
        <v>101852.22</v>
      </c>
      <c r="AC134" s="24">
        <v>101852.22</v>
      </c>
      <c r="AD134" s="24">
        <v>101852.22</v>
      </c>
      <c r="AE134" s="24"/>
      <c r="AF134" s="25"/>
      <c r="AG134" s="9">
        <f t="shared" si="5"/>
        <v>101852.22</v>
      </c>
      <c r="AH134" s="44">
        <v>101852.22</v>
      </c>
    </row>
    <row r="135" spans="1:34" ht="15" thickBot="1" x14ac:dyDescent="0.4">
      <c r="A135" s="27" t="s">
        <v>307</v>
      </c>
      <c r="B135" s="19">
        <v>102275.73000000001</v>
      </c>
      <c r="C135" s="2">
        <v>102275.73000000001</v>
      </c>
      <c r="D135" s="2">
        <v>102275.73000000001</v>
      </c>
      <c r="E135" s="2">
        <v>102275.73000000001</v>
      </c>
      <c r="F135" s="2">
        <v>102275.73000000001</v>
      </c>
      <c r="G135" s="2">
        <v>102275.73000000001</v>
      </c>
      <c r="H135" s="2">
        <v>102275.73000000001</v>
      </c>
      <c r="I135" s="2">
        <v>102275.73000000001</v>
      </c>
      <c r="J135" s="2">
        <v>102275.73000000001</v>
      </c>
      <c r="K135" s="2">
        <v>102275.73000000001</v>
      </c>
      <c r="L135" s="2">
        <v>102275.73000000001</v>
      </c>
      <c r="M135" s="2">
        <v>102275.73000000001</v>
      </c>
      <c r="N135" s="2">
        <v>102275.73000000001</v>
      </c>
      <c r="O135" s="2">
        <v>102275.73000000001</v>
      </c>
      <c r="P135" s="2">
        <v>102275.73000000001</v>
      </c>
      <c r="Q135" s="2">
        <v>102275.73000000001</v>
      </c>
      <c r="R135" s="2">
        <v>102275.73000000001</v>
      </c>
      <c r="S135" s="2">
        <v>102275.73000000001</v>
      </c>
      <c r="T135" s="2">
        <v>102275.73000000001</v>
      </c>
      <c r="U135" s="2">
        <v>102275.73000000001</v>
      </c>
      <c r="V135" s="2">
        <v>102275.73000000001</v>
      </c>
      <c r="W135" s="2">
        <v>102275.73000000001</v>
      </c>
      <c r="X135" s="2">
        <v>102275.73000000001</v>
      </c>
      <c r="Y135" s="2">
        <v>102275.73000000001</v>
      </c>
      <c r="Z135" s="2">
        <v>102275.73000000001</v>
      </c>
      <c r="AA135" s="2">
        <v>102275.73000000001</v>
      </c>
      <c r="AB135" s="2">
        <v>102275.73000000001</v>
      </c>
      <c r="AC135" s="2">
        <v>102275.73000000001</v>
      </c>
      <c r="AD135" s="2">
        <v>102275.73000000001</v>
      </c>
      <c r="AE135" s="2"/>
      <c r="AF135" s="2"/>
      <c r="AG135" s="16">
        <f t="shared" si="5"/>
        <v>102275.73000000001</v>
      </c>
      <c r="AH135" s="44">
        <v>102275.73</v>
      </c>
    </row>
    <row r="136" spans="1:34" x14ac:dyDescent="0.35">
      <c r="A136" s="29" t="s">
        <v>273</v>
      </c>
      <c r="B136" s="267">
        <v>112344.72</v>
      </c>
      <c r="C136" s="268">
        <v>112344.72</v>
      </c>
      <c r="D136" s="268">
        <v>112344.72</v>
      </c>
      <c r="E136" s="268">
        <v>112344.72</v>
      </c>
      <c r="F136" s="268">
        <v>112344.72</v>
      </c>
      <c r="G136" s="268">
        <v>112344.72</v>
      </c>
      <c r="H136" s="268">
        <v>112344.72</v>
      </c>
      <c r="I136" s="268">
        <v>112344.72</v>
      </c>
      <c r="J136" s="268">
        <v>112344.72</v>
      </c>
      <c r="K136" s="268">
        <v>112344.72</v>
      </c>
      <c r="L136" s="268">
        <v>112344.72</v>
      </c>
      <c r="M136" s="268">
        <v>112344.72</v>
      </c>
      <c r="N136" s="268">
        <v>112344.72</v>
      </c>
      <c r="O136" s="268">
        <v>112344.72</v>
      </c>
      <c r="P136" s="268">
        <v>112344.72</v>
      </c>
      <c r="Q136" s="268">
        <v>112344.72</v>
      </c>
      <c r="R136" s="268">
        <v>112344.72</v>
      </c>
      <c r="S136" s="268">
        <v>112344.72</v>
      </c>
      <c r="T136" s="268">
        <v>112344.72</v>
      </c>
      <c r="U136" s="268">
        <v>112344.72</v>
      </c>
      <c r="V136" s="268">
        <v>112344.72</v>
      </c>
      <c r="W136" s="268">
        <v>112344.72</v>
      </c>
      <c r="X136" s="268">
        <v>112344.72</v>
      </c>
      <c r="Y136" s="268">
        <v>112344.72</v>
      </c>
      <c r="Z136" s="268">
        <v>112344.72</v>
      </c>
      <c r="AA136" s="268">
        <v>112344.72</v>
      </c>
      <c r="AB136" s="268">
        <v>112344.72</v>
      </c>
      <c r="AC136" s="268">
        <v>112344.72</v>
      </c>
      <c r="AD136" s="268">
        <v>112344.72</v>
      </c>
      <c r="AE136" s="268"/>
      <c r="AF136" s="269"/>
      <c r="AG136" s="254">
        <f t="shared" si="5"/>
        <v>112344.72</v>
      </c>
      <c r="AH136" s="44">
        <v>112344.72</v>
      </c>
    </row>
    <row r="137" spans="1:34" x14ac:dyDescent="0.35">
      <c r="A137" s="30" t="s">
        <v>275</v>
      </c>
      <c r="B137" s="270">
        <v>106250.8</v>
      </c>
      <c r="C137" s="271">
        <v>106250.8</v>
      </c>
      <c r="D137" s="271">
        <v>106250.8</v>
      </c>
      <c r="E137" s="271">
        <v>106250.8</v>
      </c>
      <c r="F137" s="271">
        <v>106250.8</v>
      </c>
      <c r="G137" s="271">
        <v>106250.8</v>
      </c>
      <c r="H137" s="271">
        <v>106250.8</v>
      </c>
      <c r="I137" s="271">
        <v>106250.8</v>
      </c>
      <c r="J137" s="271">
        <v>106250.8</v>
      </c>
      <c r="K137" s="271">
        <v>106250.8</v>
      </c>
      <c r="L137" s="271">
        <v>106250.8</v>
      </c>
      <c r="M137" s="271">
        <v>106250.8</v>
      </c>
      <c r="N137" s="271">
        <v>106250.8</v>
      </c>
      <c r="O137" s="271">
        <v>106250.8</v>
      </c>
      <c r="P137" s="271">
        <v>106250.8</v>
      </c>
      <c r="Q137" s="271">
        <v>106250.8</v>
      </c>
      <c r="R137" s="271">
        <v>106250.8</v>
      </c>
      <c r="S137" s="271">
        <v>106250.8</v>
      </c>
      <c r="T137" s="271">
        <v>106250.8</v>
      </c>
      <c r="U137" s="271">
        <v>106250.8</v>
      </c>
      <c r="V137" s="271">
        <v>106250.8</v>
      </c>
      <c r="W137" s="271">
        <v>106250.8</v>
      </c>
      <c r="X137" s="271">
        <v>106250.8</v>
      </c>
      <c r="Y137" s="271">
        <v>106250.8</v>
      </c>
      <c r="Z137" s="271">
        <v>106250.8</v>
      </c>
      <c r="AA137" s="271">
        <v>106250.8</v>
      </c>
      <c r="AB137" s="271">
        <v>106250.8</v>
      </c>
      <c r="AC137" s="271">
        <v>106250.8</v>
      </c>
      <c r="AD137" s="271">
        <v>106250.8</v>
      </c>
      <c r="AE137" s="271"/>
      <c r="AF137" s="272"/>
      <c r="AG137" s="257">
        <f t="shared" si="5"/>
        <v>106250.8</v>
      </c>
      <c r="AH137" s="44">
        <v>106250.8</v>
      </c>
    </row>
    <row r="138" spans="1:34" x14ac:dyDescent="0.35">
      <c r="A138" s="30" t="s">
        <v>276</v>
      </c>
      <c r="B138" s="270">
        <v>440284</v>
      </c>
      <c r="C138" s="271">
        <v>440284</v>
      </c>
      <c r="D138" s="271">
        <v>440284</v>
      </c>
      <c r="E138" s="271">
        <v>440284</v>
      </c>
      <c r="F138" s="271">
        <v>440284</v>
      </c>
      <c r="G138" s="271">
        <v>440284</v>
      </c>
      <c r="H138" s="271">
        <v>440284</v>
      </c>
      <c r="I138" s="271">
        <v>440284</v>
      </c>
      <c r="J138" s="271">
        <v>440284</v>
      </c>
      <c r="K138" s="271">
        <v>440284</v>
      </c>
      <c r="L138" s="271">
        <v>440284</v>
      </c>
      <c r="M138" s="271">
        <v>440284</v>
      </c>
      <c r="N138" s="271">
        <v>440284</v>
      </c>
      <c r="O138" s="271">
        <v>440284</v>
      </c>
      <c r="P138" s="271">
        <v>440284</v>
      </c>
      <c r="Q138" s="271">
        <v>440284</v>
      </c>
      <c r="R138" s="271">
        <v>440284</v>
      </c>
      <c r="S138" s="271">
        <v>440284</v>
      </c>
      <c r="T138" s="271">
        <v>440284</v>
      </c>
      <c r="U138" s="271">
        <v>440284</v>
      </c>
      <c r="V138" s="271">
        <v>440284</v>
      </c>
      <c r="W138" s="271">
        <v>440284</v>
      </c>
      <c r="X138" s="271">
        <v>440284</v>
      </c>
      <c r="Y138" s="271">
        <v>440284</v>
      </c>
      <c r="Z138" s="271">
        <v>440284</v>
      </c>
      <c r="AA138" s="271">
        <v>440284</v>
      </c>
      <c r="AB138" s="271">
        <v>440284</v>
      </c>
      <c r="AC138" s="271">
        <v>440284</v>
      </c>
      <c r="AD138" s="271">
        <v>440284</v>
      </c>
      <c r="AE138" s="271"/>
      <c r="AF138" s="272"/>
      <c r="AG138" s="257">
        <f t="shared" si="5"/>
        <v>440284</v>
      </c>
      <c r="AH138" s="44">
        <v>440284</v>
      </c>
    </row>
    <row r="139" spans="1:34" x14ac:dyDescent="0.35">
      <c r="A139" s="30" t="s">
        <v>277</v>
      </c>
      <c r="B139" s="270">
        <v>439431.32</v>
      </c>
      <c r="C139" s="271">
        <v>439431.32</v>
      </c>
      <c r="D139" s="271">
        <v>439431.32</v>
      </c>
      <c r="E139" s="271">
        <v>439431.32</v>
      </c>
      <c r="F139" s="271">
        <v>439431.32</v>
      </c>
      <c r="G139" s="271">
        <v>439431.32</v>
      </c>
      <c r="H139" s="271">
        <v>439431.32</v>
      </c>
      <c r="I139" s="271">
        <v>439431.32</v>
      </c>
      <c r="J139" s="271">
        <v>439431.32</v>
      </c>
      <c r="K139" s="271">
        <v>439431.32</v>
      </c>
      <c r="L139" s="271">
        <v>439431.32</v>
      </c>
      <c r="M139" s="271">
        <v>439431.32</v>
      </c>
      <c r="N139" s="271">
        <v>439431.32</v>
      </c>
      <c r="O139" s="271">
        <v>439431.32</v>
      </c>
      <c r="P139" s="271">
        <v>439431.32</v>
      </c>
      <c r="Q139" s="271">
        <v>439431.32</v>
      </c>
      <c r="R139" s="271">
        <v>439431.32</v>
      </c>
      <c r="S139" s="271">
        <v>439431.32</v>
      </c>
      <c r="T139" s="271">
        <v>439431.32</v>
      </c>
      <c r="U139" s="271">
        <v>439431.32</v>
      </c>
      <c r="V139" s="271">
        <v>439431.32</v>
      </c>
      <c r="W139" s="271">
        <v>439431.32</v>
      </c>
      <c r="X139" s="271">
        <v>439431.32</v>
      </c>
      <c r="Y139" s="271">
        <v>439431.32</v>
      </c>
      <c r="Z139" s="271">
        <v>439431.32</v>
      </c>
      <c r="AA139" s="271">
        <v>439431.32</v>
      </c>
      <c r="AB139" s="271">
        <v>439431.32</v>
      </c>
      <c r="AC139" s="271">
        <v>439431.32</v>
      </c>
      <c r="AD139" s="271">
        <v>439431.32</v>
      </c>
      <c r="AE139" s="271"/>
      <c r="AF139" s="272"/>
      <c r="AG139" s="257">
        <f t="shared" si="5"/>
        <v>439431.32</v>
      </c>
      <c r="AH139" s="44">
        <v>439431.32</v>
      </c>
    </row>
    <row r="140" spans="1:34" x14ac:dyDescent="0.35">
      <c r="A140" s="30" t="s">
        <v>278</v>
      </c>
      <c r="B140" s="270">
        <v>413696</v>
      </c>
      <c r="C140" s="271">
        <v>413696</v>
      </c>
      <c r="D140" s="271">
        <v>413696</v>
      </c>
      <c r="E140" s="271">
        <v>413696</v>
      </c>
      <c r="F140" s="271">
        <v>413696</v>
      </c>
      <c r="G140" s="271">
        <v>413696</v>
      </c>
      <c r="H140" s="271">
        <v>413696</v>
      </c>
      <c r="I140" s="271">
        <v>413696</v>
      </c>
      <c r="J140" s="271">
        <v>413696</v>
      </c>
      <c r="K140" s="271">
        <v>413696</v>
      </c>
      <c r="L140" s="271">
        <v>413696</v>
      </c>
      <c r="M140" s="271">
        <v>413696</v>
      </c>
      <c r="N140" s="271">
        <v>413696</v>
      </c>
      <c r="O140" s="271">
        <v>413696</v>
      </c>
      <c r="P140" s="271">
        <v>413696</v>
      </c>
      <c r="Q140" s="271">
        <v>413696</v>
      </c>
      <c r="R140" s="271">
        <v>413696</v>
      </c>
      <c r="S140" s="271">
        <v>413696</v>
      </c>
      <c r="T140" s="271">
        <v>413696</v>
      </c>
      <c r="U140" s="271">
        <v>413696</v>
      </c>
      <c r="V140" s="271">
        <v>413696</v>
      </c>
      <c r="W140" s="271">
        <v>413696</v>
      </c>
      <c r="X140" s="271">
        <v>413696</v>
      </c>
      <c r="Y140" s="271">
        <v>413696</v>
      </c>
      <c r="Z140" s="271">
        <v>413696</v>
      </c>
      <c r="AA140" s="271">
        <v>413696</v>
      </c>
      <c r="AB140" s="271">
        <v>413696</v>
      </c>
      <c r="AC140" s="271">
        <v>413696</v>
      </c>
      <c r="AD140" s="271">
        <v>413696</v>
      </c>
      <c r="AE140" s="271"/>
      <c r="AF140" s="272"/>
      <c r="AG140" s="257">
        <f t="shared" si="5"/>
        <v>413696</v>
      </c>
      <c r="AH140" s="44">
        <v>413696</v>
      </c>
    </row>
    <row r="141" spans="1:34" x14ac:dyDescent="0.35">
      <c r="A141" s="30" t="s">
        <v>279</v>
      </c>
      <c r="B141" s="270">
        <v>427433.6</v>
      </c>
      <c r="C141" s="271">
        <v>427433.6</v>
      </c>
      <c r="D141" s="271">
        <v>427433.6</v>
      </c>
      <c r="E141" s="271">
        <v>427433.6</v>
      </c>
      <c r="F141" s="271">
        <v>427433.6</v>
      </c>
      <c r="G141" s="271">
        <v>427433.6</v>
      </c>
      <c r="H141" s="271">
        <v>427433.6</v>
      </c>
      <c r="I141" s="271">
        <v>427433.6</v>
      </c>
      <c r="J141" s="271">
        <v>427433.6</v>
      </c>
      <c r="K141" s="271">
        <v>427433.6</v>
      </c>
      <c r="L141" s="271">
        <v>427433.6</v>
      </c>
      <c r="M141" s="271">
        <v>427433.6</v>
      </c>
      <c r="N141" s="271">
        <v>427433.6</v>
      </c>
      <c r="O141" s="271">
        <v>427433.6</v>
      </c>
      <c r="P141" s="271">
        <v>427433.6</v>
      </c>
      <c r="Q141" s="271">
        <v>427433.6</v>
      </c>
      <c r="R141" s="271">
        <v>427433.6</v>
      </c>
      <c r="S141" s="271">
        <v>427433.6</v>
      </c>
      <c r="T141" s="271">
        <v>427433.6</v>
      </c>
      <c r="U141" s="271">
        <v>427433.6</v>
      </c>
      <c r="V141" s="271">
        <v>427433.6</v>
      </c>
      <c r="W141" s="271">
        <v>427433.6</v>
      </c>
      <c r="X141" s="271">
        <v>427433.6</v>
      </c>
      <c r="Y141" s="271">
        <v>427433.6</v>
      </c>
      <c r="Z141" s="271">
        <v>427433.6</v>
      </c>
      <c r="AA141" s="271">
        <v>427433.6</v>
      </c>
      <c r="AB141" s="271">
        <v>427433.6</v>
      </c>
      <c r="AC141" s="271">
        <v>427433.6</v>
      </c>
      <c r="AD141" s="271">
        <v>427433.6</v>
      </c>
      <c r="AE141" s="271"/>
      <c r="AF141" s="272"/>
      <c r="AG141" s="257">
        <f t="shared" si="5"/>
        <v>427433.6</v>
      </c>
      <c r="AH141" s="44">
        <v>427433.6</v>
      </c>
    </row>
    <row r="142" spans="1:34" x14ac:dyDescent="0.35">
      <c r="A142" s="30" t="s">
        <v>280</v>
      </c>
      <c r="B142" s="270">
        <v>417240</v>
      </c>
      <c r="C142" s="271">
        <v>417240</v>
      </c>
      <c r="D142" s="271">
        <v>417240</v>
      </c>
      <c r="E142" s="271">
        <v>417240</v>
      </c>
      <c r="F142" s="271">
        <v>417240</v>
      </c>
      <c r="G142" s="271">
        <v>417240</v>
      </c>
      <c r="H142" s="271">
        <v>417240</v>
      </c>
      <c r="I142" s="271">
        <v>417240</v>
      </c>
      <c r="J142" s="271">
        <v>417240</v>
      </c>
      <c r="K142" s="271">
        <v>417240</v>
      </c>
      <c r="L142" s="271">
        <v>417240</v>
      </c>
      <c r="M142" s="271">
        <v>417240</v>
      </c>
      <c r="N142" s="271">
        <v>417240</v>
      </c>
      <c r="O142" s="271">
        <v>417240</v>
      </c>
      <c r="P142" s="271">
        <v>417240</v>
      </c>
      <c r="Q142" s="271">
        <v>417240</v>
      </c>
      <c r="R142" s="271">
        <v>417240</v>
      </c>
      <c r="S142" s="271">
        <v>417240</v>
      </c>
      <c r="T142" s="271">
        <v>417240</v>
      </c>
      <c r="U142" s="271">
        <v>417240</v>
      </c>
      <c r="V142" s="271">
        <v>417240</v>
      </c>
      <c r="W142" s="271">
        <v>417240</v>
      </c>
      <c r="X142" s="271">
        <v>417240</v>
      </c>
      <c r="Y142" s="271">
        <v>417240</v>
      </c>
      <c r="Z142" s="271">
        <v>417240</v>
      </c>
      <c r="AA142" s="271">
        <v>417240</v>
      </c>
      <c r="AB142" s="271">
        <v>417240</v>
      </c>
      <c r="AC142" s="271">
        <v>417240</v>
      </c>
      <c r="AD142" s="271">
        <v>417240</v>
      </c>
      <c r="AE142" s="271"/>
      <c r="AF142" s="272"/>
      <c r="AG142" s="257">
        <f t="shared" si="5"/>
        <v>417240</v>
      </c>
      <c r="AH142" s="44">
        <v>417240</v>
      </c>
    </row>
    <row r="143" spans="1:34" x14ac:dyDescent="0.35">
      <c r="A143" s="30" t="s">
        <v>281</v>
      </c>
      <c r="B143" s="270">
        <v>415256</v>
      </c>
      <c r="C143" s="271">
        <v>415256</v>
      </c>
      <c r="D143" s="271">
        <v>415256</v>
      </c>
      <c r="E143" s="271">
        <v>415256</v>
      </c>
      <c r="F143" s="271">
        <v>415256</v>
      </c>
      <c r="G143" s="271">
        <v>415256</v>
      </c>
      <c r="H143" s="271">
        <v>415256</v>
      </c>
      <c r="I143" s="271">
        <v>415256</v>
      </c>
      <c r="J143" s="271">
        <v>415256</v>
      </c>
      <c r="K143" s="271">
        <v>415256</v>
      </c>
      <c r="L143" s="271">
        <v>415256</v>
      </c>
      <c r="M143" s="271">
        <v>415256</v>
      </c>
      <c r="N143" s="271">
        <v>415256</v>
      </c>
      <c r="O143" s="271">
        <v>415256</v>
      </c>
      <c r="P143" s="271">
        <v>415256</v>
      </c>
      <c r="Q143" s="271">
        <v>415256</v>
      </c>
      <c r="R143" s="271">
        <v>415256</v>
      </c>
      <c r="S143" s="271">
        <v>415256</v>
      </c>
      <c r="T143" s="271">
        <v>415256</v>
      </c>
      <c r="U143" s="271">
        <v>415256</v>
      </c>
      <c r="V143" s="271">
        <v>415256</v>
      </c>
      <c r="W143" s="271">
        <v>415256</v>
      </c>
      <c r="X143" s="271">
        <v>415256</v>
      </c>
      <c r="Y143" s="271">
        <v>415256</v>
      </c>
      <c r="Z143" s="271">
        <v>415256</v>
      </c>
      <c r="AA143" s="271">
        <v>415256</v>
      </c>
      <c r="AB143" s="271">
        <v>415256</v>
      </c>
      <c r="AC143" s="271">
        <v>415256</v>
      </c>
      <c r="AD143" s="271">
        <v>415256</v>
      </c>
      <c r="AE143" s="271"/>
      <c r="AF143" s="272"/>
      <c r="AG143" s="257">
        <f t="shared" si="5"/>
        <v>415256</v>
      </c>
      <c r="AH143" s="44">
        <v>415256</v>
      </c>
    </row>
    <row r="144" spans="1:34" x14ac:dyDescent="0.35">
      <c r="A144" s="30" t="s">
        <v>282</v>
      </c>
      <c r="B144" s="270">
        <v>398196.04</v>
      </c>
      <c r="C144" s="271">
        <v>398196.04</v>
      </c>
      <c r="D144" s="271">
        <v>398196.04</v>
      </c>
      <c r="E144" s="271">
        <v>398196.04</v>
      </c>
      <c r="F144" s="271">
        <v>398196.04</v>
      </c>
      <c r="G144" s="271">
        <v>398196.04</v>
      </c>
      <c r="H144" s="271">
        <v>398196.04</v>
      </c>
      <c r="I144" s="271">
        <v>398196.04</v>
      </c>
      <c r="J144" s="271">
        <v>398196.04</v>
      </c>
      <c r="K144" s="271">
        <v>398196.04</v>
      </c>
      <c r="L144" s="271">
        <v>398196.04</v>
      </c>
      <c r="M144" s="271">
        <v>398196.04</v>
      </c>
      <c r="N144" s="271">
        <v>398196.04</v>
      </c>
      <c r="O144" s="271">
        <v>398196.04</v>
      </c>
      <c r="P144" s="271">
        <v>398196.04</v>
      </c>
      <c r="Q144" s="271">
        <v>398196.04</v>
      </c>
      <c r="R144" s="271">
        <v>398196.04</v>
      </c>
      <c r="S144" s="271">
        <v>398196.04</v>
      </c>
      <c r="T144" s="271">
        <v>398196.04</v>
      </c>
      <c r="U144" s="271">
        <v>398196.04</v>
      </c>
      <c r="V144" s="271">
        <v>398196.04</v>
      </c>
      <c r="W144" s="271">
        <v>398196.04</v>
      </c>
      <c r="X144" s="271">
        <v>398196.04</v>
      </c>
      <c r="Y144" s="271">
        <v>398196.04</v>
      </c>
      <c r="Z144" s="271">
        <v>398196.04</v>
      </c>
      <c r="AA144" s="271">
        <v>398196.04</v>
      </c>
      <c r="AB144" s="271">
        <v>398196.04</v>
      </c>
      <c r="AC144" s="271">
        <v>398196.04</v>
      </c>
      <c r="AD144" s="271">
        <v>398196.04</v>
      </c>
      <c r="AE144" s="271"/>
      <c r="AF144" s="272"/>
      <c r="AG144" s="257">
        <f t="shared" si="5"/>
        <v>398196.04</v>
      </c>
      <c r="AH144" s="44">
        <v>398196.04</v>
      </c>
    </row>
    <row r="145" spans="1:34" x14ac:dyDescent="0.35">
      <c r="A145" s="30" t="s">
        <v>283</v>
      </c>
      <c r="B145" s="270">
        <v>433469</v>
      </c>
      <c r="C145" s="271">
        <v>433469</v>
      </c>
      <c r="D145" s="271">
        <v>433469</v>
      </c>
      <c r="E145" s="271">
        <v>433469</v>
      </c>
      <c r="F145" s="271">
        <v>433469</v>
      </c>
      <c r="G145" s="271">
        <v>433469</v>
      </c>
      <c r="H145" s="271">
        <v>433469</v>
      </c>
      <c r="I145" s="271">
        <v>433469</v>
      </c>
      <c r="J145" s="271">
        <v>433469</v>
      </c>
      <c r="K145" s="271">
        <v>433469</v>
      </c>
      <c r="L145" s="271">
        <v>433469</v>
      </c>
      <c r="M145" s="271">
        <v>433469</v>
      </c>
      <c r="N145" s="271">
        <v>433469</v>
      </c>
      <c r="O145" s="271">
        <v>433469</v>
      </c>
      <c r="P145" s="271">
        <v>433469</v>
      </c>
      <c r="Q145" s="271">
        <v>433469</v>
      </c>
      <c r="R145" s="271">
        <v>433469</v>
      </c>
      <c r="S145" s="271">
        <v>433469</v>
      </c>
      <c r="T145" s="271">
        <v>433469</v>
      </c>
      <c r="U145" s="271">
        <v>433469</v>
      </c>
      <c r="V145" s="271">
        <v>433469</v>
      </c>
      <c r="W145" s="271">
        <v>433469</v>
      </c>
      <c r="X145" s="271">
        <v>433469</v>
      </c>
      <c r="Y145" s="271">
        <v>433469</v>
      </c>
      <c r="Z145" s="271">
        <v>433469</v>
      </c>
      <c r="AA145" s="271">
        <v>433469</v>
      </c>
      <c r="AB145" s="271">
        <v>433469</v>
      </c>
      <c r="AC145" s="271">
        <v>433469</v>
      </c>
      <c r="AD145" s="271">
        <v>433469</v>
      </c>
      <c r="AE145" s="271"/>
      <c r="AF145" s="272"/>
      <c r="AG145" s="257">
        <f t="shared" si="5"/>
        <v>433469</v>
      </c>
      <c r="AH145" s="44">
        <v>433469</v>
      </c>
    </row>
    <row r="146" spans="1:34" x14ac:dyDescent="0.35">
      <c r="A146" s="30" t="s">
        <v>284</v>
      </c>
      <c r="B146" s="270">
        <v>416804</v>
      </c>
      <c r="C146" s="271">
        <v>416804</v>
      </c>
      <c r="D146" s="271">
        <v>416804</v>
      </c>
      <c r="E146" s="271">
        <v>416804</v>
      </c>
      <c r="F146" s="271">
        <v>416804</v>
      </c>
      <c r="G146" s="271">
        <v>416804</v>
      </c>
      <c r="H146" s="271">
        <v>416804</v>
      </c>
      <c r="I146" s="271">
        <v>416804</v>
      </c>
      <c r="J146" s="271">
        <v>416804</v>
      </c>
      <c r="K146" s="271">
        <v>416804</v>
      </c>
      <c r="L146" s="271">
        <v>416804</v>
      </c>
      <c r="M146" s="271">
        <v>416804</v>
      </c>
      <c r="N146" s="271">
        <v>416804</v>
      </c>
      <c r="O146" s="271">
        <v>416804</v>
      </c>
      <c r="P146" s="271">
        <v>416804</v>
      </c>
      <c r="Q146" s="271">
        <v>416804</v>
      </c>
      <c r="R146" s="271">
        <v>416804</v>
      </c>
      <c r="S146" s="271">
        <v>416804</v>
      </c>
      <c r="T146" s="271">
        <v>416804</v>
      </c>
      <c r="U146" s="271">
        <v>416804</v>
      </c>
      <c r="V146" s="271">
        <v>416804</v>
      </c>
      <c r="W146" s="271">
        <v>416804</v>
      </c>
      <c r="X146" s="271">
        <v>416804</v>
      </c>
      <c r="Y146" s="271">
        <v>416804</v>
      </c>
      <c r="Z146" s="271">
        <v>416804</v>
      </c>
      <c r="AA146" s="271">
        <v>416804</v>
      </c>
      <c r="AB146" s="271">
        <v>416804</v>
      </c>
      <c r="AC146" s="271">
        <v>416804</v>
      </c>
      <c r="AD146" s="271">
        <v>416804</v>
      </c>
      <c r="AE146" s="271"/>
      <c r="AF146" s="272"/>
      <c r="AG146" s="257">
        <f t="shared" si="5"/>
        <v>416804</v>
      </c>
      <c r="AH146" s="44">
        <v>416804</v>
      </c>
    </row>
    <row r="147" spans="1:34" x14ac:dyDescent="0.35">
      <c r="A147" s="30" t="s">
        <v>286</v>
      </c>
      <c r="B147" s="270">
        <v>407088</v>
      </c>
      <c r="C147" s="271">
        <v>407088</v>
      </c>
      <c r="D147" s="271">
        <v>407088</v>
      </c>
      <c r="E147" s="271">
        <v>407088</v>
      </c>
      <c r="F147" s="271">
        <v>407088</v>
      </c>
      <c r="G147" s="271">
        <v>407088</v>
      </c>
      <c r="H147" s="271">
        <v>407088</v>
      </c>
      <c r="I147" s="271">
        <v>407088</v>
      </c>
      <c r="J147" s="271">
        <v>407088</v>
      </c>
      <c r="K147" s="271">
        <v>407088</v>
      </c>
      <c r="L147" s="271">
        <v>407088</v>
      </c>
      <c r="M147" s="271">
        <v>407088</v>
      </c>
      <c r="N147" s="271">
        <v>407088</v>
      </c>
      <c r="O147" s="271">
        <v>407088</v>
      </c>
      <c r="P147" s="271">
        <v>407088</v>
      </c>
      <c r="Q147" s="271">
        <v>407088</v>
      </c>
      <c r="R147" s="271">
        <v>407088</v>
      </c>
      <c r="S147" s="271">
        <v>407088</v>
      </c>
      <c r="T147" s="271">
        <v>407088</v>
      </c>
      <c r="U147" s="271">
        <v>407088</v>
      </c>
      <c r="V147" s="271">
        <v>407088</v>
      </c>
      <c r="W147" s="271">
        <v>407088</v>
      </c>
      <c r="X147" s="271">
        <v>407088</v>
      </c>
      <c r="Y147" s="271">
        <v>407088</v>
      </c>
      <c r="Z147" s="271">
        <v>407088</v>
      </c>
      <c r="AA147" s="271">
        <v>407088</v>
      </c>
      <c r="AB147" s="271">
        <v>407088</v>
      </c>
      <c r="AC147" s="271">
        <v>407088</v>
      </c>
      <c r="AD147" s="271">
        <v>407088</v>
      </c>
      <c r="AE147" s="271"/>
      <c r="AF147" s="272"/>
      <c r="AG147" s="257">
        <f t="shared" si="5"/>
        <v>407088</v>
      </c>
      <c r="AH147" s="44">
        <v>407088</v>
      </c>
    </row>
    <row r="148" spans="1:34" x14ac:dyDescent="0.35">
      <c r="A148" s="30" t="s">
        <v>287</v>
      </c>
      <c r="B148" s="270">
        <v>415152</v>
      </c>
      <c r="C148" s="271">
        <v>415152</v>
      </c>
      <c r="D148" s="271">
        <v>415152</v>
      </c>
      <c r="E148" s="271">
        <v>415152</v>
      </c>
      <c r="F148" s="271">
        <v>415152</v>
      </c>
      <c r="G148" s="271">
        <v>415152</v>
      </c>
      <c r="H148" s="271">
        <v>415152</v>
      </c>
      <c r="I148" s="271">
        <v>415152</v>
      </c>
      <c r="J148" s="271">
        <v>415152</v>
      </c>
      <c r="K148" s="271">
        <v>415152</v>
      </c>
      <c r="L148" s="271">
        <v>415152</v>
      </c>
      <c r="M148" s="271">
        <v>415152</v>
      </c>
      <c r="N148" s="271">
        <v>415152</v>
      </c>
      <c r="O148" s="271">
        <v>415152</v>
      </c>
      <c r="P148" s="271">
        <v>415152</v>
      </c>
      <c r="Q148" s="271">
        <v>415152</v>
      </c>
      <c r="R148" s="271">
        <v>415152</v>
      </c>
      <c r="S148" s="271">
        <v>415152</v>
      </c>
      <c r="T148" s="271">
        <v>415152</v>
      </c>
      <c r="U148" s="271">
        <v>415152</v>
      </c>
      <c r="V148" s="271">
        <v>415152</v>
      </c>
      <c r="W148" s="271">
        <v>415152</v>
      </c>
      <c r="X148" s="271">
        <v>415152</v>
      </c>
      <c r="Y148" s="271">
        <v>415152</v>
      </c>
      <c r="Z148" s="271">
        <v>415152</v>
      </c>
      <c r="AA148" s="271">
        <v>415152</v>
      </c>
      <c r="AB148" s="271">
        <v>415152</v>
      </c>
      <c r="AC148" s="271">
        <v>415152</v>
      </c>
      <c r="AD148" s="271">
        <v>415152</v>
      </c>
      <c r="AE148" s="271"/>
      <c r="AF148" s="272"/>
      <c r="AG148" s="257">
        <f t="shared" si="5"/>
        <v>415152</v>
      </c>
      <c r="AH148" s="44">
        <v>415152</v>
      </c>
    </row>
    <row r="149" spans="1:34" x14ac:dyDescent="0.35">
      <c r="A149" s="30" t="s">
        <v>288</v>
      </c>
      <c r="B149" s="270">
        <v>410628</v>
      </c>
      <c r="C149" s="271">
        <v>410628</v>
      </c>
      <c r="D149" s="271">
        <v>410628</v>
      </c>
      <c r="E149" s="271">
        <v>410628</v>
      </c>
      <c r="F149" s="271">
        <v>410628</v>
      </c>
      <c r="G149" s="271">
        <v>410628</v>
      </c>
      <c r="H149" s="271">
        <v>410628</v>
      </c>
      <c r="I149" s="271">
        <v>410628</v>
      </c>
      <c r="J149" s="271">
        <v>410628</v>
      </c>
      <c r="K149" s="271">
        <v>410628</v>
      </c>
      <c r="L149" s="271">
        <v>410628</v>
      </c>
      <c r="M149" s="271">
        <v>410628</v>
      </c>
      <c r="N149" s="271">
        <v>410628</v>
      </c>
      <c r="O149" s="271">
        <v>410628</v>
      </c>
      <c r="P149" s="271">
        <v>410628</v>
      </c>
      <c r="Q149" s="271">
        <v>410628</v>
      </c>
      <c r="R149" s="271">
        <v>410628</v>
      </c>
      <c r="S149" s="271">
        <v>410628</v>
      </c>
      <c r="T149" s="271">
        <v>410628</v>
      </c>
      <c r="U149" s="271">
        <v>410628</v>
      </c>
      <c r="V149" s="271">
        <v>410628</v>
      </c>
      <c r="W149" s="271">
        <v>410628</v>
      </c>
      <c r="X149" s="271">
        <v>410628</v>
      </c>
      <c r="Y149" s="271">
        <v>410628</v>
      </c>
      <c r="Z149" s="271">
        <v>410628</v>
      </c>
      <c r="AA149" s="271">
        <v>410628</v>
      </c>
      <c r="AB149" s="271">
        <v>410628</v>
      </c>
      <c r="AC149" s="271">
        <v>410628</v>
      </c>
      <c r="AD149" s="271">
        <v>410628</v>
      </c>
      <c r="AE149" s="271"/>
      <c r="AF149" s="272"/>
      <c r="AG149" s="257">
        <f t="shared" si="5"/>
        <v>410628</v>
      </c>
      <c r="AH149" s="44">
        <v>410628</v>
      </c>
    </row>
    <row r="150" spans="1:34" x14ac:dyDescent="0.35">
      <c r="A150" s="30" t="s">
        <v>289</v>
      </c>
      <c r="B150" s="270">
        <v>430174.36</v>
      </c>
      <c r="C150" s="271">
        <v>430174.36</v>
      </c>
      <c r="D150" s="271">
        <v>430174.36</v>
      </c>
      <c r="E150" s="271">
        <v>430174.36</v>
      </c>
      <c r="F150" s="271">
        <v>430174.36</v>
      </c>
      <c r="G150" s="271">
        <v>430174.36</v>
      </c>
      <c r="H150" s="271">
        <v>430174.36</v>
      </c>
      <c r="I150" s="271">
        <v>430174.36</v>
      </c>
      <c r="J150" s="271">
        <v>430174.36</v>
      </c>
      <c r="K150" s="271">
        <v>430174.36</v>
      </c>
      <c r="L150" s="271">
        <v>430174.36</v>
      </c>
      <c r="M150" s="271">
        <v>430174.36</v>
      </c>
      <c r="N150" s="271">
        <v>430174.36</v>
      </c>
      <c r="O150" s="271">
        <v>430174.36</v>
      </c>
      <c r="P150" s="271">
        <v>430174.36</v>
      </c>
      <c r="Q150" s="271">
        <v>430174.36</v>
      </c>
      <c r="R150" s="271">
        <v>430174.36</v>
      </c>
      <c r="S150" s="271">
        <v>430174.36</v>
      </c>
      <c r="T150" s="271">
        <v>430174.36</v>
      </c>
      <c r="U150" s="271">
        <v>430174.36</v>
      </c>
      <c r="V150" s="271">
        <v>430174.36</v>
      </c>
      <c r="W150" s="271">
        <v>430174.36</v>
      </c>
      <c r="X150" s="271">
        <v>430174.36</v>
      </c>
      <c r="Y150" s="271">
        <v>430174.36</v>
      </c>
      <c r="Z150" s="271">
        <v>430174.36</v>
      </c>
      <c r="AA150" s="271">
        <v>430174.36</v>
      </c>
      <c r="AB150" s="271">
        <v>430174.36</v>
      </c>
      <c r="AC150" s="271">
        <v>430174.36</v>
      </c>
      <c r="AD150" s="271">
        <v>430174.36</v>
      </c>
      <c r="AE150" s="271"/>
      <c r="AF150" s="272"/>
      <c r="AG150" s="257">
        <f t="shared" si="5"/>
        <v>430174.36</v>
      </c>
      <c r="AH150" s="44">
        <v>430174.36</v>
      </c>
    </row>
    <row r="151" spans="1:34" x14ac:dyDescent="0.35">
      <c r="A151" s="30" t="s">
        <v>290</v>
      </c>
      <c r="B151" s="270">
        <v>410516</v>
      </c>
      <c r="C151" s="271">
        <v>410516</v>
      </c>
      <c r="D151" s="271">
        <v>410516</v>
      </c>
      <c r="E151" s="271">
        <v>410516</v>
      </c>
      <c r="F151" s="271">
        <v>410516</v>
      </c>
      <c r="G151" s="271">
        <v>410516</v>
      </c>
      <c r="H151" s="271">
        <v>410516</v>
      </c>
      <c r="I151" s="271">
        <v>410516</v>
      </c>
      <c r="J151" s="271">
        <v>410516</v>
      </c>
      <c r="K151" s="271">
        <v>410516</v>
      </c>
      <c r="L151" s="271">
        <v>410516</v>
      </c>
      <c r="M151" s="271">
        <v>410516</v>
      </c>
      <c r="N151" s="271">
        <v>410516</v>
      </c>
      <c r="O151" s="271">
        <v>410516</v>
      </c>
      <c r="P151" s="271">
        <v>410516</v>
      </c>
      <c r="Q151" s="271">
        <v>410516</v>
      </c>
      <c r="R151" s="271">
        <v>410516</v>
      </c>
      <c r="S151" s="271">
        <v>410516</v>
      </c>
      <c r="T151" s="271">
        <v>410516</v>
      </c>
      <c r="U151" s="271">
        <v>410516</v>
      </c>
      <c r="V151" s="271">
        <v>410516</v>
      </c>
      <c r="W151" s="271">
        <v>410516</v>
      </c>
      <c r="X151" s="271">
        <v>410516</v>
      </c>
      <c r="Y151" s="271">
        <v>410516</v>
      </c>
      <c r="Z151" s="271">
        <v>410516</v>
      </c>
      <c r="AA151" s="271">
        <v>410516</v>
      </c>
      <c r="AB151" s="271">
        <v>410516</v>
      </c>
      <c r="AC151" s="271">
        <v>410516</v>
      </c>
      <c r="AD151" s="271">
        <v>410516</v>
      </c>
      <c r="AE151" s="271"/>
      <c r="AF151" s="272"/>
      <c r="AG151" s="257">
        <f t="shared" si="5"/>
        <v>410516</v>
      </c>
      <c r="AH151" s="44">
        <v>410516</v>
      </c>
    </row>
    <row r="152" spans="1:34" x14ac:dyDescent="0.35">
      <c r="A152" s="30" t="s">
        <v>291</v>
      </c>
      <c r="B152" s="270">
        <v>404897.6</v>
      </c>
      <c r="C152" s="271">
        <v>404897.6</v>
      </c>
      <c r="D152" s="271">
        <v>404897.6</v>
      </c>
      <c r="E152" s="271">
        <v>404897.6</v>
      </c>
      <c r="F152" s="271">
        <v>404897.6</v>
      </c>
      <c r="G152" s="271">
        <v>404897.6</v>
      </c>
      <c r="H152" s="271">
        <v>404897.6</v>
      </c>
      <c r="I152" s="271">
        <v>404897.6</v>
      </c>
      <c r="J152" s="271">
        <v>404897.6</v>
      </c>
      <c r="K152" s="271">
        <v>404897.6</v>
      </c>
      <c r="L152" s="271">
        <v>404897.6</v>
      </c>
      <c r="M152" s="271">
        <v>404897.6</v>
      </c>
      <c r="N152" s="271">
        <v>404897.6</v>
      </c>
      <c r="O152" s="271">
        <v>404897.6</v>
      </c>
      <c r="P152" s="271">
        <v>404897.6</v>
      </c>
      <c r="Q152" s="271">
        <v>404897.6</v>
      </c>
      <c r="R152" s="271">
        <v>404897.6</v>
      </c>
      <c r="S152" s="271">
        <v>404897.6</v>
      </c>
      <c r="T152" s="271">
        <v>404897.6</v>
      </c>
      <c r="U152" s="271">
        <v>404897.6</v>
      </c>
      <c r="V152" s="271">
        <v>404897.6</v>
      </c>
      <c r="W152" s="271">
        <v>404897.6</v>
      </c>
      <c r="X152" s="271">
        <v>404897.6</v>
      </c>
      <c r="Y152" s="271">
        <v>404897.6</v>
      </c>
      <c r="Z152" s="271">
        <v>404897.6</v>
      </c>
      <c r="AA152" s="271">
        <v>404897.6</v>
      </c>
      <c r="AB152" s="271">
        <v>404897.6</v>
      </c>
      <c r="AC152" s="271">
        <v>404897.6</v>
      </c>
      <c r="AD152" s="271">
        <v>404897.6</v>
      </c>
      <c r="AE152" s="271"/>
      <c r="AF152" s="272"/>
      <c r="AG152" s="257">
        <f t="shared" si="5"/>
        <v>404897.6</v>
      </c>
      <c r="AH152" s="44">
        <v>404897.6</v>
      </c>
    </row>
    <row r="153" spans="1:34" x14ac:dyDescent="0.35">
      <c r="A153" s="30" t="s">
        <v>292</v>
      </c>
      <c r="B153" s="270">
        <v>427666.8</v>
      </c>
      <c r="C153" s="271">
        <v>427666.8</v>
      </c>
      <c r="D153" s="271">
        <v>427666.8</v>
      </c>
      <c r="E153" s="271">
        <v>427666.8</v>
      </c>
      <c r="F153" s="271">
        <v>427666.8</v>
      </c>
      <c r="G153" s="271">
        <v>427666.8</v>
      </c>
      <c r="H153" s="271">
        <v>427666.8</v>
      </c>
      <c r="I153" s="271">
        <v>427666.8</v>
      </c>
      <c r="J153" s="271">
        <v>427666.8</v>
      </c>
      <c r="K153" s="271">
        <v>427666.8</v>
      </c>
      <c r="L153" s="271">
        <v>427666.8</v>
      </c>
      <c r="M153" s="271">
        <v>427666.8</v>
      </c>
      <c r="N153" s="271">
        <v>427666.8</v>
      </c>
      <c r="O153" s="271">
        <v>427666.8</v>
      </c>
      <c r="P153" s="271">
        <v>427666.8</v>
      </c>
      <c r="Q153" s="271">
        <v>427666.8</v>
      </c>
      <c r="R153" s="271">
        <v>427666.8</v>
      </c>
      <c r="S153" s="271">
        <v>427666.8</v>
      </c>
      <c r="T153" s="271">
        <v>427666.8</v>
      </c>
      <c r="U153" s="271">
        <v>427666.8</v>
      </c>
      <c r="V153" s="271">
        <v>427666.8</v>
      </c>
      <c r="W153" s="271">
        <v>427666.8</v>
      </c>
      <c r="X153" s="271">
        <v>427666.8</v>
      </c>
      <c r="Y153" s="271">
        <v>427666.8</v>
      </c>
      <c r="Z153" s="271">
        <v>427666.8</v>
      </c>
      <c r="AA153" s="271">
        <v>427666.8</v>
      </c>
      <c r="AB153" s="271">
        <v>427666.8</v>
      </c>
      <c r="AC153" s="271">
        <v>427666.8</v>
      </c>
      <c r="AD153" s="271">
        <v>427666.8</v>
      </c>
      <c r="AE153" s="271"/>
      <c r="AF153" s="272"/>
      <c r="AG153" s="257">
        <f t="shared" si="5"/>
        <v>427666.8</v>
      </c>
      <c r="AH153" s="44">
        <v>427666.8</v>
      </c>
    </row>
    <row r="154" spans="1:34" x14ac:dyDescent="0.35">
      <c r="A154" s="30" t="s">
        <v>293</v>
      </c>
      <c r="B154" s="270">
        <v>425478.95999999996</v>
      </c>
      <c r="C154" s="271">
        <v>425478.95999999996</v>
      </c>
      <c r="D154" s="271">
        <v>425478.95999999996</v>
      </c>
      <c r="E154" s="271">
        <v>425478.95999999996</v>
      </c>
      <c r="F154" s="271">
        <v>425478.95999999996</v>
      </c>
      <c r="G154" s="271">
        <v>425478.95999999996</v>
      </c>
      <c r="H154" s="271">
        <v>425478.95999999996</v>
      </c>
      <c r="I154" s="271">
        <v>425478.95999999996</v>
      </c>
      <c r="J154" s="271">
        <v>425478.95999999996</v>
      </c>
      <c r="K154" s="271">
        <v>425478.95999999996</v>
      </c>
      <c r="L154" s="271">
        <v>425478.95999999996</v>
      </c>
      <c r="M154" s="271">
        <v>425478.95999999996</v>
      </c>
      <c r="N154" s="271">
        <v>425478.95999999996</v>
      </c>
      <c r="O154" s="271">
        <v>425478.95999999996</v>
      </c>
      <c r="P154" s="271">
        <v>425478.95999999996</v>
      </c>
      <c r="Q154" s="271">
        <v>425478.95999999996</v>
      </c>
      <c r="R154" s="271">
        <v>425478.95999999996</v>
      </c>
      <c r="S154" s="271">
        <v>425478.95999999996</v>
      </c>
      <c r="T154" s="271">
        <v>425478.95999999996</v>
      </c>
      <c r="U154" s="271">
        <v>425478.95999999996</v>
      </c>
      <c r="V154" s="271">
        <v>425478.95999999996</v>
      </c>
      <c r="W154" s="271">
        <v>425478.95999999996</v>
      </c>
      <c r="X154" s="271">
        <v>425478.95999999996</v>
      </c>
      <c r="Y154" s="271">
        <v>425478.95999999996</v>
      </c>
      <c r="Z154" s="271">
        <v>425478.95999999996</v>
      </c>
      <c r="AA154" s="271">
        <v>425478.95999999996</v>
      </c>
      <c r="AB154" s="271">
        <v>425478.95999999996</v>
      </c>
      <c r="AC154" s="271">
        <v>425478.95999999996</v>
      </c>
      <c r="AD154" s="271">
        <v>425478.95999999996</v>
      </c>
      <c r="AE154" s="271"/>
      <c r="AF154" s="272"/>
      <c r="AG154" s="257">
        <f t="shared" si="5"/>
        <v>425478.95999999996</v>
      </c>
      <c r="AH154" s="44">
        <v>425478.96</v>
      </c>
    </row>
    <row r="155" spans="1:34" x14ac:dyDescent="0.35">
      <c r="A155" s="30" t="s">
        <v>294</v>
      </c>
      <c r="B155" s="270">
        <v>394108</v>
      </c>
      <c r="C155" s="271">
        <v>394108</v>
      </c>
      <c r="D155" s="271">
        <v>394108</v>
      </c>
      <c r="E155" s="271">
        <v>394108</v>
      </c>
      <c r="F155" s="271">
        <v>394108</v>
      </c>
      <c r="G155" s="271">
        <v>394108</v>
      </c>
      <c r="H155" s="271">
        <v>394108</v>
      </c>
      <c r="I155" s="271">
        <v>394108</v>
      </c>
      <c r="J155" s="271">
        <v>394108</v>
      </c>
      <c r="K155" s="271">
        <v>394108</v>
      </c>
      <c r="L155" s="271">
        <v>394108</v>
      </c>
      <c r="M155" s="271">
        <v>394108</v>
      </c>
      <c r="N155" s="271">
        <v>394108</v>
      </c>
      <c r="O155" s="271">
        <v>394108</v>
      </c>
      <c r="P155" s="271">
        <v>394108</v>
      </c>
      <c r="Q155" s="271">
        <v>394108</v>
      </c>
      <c r="R155" s="271">
        <v>394108</v>
      </c>
      <c r="S155" s="271">
        <v>394108</v>
      </c>
      <c r="T155" s="271">
        <v>394108</v>
      </c>
      <c r="U155" s="271">
        <v>394108</v>
      </c>
      <c r="V155" s="271">
        <v>394108</v>
      </c>
      <c r="W155" s="271">
        <v>394108</v>
      </c>
      <c r="X155" s="271">
        <v>394108</v>
      </c>
      <c r="Y155" s="271">
        <v>394108</v>
      </c>
      <c r="Z155" s="271">
        <v>394108</v>
      </c>
      <c r="AA155" s="271">
        <v>394108</v>
      </c>
      <c r="AB155" s="271">
        <v>394108</v>
      </c>
      <c r="AC155" s="271">
        <v>394108</v>
      </c>
      <c r="AD155" s="271">
        <v>394108</v>
      </c>
      <c r="AE155" s="271"/>
      <c r="AF155" s="272"/>
      <c r="AG155" s="257">
        <f t="shared" si="5"/>
        <v>394108</v>
      </c>
      <c r="AH155" s="44">
        <v>394108</v>
      </c>
    </row>
    <row r="156" spans="1:34" x14ac:dyDescent="0.35">
      <c r="A156" s="30" t="s">
        <v>295</v>
      </c>
      <c r="B156" s="270">
        <v>406138.17</v>
      </c>
      <c r="C156" s="271">
        <v>406138.17</v>
      </c>
      <c r="D156" s="271">
        <v>406138.17</v>
      </c>
      <c r="E156" s="271">
        <v>406138.17</v>
      </c>
      <c r="F156" s="271">
        <v>406138.17</v>
      </c>
      <c r="G156" s="271">
        <v>406138.17</v>
      </c>
      <c r="H156" s="271">
        <v>406138.17</v>
      </c>
      <c r="I156" s="271">
        <v>406138.17</v>
      </c>
      <c r="J156" s="271">
        <v>406138.17</v>
      </c>
      <c r="K156" s="271">
        <v>406138.17</v>
      </c>
      <c r="L156" s="271">
        <v>406138.17</v>
      </c>
      <c r="M156" s="271">
        <v>406138.17</v>
      </c>
      <c r="N156" s="271">
        <v>406138.17</v>
      </c>
      <c r="O156" s="271">
        <v>406138.17</v>
      </c>
      <c r="P156" s="271">
        <v>406138.17</v>
      </c>
      <c r="Q156" s="271">
        <v>406138.17</v>
      </c>
      <c r="R156" s="271">
        <v>406138.17</v>
      </c>
      <c r="S156" s="271">
        <v>406138.17</v>
      </c>
      <c r="T156" s="271">
        <v>406138.17</v>
      </c>
      <c r="U156" s="271">
        <v>406138.17</v>
      </c>
      <c r="V156" s="271">
        <v>406138.17</v>
      </c>
      <c r="W156" s="271">
        <v>406138.17</v>
      </c>
      <c r="X156" s="271">
        <v>406138.17</v>
      </c>
      <c r="Y156" s="271">
        <v>406138.17</v>
      </c>
      <c r="Z156" s="271">
        <v>406138.17</v>
      </c>
      <c r="AA156" s="271">
        <v>406138.17</v>
      </c>
      <c r="AB156" s="271">
        <v>406138.17</v>
      </c>
      <c r="AC156" s="271">
        <v>406138.17</v>
      </c>
      <c r="AD156" s="271">
        <v>406138.17</v>
      </c>
      <c r="AE156" s="271"/>
      <c r="AF156" s="272"/>
      <c r="AG156" s="257">
        <f t="shared" si="5"/>
        <v>406138.17</v>
      </c>
      <c r="AH156" s="44">
        <v>406138.17</v>
      </c>
    </row>
    <row r="157" spans="1:34" x14ac:dyDescent="0.35">
      <c r="A157" s="30" t="s">
        <v>296</v>
      </c>
      <c r="B157" s="270">
        <v>403044</v>
      </c>
      <c r="C157" s="271">
        <v>403044</v>
      </c>
      <c r="D157" s="271">
        <v>403044</v>
      </c>
      <c r="E157" s="271">
        <v>403044</v>
      </c>
      <c r="F157" s="271">
        <v>403044</v>
      </c>
      <c r="G157" s="271">
        <v>403044</v>
      </c>
      <c r="H157" s="271">
        <v>403044</v>
      </c>
      <c r="I157" s="271">
        <v>403044</v>
      </c>
      <c r="J157" s="271">
        <v>403044</v>
      </c>
      <c r="K157" s="271">
        <v>403044</v>
      </c>
      <c r="L157" s="271">
        <v>403044</v>
      </c>
      <c r="M157" s="271">
        <v>403044</v>
      </c>
      <c r="N157" s="271">
        <v>403044</v>
      </c>
      <c r="O157" s="271">
        <v>403044</v>
      </c>
      <c r="P157" s="271">
        <v>403044</v>
      </c>
      <c r="Q157" s="271">
        <v>403044</v>
      </c>
      <c r="R157" s="271">
        <v>403044</v>
      </c>
      <c r="S157" s="271">
        <v>403044</v>
      </c>
      <c r="T157" s="271">
        <v>403044</v>
      </c>
      <c r="U157" s="271">
        <v>403044</v>
      </c>
      <c r="V157" s="271">
        <v>403044</v>
      </c>
      <c r="W157" s="271">
        <v>403044</v>
      </c>
      <c r="X157" s="271">
        <v>403044</v>
      </c>
      <c r="Y157" s="271">
        <v>403044</v>
      </c>
      <c r="Z157" s="271">
        <v>403044</v>
      </c>
      <c r="AA157" s="271">
        <v>403044</v>
      </c>
      <c r="AB157" s="271">
        <v>403044</v>
      </c>
      <c r="AC157" s="271">
        <v>403044</v>
      </c>
      <c r="AD157" s="271">
        <v>403044</v>
      </c>
      <c r="AE157" s="271"/>
      <c r="AF157" s="272"/>
      <c r="AG157" s="257">
        <f t="shared" si="5"/>
        <v>403044</v>
      </c>
      <c r="AH157" s="44">
        <v>403044</v>
      </c>
    </row>
    <row r="158" spans="1:34" x14ac:dyDescent="0.35">
      <c r="A158" s="30" t="s">
        <v>298</v>
      </c>
      <c r="B158" s="270">
        <v>292029.59999999998</v>
      </c>
      <c r="C158" s="271">
        <v>292029.59999999998</v>
      </c>
      <c r="D158" s="271">
        <v>292029.59999999998</v>
      </c>
      <c r="E158" s="271">
        <v>292029.59999999998</v>
      </c>
      <c r="F158" s="271">
        <v>292029.59999999998</v>
      </c>
      <c r="G158" s="271">
        <v>292029.59999999998</v>
      </c>
      <c r="H158" s="271">
        <v>292029.59999999998</v>
      </c>
      <c r="I158" s="271">
        <v>292029.59999999998</v>
      </c>
      <c r="J158" s="271">
        <v>292029.59999999998</v>
      </c>
      <c r="K158" s="271">
        <v>292029.59999999998</v>
      </c>
      <c r="L158" s="271">
        <v>292029.59999999998</v>
      </c>
      <c r="M158" s="271">
        <v>292029.59999999998</v>
      </c>
      <c r="N158" s="271">
        <v>292029.59999999998</v>
      </c>
      <c r="O158" s="271">
        <v>292029.59999999998</v>
      </c>
      <c r="P158" s="271">
        <v>292029.59999999998</v>
      </c>
      <c r="Q158" s="271">
        <v>292029.59999999998</v>
      </c>
      <c r="R158" s="271">
        <v>292029.59999999998</v>
      </c>
      <c r="S158" s="271">
        <v>292029.59999999998</v>
      </c>
      <c r="T158" s="271">
        <v>292029.59999999998</v>
      </c>
      <c r="U158" s="271">
        <v>292029.59999999998</v>
      </c>
      <c r="V158" s="271">
        <v>292029.59999999998</v>
      </c>
      <c r="W158" s="271">
        <v>292029.59999999998</v>
      </c>
      <c r="X158" s="271">
        <v>292029.59999999998</v>
      </c>
      <c r="Y158" s="271">
        <v>292029.59999999998</v>
      </c>
      <c r="Z158" s="271">
        <v>292029.59999999998</v>
      </c>
      <c r="AA158" s="271">
        <v>292029.59999999998</v>
      </c>
      <c r="AB158" s="271">
        <v>292029.59999999998</v>
      </c>
      <c r="AC158" s="271">
        <v>292029.59999999998</v>
      </c>
      <c r="AD158" s="271">
        <v>292029.59999999998</v>
      </c>
      <c r="AE158" s="271"/>
      <c r="AF158" s="272"/>
      <c r="AG158" s="257">
        <f t="shared" si="5"/>
        <v>292029.59999999998</v>
      </c>
      <c r="AH158" s="44">
        <v>292029.59999999998</v>
      </c>
    </row>
    <row r="159" spans="1:34" x14ac:dyDescent="0.35">
      <c r="A159" s="30" t="s">
        <v>299</v>
      </c>
      <c r="B159" s="270">
        <v>389484</v>
      </c>
      <c r="C159" s="271">
        <v>389484</v>
      </c>
      <c r="D159" s="271">
        <v>389484</v>
      </c>
      <c r="E159" s="271">
        <v>389484</v>
      </c>
      <c r="F159" s="271">
        <v>389484</v>
      </c>
      <c r="G159" s="271">
        <v>389484</v>
      </c>
      <c r="H159" s="271">
        <v>389484</v>
      </c>
      <c r="I159" s="271">
        <v>389484</v>
      </c>
      <c r="J159" s="271">
        <v>389484</v>
      </c>
      <c r="K159" s="271">
        <v>389484</v>
      </c>
      <c r="L159" s="271">
        <v>389484</v>
      </c>
      <c r="M159" s="271">
        <v>389484</v>
      </c>
      <c r="N159" s="271">
        <v>389484</v>
      </c>
      <c r="O159" s="271">
        <v>389484</v>
      </c>
      <c r="P159" s="271">
        <v>389484</v>
      </c>
      <c r="Q159" s="271">
        <v>389484</v>
      </c>
      <c r="R159" s="271">
        <v>389484</v>
      </c>
      <c r="S159" s="271">
        <v>389484</v>
      </c>
      <c r="T159" s="271">
        <v>389484</v>
      </c>
      <c r="U159" s="271">
        <v>389484</v>
      </c>
      <c r="V159" s="271">
        <v>389484</v>
      </c>
      <c r="W159" s="271">
        <v>389484</v>
      </c>
      <c r="X159" s="271">
        <v>389484</v>
      </c>
      <c r="Y159" s="271">
        <v>389484</v>
      </c>
      <c r="Z159" s="271">
        <v>389484</v>
      </c>
      <c r="AA159" s="271">
        <v>389484</v>
      </c>
      <c r="AB159" s="271">
        <v>389484</v>
      </c>
      <c r="AC159" s="271">
        <v>389484</v>
      </c>
      <c r="AD159" s="271">
        <v>389484</v>
      </c>
      <c r="AE159" s="271"/>
      <c r="AF159" s="272"/>
      <c r="AG159" s="257">
        <f t="shared" si="5"/>
        <v>389484</v>
      </c>
      <c r="AH159" s="44">
        <v>389484</v>
      </c>
    </row>
    <row r="160" spans="1:34" x14ac:dyDescent="0.35">
      <c r="A160" s="30" t="s">
        <v>300</v>
      </c>
      <c r="B160" s="270">
        <v>336559.6</v>
      </c>
      <c r="C160" s="271">
        <v>336559.6</v>
      </c>
      <c r="D160" s="271">
        <v>336559.6</v>
      </c>
      <c r="E160" s="271">
        <v>336559.6</v>
      </c>
      <c r="F160" s="271">
        <v>336559.6</v>
      </c>
      <c r="G160" s="271">
        <v>336559.6</v>
      </c>
      <c r="H160" s="271">
        <v>336559.6</v>
      </c>
      <c r="I160" s="271">
        <v>336559.6</v>
      </c>
      <c r="J160" s="271">
        <v>336559.6</v>
      </c>
      <c r="K160" s="271">
        <v>336559.6</v>
      </c>
      <c r="L160" s="271">
        <v>336559.6</v>
      </c>
      <c r="M160" s="271">
        <v>336559.6</v>
      </c>
      <c r="N160" s="271">
        <v>336559.6</v>
      </c>
      <c r="O160" s="271">
        <v>336559.6</v>
      </c>
      <c r="P160" s="271">
        <v>336559.6</v>
      </c>
      <c r="Q160" s="271">
        <v>336559.6</v>
      </c>
      <c r="R160" s="271">
        <v>336559.6</v>
      </c>
      <c r="S160" s="271">
        <v>336559.6</v>
      </c>
      <c r="T160" s="271">
        <v>336559.6</v>
      </c>
      <c r="U160" s="271">
        <v>336559.6</v>
      </c>
      <c r="V160" s="271">
        <v>336559.6</v>
      </c>
      <c r="W160" s="271">
        <v>336559.6</v>
      </c>
      <c r="X160" s="271">
        <v>336559.6</v>
      </c>
      <c r="Y160" s="271">
        <v>336559.6</v>
      </c>
      <c r="Z160" s="271">
        <v>336559.6</v>
      </c>
      <c r="AA160" s="271">
        <v>336559.6</v>
      </c>
      <c r="AB160" s="271">
        <v>336559.6</v>
      </c>
      <c r="AC160" s="271">
        <v>336559.6</v>
      </c>
      <c r="AD160" s="271">
        <v>336559.6</v>
      </c>
      <c r="AE160" s="271"/>
      <c r="AF160" s="272"/>
      <c r="AG160" s="257">
        <f t="shared" si="5"/>
        <v>336559.6</v>
      </c>
      <c r="AH160" s="44">
        <v>336559.6</v>
      </c>
    </row>
    <row r="161" spans="1:34" x14ac:dyDescent="0.35">
      <c r="A161" s="30" t="s">
        <v>301</v>
      </c>
      <c r="B161" s="270">
        <v>374428</v>
      </c>
      <c r="C161" s="271">
        <v>374428</v>
      </c>
      <c r="D161" s="271">
        <v>374428</v>
      </c>
      <c r="E161" s="271">
        <v>374428</v>
      </c>
      <c r="F161" s="271">
        <v>374428</v>
      </c>
      <c r="G161" s="271">
        <v>374428</v>
      </c>
      <c r="H161" s="271">
        <v>374428</v>
      </c>
      <c r="I161" s="271">
        <v>374428</v>
      </c>
      <c r="J161" s="271">
        <v>374428</v>
      </c>
      <c r="K161" s="271">
        <v>374428</v>
      </c>
      <c r="L161" s="271">
        <v>374428</v>
      </c>
      <c r="M161" s="271">
        <v>374428</v>
      </c>
      <c r="N161" s="271">
        <v>374428</v>
      </c>
      <c r="O161" s="271">
        <v>374428</v>
      </c>
      <c r="P161" s="271">
        <v>374428</v>
      </c>
      <c r="Q161" s="271">
        <v>374428</v>
      </c>
      <c r="R161" s="271">
        <v>374428</v>
      </c>
      <c r="S161" s="271">
        <v>374428</v>
      </c>
      <c r="T161" s="271">
        <v>374428</v>
      </c>
      <c r="U161" s="271">
        <v>374428</v>
      </c>
      <c r="V161" s="271">
        <v>374428</v>
      </c>
      <c r="W161" s="271">
        <v>374428</v>
      </c>
      <c r="X161" s="271">
        <v>374428</v>
      </c>
      <c r="Y161" s="271">
        <v>374428</v>
      </c>
      <c r="Z161" s="271">
        <v>374428</v>
      </c>
      <c r="AA161" s="271">
        <v>374428</v>
      </c>
      <c r="AB161" s="271">
        <v>374428</v>
      </c>
      <c r="AC161" s="271">
        <v>374428</v>
      </c>
      <c r="AD161" s="271">
        <v>374428</v>
      </c>
      <c r="AE161" s="271"/>
      <c r="AF161" s="272"/>
      <c r="AG161" s="257">
        <f t="shared" si="5"/>
        <v>374428</v>
      </c>
      <c r="AH161" s="44">
        <v>374428</v>
      </c>
    </row>
    <row r="162" spans="1:34" x14ac:dyDescent="0.35">
      <c r="A162" s="30" t="s">
        <v>302</v>
      </c>
      <c r="B162" s="270">
        <v>0</v>
      </c>
      <c r="C162" s="271">
        <v>0</v>
      </c>
      <c r="D162" s="271">
        <v>0</v>
      </c>
      <c r="E162" s="271">
        <v>0</v>
      </c>
      <c r="F162" s="271">
        <v>0</v>
      </c>
      <c r="G162" s="271">
        <v>0</v>
      </c>
      <c r="H162" s="271">
        <v>0</v>
      </c>
      <c r="I162" s="271">
        <v>0</v>
      </c>
      <c r="J162" s="271">
        <v>0</v>
      </c>
      <c r="K162" s="271">
        <v>0</v>
      </c>
      <c r="L162" s="271">
        <v>0</v>
      </c>
      <c r="M162" s="271">
        <v>0</v>
      </c>
      <c r="N162" s="271">
        <v>0</v>
      </c>
      <c r="O162" s="271">
        <v>0</v>
      </c>
      <c r="P162" s="271">
        <v>0</v>
      </c>
      <c r="Q162" s="271">
        <v>0</v>
      </c>
      <c r="R162" s="271">
        <v>0</v>
      </c>
      <c r="S162" s="271">
        <v>0</v>
      </c>
      <c r="T162" s="271">
        <v>0</v>
      </c>
      <c r="U162" s="271">
        <v>0</v>
      </c>
      <c r="V162" s="271">
        <v>0</v>
      </c>
      <c r="W162" s="271">
        <v>0</v>
      </c>
      <c r="X162" s="271">
        <v>0</v>
      </c>
      <c r="Y162" s="271">
        <v>0</v>
      </c>
      <c r="Z162" s="271">
        <v>0</v>
      </c>
      <c r="AA162" s="271">
        <v>0</v>
      </c>
      <c r="AB162" s="271">
        <v>0</v>
      </c>
      <c r="AC162" s="271">
        <v>0</v>
      </c>
      <c r="AD162" s="271">
        <v>0</v>
      </c>
      <c r="AE162" s="271"/>
      <c r="AF162" s="272"/>
      <c r="AG162" s="257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73">
        <v>0</v>
      </c>
      <c r="C163" s="274">
        <v>0</v>
      </c>
      <c r="D163" s="274">
        <v>0</v>
      </c>
      <c r="E163" s="274">
        <v>0</v>
      </c>
      <c r="F163" s="274">
        <v>0</v>
      </c>
      <c r="G163" s="274">
        <v>0</v>
      </c>
      <c r="H163" s="274">
        <v>0</v>
      </c>
      <c r="I163" s="274">
        <v>0</v>
      </c>
      <c r="J163" s="274">
        <v>0</v>
      </c>
      <c r="K163" s="274">
        <v>0</v>
      </c>
      <c r="L163" s="274">
        <v>0</v>
      </c>
      <c r="M163" s="274">
        <v>0</v>
      </c>
      <c r="N163" s="274">
        <v>0</v>
      </c>
      <c r="O163" s="274">
        <v>0</v>
      </c>
      <c r="P163" s="274">
        <v>0</v>
      </c>
      <c r="Q163" s="274">
        <v>0</v>
      </c>
      <c r="R163" s="274">
        <v>0</v>
      </c>
      <c r="S163" s="274">
        <v>0</v>
      </c>
      <c r="T163" s="274">
        <v>0</v>
      </c>
      <c r="U163" s="274">
        <v>0</v>
      </c>
      <c r="V163" s="274">
        <v>0</v>
      </c>
      <c r="W163" s="274">
        <v>0</v>
      </c>
      <c r="X163" s="274">
        <v>0</v>
      </c>
      <c r="Y163" s="274">
        <v>0</v>
      </c>
      <c r="Z163" s="274">
        <v>0</v>
      </c>
      <c r="AA163" s="274">
        <v>0</v>
      </c>
      <c r="AB163" s="274">
        <v>0</v>
      </c>
      <c r="AC163" s="274">
        <v>0</v>
      </c>
      <c r="AD163" s="274">
        <v>0</v>
      </c>
      <c r="AE163" s="274"/>
      <c r="AF163" s="275"/>
      <c r="AG163" s="263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10E3A-37E5-451E-837C-345FF70ED6E2}">
  <sheetPr codeName="Hoja13"/>
  <dimension ref="A1:AH163"/>
  <sheetViews>
    <sheetView showGridLines="0" zoomScale="70" zoomScaleNormal="70" workbookViewId="0">
      <pane xSplit="1" ySplit="3" topLeftCell="B4" activePane="bottomRight" state="frozen"/>
      <selection activeCell="C4" sqref="C4"/>
      <selection pane="topRight" activeCell="C4" sqref="C4"/>
      <selection pane="bottomLeft" activeCell="C4" sqref="C4"/>
      <selection pane="bottomRight" activeCell="J1" sqref="J1"/>
    </sheetView>
  </sheetViews>
  <sheetFormatPr baseColWidth="10" defaultColWidth="0" defaultRowHeight="14.5" x14ac:dyDescent="0.35"/>
  <cols>
    <col min="1" max="1" width="13.36328125" customWidth="1"/>
    <col min="2" max="32" width="11.54296875" customWidth="1"/>
    <col min="33" max="33" width="11.90625" bestFit="1" customWidth="1"/>
    <col min="34" max="34" width="11.54296875" customWidth="1"/>
    <col min="35" max="16384" width="11.54296875" hidden="1"/>
  </cols>
  <sheetData>
    <row r="1" spans="1:34" ht="20" x14ac:dyDescent="0.4">
      <c r="A1" s="37" t="s">
        <v>534</v>
      </c>
      <c r="B1" s="6" t="s">
        <v>0</v>
      </c>
      <c r="G1" s="39"/>
    </row>
    <row r="2" spans="1:34" ht="15" thickBot="1" x14ac:dyDescent="0.4"/>
    <row r="3" spans="1:34" ht="15" thickBot="1" x14ac:dyDescent="0.4">
      <c r="A3" s="17" t="s">
        <v>270</v>
      </c>
      <c r="B3" s="45">
        <v>45292</v>
      </c>
      <c r="C3" s="46">
        <v>45293</v>
      </c>
      <c r="D3" s="46">
        <v>45294</v>
      </c>
      <c r="E3" s="46">
        <v>45295</v>
      </c>
      <c r="F3" s="46">
        <v>45296</v>
      </c>
      <c r="G3" s="46">
        <v>45297</v>
      </c>
      <c r="H3" s="46">
        <v>45298</v>
      </c>
      <c r="I3" s="46">
        <v>45299</v>
      </c>
      <c r="J3" s="46">
        <v>45300</v>
      </c>
      <c r="K3" s="46">
        <v>45301</v>
      </c>
      <c r="L3" s="46">
        <v>45302</v>
      </c>
      <c r="M3" s="46">
        <v>45303</v>
      </c>
      <c r="N3" s="46">
        <v>45304</v>
      </c>
      <c r="O3" s="46">
        <v>45305</v>
      </c>
      <c r="P3" s="46">
        <v>45306</v>
      </c>
      <c r="Q3" s="46">
        <v>45307</v>
      </c>
      <c r="R3" s="46">
        <v>45308</v>
      </c>
      <c r="S3" s="46">
        <v>45309</v>
      </c>
      <c r="T3" s="46">
        <v>45310</v>
      </c>
      <c r="U3" s="46">
        <v>45311</v>
      </c>
      <c r="V3" s="46">
        <v>45312</v>
      </c>
      <c r="W3" s="46">
        <v>45313</v>
      </c>
      <c r="X3" s="46">
        <v>45314</v>
      </c>
      <c r="Y3" s="46">
        <v>45315</v>
      </c>
      <c r="Z3" s="46">
        <v>45316</v>
      </c>
      <c r="AA3" s="46">
        <v>45317</v>
      </c>
      <c r="AB3" s="46">
        <v>45318</v>
      </c>
      <c r="AC3" s="46">
        <v>45319</v>
      </c>
      <c r="AD3" s="46">
        <v>45320</v>
      </c>
      <c r="AE3" s="46">
        <v>45321</v>
      </c>
      <c r="AF3" s="48">
        <v>45322</v>
      </c>
      <c r="AG3" s="12" t="s">
        <v>305</v>
      </c>
      <c r="AH3" s="44" t="s">
        <v>305</v>
      </c>
    </row>
    <row r="4" spans="1:34" ht="15" thickTop="1" x14ac:dyDescent="0.35">
      <c r="A4" s="32" t="s">
        <v>10</v>
      </c>
      <c r="B4" s="13">
        <v>79180.460000000036</v>
      </c>
      <c r="C4" s="14">
        <v>79202.040000000037</v>
      </c>
      <c r="D4" s="14">
        <v>79208.010000000038</v>
      </c>
      <c r="E4" s="14">
        <v>79208.010000000038</v>
      </c>
      <c r="F4" s="14">
        <v>79225.73000000004</v>
      </c>
      <c r="G4" s="14">
        <v>79247.560000000041</v>
      </c>
      <c r="H4" s="14">
        <v>79255.23000000004</v>
      </c>
      <c r="I4" s="14">
        <v>79258.670000000042</v>
      </c>
      <c r="J4" s="14">
        <v>79279.23000000004</v>
      </c>
      <c r="K4" s="14">
        <v>79296.400000000038</v>
      </c>
      <c r="L4" s="14">
        <v>79308.290000000037</v>
      </c>
      <c r="M4" s="14">
        <v>79325.610000000044</v>
      </c>
      <c r="N4" s="14">
        <v>79338.100000000049</v>
      </c>
      <c r="O4" s="14">
        <v>79349.810000000056</v>
      </c>
      <c r="P4" s="14">
        <v>79363.820000000051</v>
      </c>
      <c r="Q4" s="14">
        <v>79375.160000000047</v>
      </c>
      <c r="R4" s="14">
        <v>79393.620000000054</v>
      </c>
      <c r="S4" s="14">
        <v>79415.320000000051</v>
      </c>
      <c r="T4" s="14">
        <v>79432.840000000055</v>
      </c>
      <c r="U4" s="14">
        <v>79442.530000000057</v>
      </c>
      <c r="V4" s="14">
        <v>79463.700000000055</v>
      </c>
      <c r="W4" s="14">
        <v>79480.950000000055</v>
      </c>
      <c r="X4" s="14">
        <v>79501.800000000061</v>
      </c>
      <c r="Y4" s="14">
        <v>79512.570000000065</v>
      </c>
      <c r="Z4" s="14">
        <v>79525.890000000072</v>
      </c>
      <c r="AA4" s="14">
        <v>79547.710000000079</v>
      </c>
      <c r="AB4" s="14">
        <v>79564.220000000074</v>
      </c>
      <c r="AC4" s="14">
        <v>79581.550000000076</v>
      </c>
      <c r="AD4" s="14">
        <v>79602.490000000078</v>
      </c>
      <c r="AE4" s="14">
        <v>79623.730000000083</v>
      </c>
      <c r="AF4" s="15">
        <v>79641.220000000088</v>
      </c>
      <c r="AG4" s="51">
        <f t="shared" ref="AG4:AG35" si="0">MAX(B4:AF4)</f>
        <v>79641.220000000088</v>
      </c>
      <c r="AH4" s="44">
        <v>82472.97</v>
      </c>
    </row>
    <row r="5" spans="1:34" x14ac:dyDescent="0.35">
      <c r="A5" s="33" t="s">
        <v>11</v>
      </c>
      <c r="B5" s="10">
        <v>79568.93000000024</v>
      </c>
      <c r="C5" s="2">
        <v>79576.260000000242</v>
      </c>
      <c r="D5" s="2">
        <v>79596.130000000237</v>
      </c>
      <c r="E5" s="2">
        <v>79618.07000000024</v>
      </c>
      <c r="F5" s="2">
        <v>79639.170000000246</v>
      </c>
      <c r="G5" s="2">
        <v>79651.82000000024</v>
      </c>
      <c r="H5" s="2">
        <v>79670.530000000246</v>
      </c>
      <c r="I5" s="2">
        <v>79691.950000000244</v>
      </c>
      <c r="J5" s="2">
        <v>79703.650000000242</v>
      </c>
      <c r="K5" s="2">
        <v>79720.520000000237</v>
      </c>
      <c r="L5" s="2">
        <v>79741.240000000238</v>
      </c>
      <c r="M5" s="2">
        <v>79762.120000000243</v>
      </c>
      <c r="N5" s="2">
        <v>79783.610000000248</v>
      </c>
      <c r="O5" s="2">
        <v>79804.420000000246</v>
      </c>
      <c r="P5" s="2">
        <v>79825.010000000242</v>
      </c>
      <c r="Q5" s="2">
        <v>79845.710000000239</v>
      </c>
      <c r="R5" s="2">
        <v>79862.440000000235</v>
      </c>
      <c r="S5" s="2">
        <v>79879.460000000239</v>
      </c>
      <c r="T5" s="2">
        <v>79900.740000000238</v>
      </c>
      <c r="U5" s="2">
        <v>79921.980000000243</v>
      </c>
      <c r="V5" s="2">
        <v>79943.460000000239</v>
      </c>
      <c r="W5" s="2">
        <v>79960.710000000239</v>
      </c>
      <c r="X5" s="2">
        <v>79974.000000000233</v>
      </c>
      <c r="Y5" s="2">
        <v>79994.110000000233</v>
      </c>
      <c r="Z5" s="2">
        <v>80015.620000000228</v>
      </c>
      <c r="AA5" s="2">
        <v>80037.090000000229</v>
      </c>
      <c r="AB5" s="2">
        <v>80058.470000000234</v>
      </c>
      <c r="AC5" s="2">
        <v>80073.150000000227</v>
      </c>
      <c r="AD5" s="2">
        <v>80080.670000000231</v>
      </c>
      <c r="AE5" s="2">
        <v>80080.670000000231</v>
      </c>
      <c r="AF5" s="3">
        <v>80090.770000000237</v>
      </c>
      <c r="AG5" s="51">
        <f t="shared" si="0"/>
        <v>80090.770000000237</v>
      </c>
      <c r="AH5" s="44">
        <v>0</v>
      </c>
    </row>
    <row r="6" spans="1:34" x14ac:dyDescent="0.35">
      <c r="A6" s="33" t="s">
        <v>12</v>
      </c>
      <c r="B6" s="10">
        <v>79728.459999999919</v>
      </c>
      <c r="C6" s="2">
        <v>79742.159999999916</v>
      </c>
      <c r="D6" s="2">
        <v>79763.669999999911</v>
      </c>
      <c r="E6" s="2">
        <v>79785.219999999914</v>
      </c>
      <c r="F6" s="2">
        <v>79791.859999999913</v>
      </c>
      <c r="G6" s="2">
        <v>79806.939999999915</v>
      </c>
      <c r="H6" s="2">
        <v>79823.719999999914</v>
      </c>
      <c r="I6" s="2">
        <v>79842.209999999919</v>
      </c>
      <c r="J6" s="2">
        <v>79858.829999999914</v>
      </c>
      <c r="K6" s="2">
        <v>79880.159999999916</v>
      </c>
      <c r="L6" s="2">
        <v>79886.589999999909</v>
      </c>
      <c r="M6" s="2">
        <v>79886.589999999909</v>
      </c>
      <c r="N6" s="2">
        <v>79886.589999999909</v>
      </c>
      <c r="O6" s="2">
        <v>79886.589999999909</v>
      </c>
      <c r="P6" s="2">
        <v>79896.959999999905</v>
      </c>
      <c r="Q6" s="2">
        <v>79906.80999999991</v>
      </c>
      <c r="R6" s="2">
        <v>79928.44999999991</v>
      </c>
      <c r="S6" s="2">
        <v>79943.379999999903</v>
      </c>
      <c r="T6" s="2">
        <v>79964.999999999898</v>
      </c>
      <c r="U6" s="2">
        <v>79986.739999999903</v>
      </c>
      <c r="V6" s="2">
        <v>80008.4399999999</v>
      </c>
      <c r="W6" s="2">
        <v>80029.649999999907</v>
      </c>
      <c r="X6" s="2">
        <v>80051.229999999909</v>
      </c>
      <c r="Y6" s="2">
        <v>80070.479999999909</v>
      </c>
      <c r="Z6" s="2">
        <v>80086.679999999906</v>
      </c>
      <c r="AA6" s="2">
        <v>80107.599999999904</v>
      </c>
      <c r="AB6" s="2">
        <v>80124.529999999897</v>
      </c>
      <c r="AC6" s="2">
        <v>80137.139999999898</v>
      </c>
      <c r="AD6" s="2">
        <v>80156.149999999892</v>
      </c>
      <c r="AE6" s="2">
        <v>80177.539999999892</v>
      </c>
      <c r="AF6" s="3">
        <v>80198.119999999893</v>
      </c>
      <c r="AG6" s="51">
        <f t="shared" si="0"/>
        <v>80198.119999999893</v>
      </c>
      <c r="AH6" s="44">
        <v>0</v>
      </c>
    </row>
    <row r="7" spans="1:34" x14ac:dyDescent="0.35">
      <c r="A7" s="33" t="s">
        <v>13</v>
      </c>
      <c r="B7" s="10">
        <v>80096.81999999992</v>
      </c>
      <c r="C7" s="2">
        <v>80115.379999999917</v>
      </c>
      <c r="D7" s="2">
        <v>80130.139999999912</v>
      </c>
      <c r="E7" s="2">
        <v>80144.529999999912</v>
      </c>
      <c r="F7" s="2">
        <v>80165.439999999915</v>
      </c>
      <c r="G7" s="2">
        <v>80184.629999999917</v>
      </c>
      <c r="H7" s="2">
        <v>80197.049999999916</v>
      </c>
      <c r="I7" s="2">
        <v>80213.099999999919</v>
      </c>
      <c r="J7" s="2">
        <v>80234.449999999924</v>
      </c>
      <c r="K7" s="2">
        <v>80255.579999999929</v>
      </c>
      <c r="L7" s="2">
        <v>80261.699999999924</v>
      </c>
      <c r="M7" s="2">
        <v>80272.999999999927</v>
      </c>
      <c r="N7" s="2">
        <v>80275.629999999932</v>
      </c>
      <c r="O7" s="2">
        <v>80282.499999999927</v>
      </c>
      <c r="P7" s="2">
        <v>80285.839999999924</v>
      </c>
      <c r="Q7" s="2">
        <v>80285.839999999924</v>
      </c>
      <c r="R7" s="2">
        <v>80286.089999999924</v>
      </c>
      <c r="S7" s="2">
        <v>80302.859999999928</v>
      </c>
      <c r="T7" s="2">
        <v>80322.879999999932</v>
      </c>
      <c r="U7" s="2">
        <v>80333.539999999935</v>
      </c>
      <c r="V7" s="2">
        <v>80354.869999999937</v>
      </c>
      <c r="W7" s="2">
        <v>80376.109999999942</v>
      </c>
      <c r="X7" s="2">
        <v>80397.489999999947</v>
      </c>
      <c r="Y7" s="2">
        <v>80417.979999999952</v>
      </c>
      <c r="Z7" s="2">
        <v>80422.999999999956</v>
      </c>
      <c r="AA7" s="2">
        <v>80439.799999999959</v>
      </c>
      <c r="AB7" s="2">
        <v>80461.01999999996</v>
      </c>
      <c r="AC7" s="2">
        <v>80471.789999999964</v>
      </c>
      <c r="AD7" s="2">
        <v>80493.129999999961</v>
      </c>
      <c r="AE7" s="2">
        <v>80510.589999999967</v>
      </c>
      <c r="AF7" s="3">
        <v>80532.319999999963</v>
      </c>
      <c r="AG7" s="51">
        <f t="shared" si="0"/>
        <v>80532.319999999963</v>
      </c>
      <c r="AH7" s="44">
        <v>0</v>
      </c>
    </row>
    <row r="8" spans="1:34" x14ac:dyDescent="0.35">
      <c r="A8" s="33" t="s">
        <v>14</v>
      </c>
      <c r="B8" s="10">
        <v>75104.320000000094</v>
      </c>
      <c r="C8" s="2">
        <v>75125.330000000089</v>
      </c>
      <c r="D8" s="2">
        <v>75147.010000000082</v>
      </c>
      <c r="E8" s="2">
        <v>75168.560000000085</v>
      </c>
      <c r="F8" s="2">
        <v>75190.520000000091</v>
      </c>
      <c r="G8" s="2">
        <v>75212.060000000085</v>
      </c>
      <c r="H8" s="2">
        <v>75233.840000000084</v>
      </c>
      <c r="I8" s="2">
        <v>75255.600000000079</v>
      </c>
      <c r="J8" s="2">
        <v>75265.710000000079</v>
      </c>
      <c r="K8" s="2">
        <v>75281.100000000079</v>
      </c>
      <c r="L8" s="2">
        <v>75302.010000000082</v>
      </c>
      <c r="M8" s="2">
        <v>75321.480000000083</v>
      </c>
      <c r="N8" s="2">
        <v>75342.230000000083</v>
      </c>
      <c r="O8" s="2">
        <v>75361.350000000079</v>
      </c>
      <c r="P8" s="2">
        <v>75377.170000000086</v>
      </c>
      <c r="Q8" s="2">
        <v>75398.370000000083</v>
      </c>
      <c r="R8" s="2">
        <v>75419.920000000086</v>
      </c>
      <c r="S8" s="2">
        <v>75441.870000000083</v>
      </c>
      <c r="T8" s="2">
        <v>75464.080000000089</v>
      </c>
      <c r="U8" s="2">
        <v>75485.890000000087</v>
      </c>
      <c r="V8" s="2">
        <v>75502.740000000093</v>
      </c>
      <c r="W8" s="2">
        <v>75523.8100000001</v>
      </c>
      <c r="X8" s="2">
        <v>75545.330000000104</v>
      </c>
      <c r="Y8" s="2">
        <v>75556.240000000107</v>
      </c>
      <c r="Z8" s="2">
        <v>75576.100000000108</v>
      </c>
      <c r="AA8" s="2">
        <v>75597.310000000114</v>
      </c>
      <c r="AB8" s="2">
        <v>75617.79000000011</v>
      </c>
      <c r="AC8" s="2">
        <v>75639.030000000115</v>
      </c>
      <c r="AD8" s="2">
        <v>75660.390000000116</v>
      </c>
      <c r="AE8" s="2">
        <v>75682.180000000109</v>
      </c>
      <c r="AF8" s="3">
        <v>75703.920000000115</v>
      </c>
      <c r="AG8" s="51">
        <f t="shared" si="0"/>
        <v>75703.920000000115</v>
      </c>
      <c r="AH8" s="44">
        <v>0</v>
      </c>
    </row>
    <row r="9" spans="1:34" x14ac:dyDescent="0.35">
      <c r="A9" s="33" t="s">
        <v>15</v>
      </c>
      <c r="B9" s="10">
        <v>77521.099999999977</v>
      </c>
      <c r="C9" s="2">
        <v>77542.75999999998</v>
      </c>
      <c r="D9" s="2">
        <v>77558.189999999973</v>
      </c>
      <c r="E9" s="2">
        <v>77576.189999999973</v>
      </c>
      <c r="F9" s="2">
        <v>77589.249999999971</v>
      </c>
      <c r="G9" s="2">
        <v>77593.27999999997</v>
      </c>
      <c r="H9" s="2">
        <v>77593.27999999997</v>
      </c>
      <c r="I9" s="2">
        <v>77593.27999999997</v>
      </c>
      <c r="J9" s="2">
        <v>77603.02999999997</v>
      </c>
      <c r="K9" s="2">
        <v>77623.909999999974</v>
      </c>
      <c r="L9" s="2">
        <v>77645.339999999967</v>
      </c>
      <c r="M9" s="2">
        <v>77656.02999999997</v>
      </c>
      <c r="N9" s="2">
        <v>77660.019999999975</v>
      </c>
      <c r="O9" s="2">
        <v>77675.369999999981</v>
      </c>
      <c r="P9" s="2">
        <v>77689.119999999981</v>
      </c>
      <c r="Q9" s="2">
        <v>77703.439999999988</v>
      </c>
      <c r="R9" s="2">
        <v>77724.309999999983</v>
      </c>
      <c r="S9" s="2">
        <v>77745.409999999989</v>
      </c>
      <c r="T9" s="2">
        <v>77765.459999999992</v>
      </c>
      <c r="U9" s="2">
        <v>77787.219999999987</v>
      </c>
      <c r="V9" s="2">
        <v>77808.859999999986</v>
      </c>
      <c r="W9" s="2">
        <v>77821.539999999979</v>
      </c>
      <c r="X9" s="2">
        <v>77840.889999999985</v>
      </c>
      <c r="Y9" s="2">
        <v>77858.159999999989</v>
      </c>
      <c r="Z9" s="2">
        <v>77871.689999999988</v>
      </c>
      <c r="AA9" s="2">
        <v>77884.909999999989</v>
      </c>
      <c r="AB9" s="2">
        <v>77899.37999999999</v>
      </c>
      <c r="AC9" s="2">
        <v>77920.989999999991</v>
      </c>
      <c r="AD9" s="2">
        <v>77941.09</v>
      </c>
      <c r="AE9" s="2">
        <v>77962.55</v>
      </c>
      <c r="AF9" s="3">
        <v>77975.34</v>
      </c>
      <c r="AG9" s="51">
        <f t="shared" si="0"/>
        <v>77975.34</v>
      </c>
      <c r="AH9" s="44">
        <v>0</v>
      </c>
    </row>
    <row r="10" spans="1:34" x14ac:dyDescent="0.35">
      <c r="A10" s="33" t="s">
        <v>16</v>
      </c>
      <c r="B10" s="10">
        <v>76740.020000000091</v>
      </c>
      <c r="C10" s="2">
        <v>76746.410000000091</v>
      </c>
      <c r="D10" s="2">
        <v>76746.420000000086</v>
      </c>
      <c r="E10" s="2">
        <v>76767.790000000081</v>
      </c>
      <c r="F10" s="2">
        <v>76789.490000000078</v>
      </c>
      <c r="G10" s="2">
        <v>76809.370000000083</v>
      </c>
      <c r="H10" s="2">
        <v>76830.310000000085</v>
      </c>
      <c r="I10" s="2">
        <v>76851.280000000086</v>
      </c>
      <c r="J10" s="2">
        <v>76867.780000000086</v>
      </c>
      <c r="K10" s="2">
        <v>76876.460000000079</v>
      </c>
      <c r="L10" s="2">
        <v>76897.440000000075</v>
      </c>
      <c r="M10" s="2">
        <v>76918.160000000076</v>
      </c>
      <c r="N10" s="2">
        <v>76939.780000000072</v>
      </c>
      <c r="O10" s="2">
        <v>76959.730000000069</v>
      </c>
      <c r="P10" s="2">
        <v>76981.70000000007</v>
      </c>
      <c r="Q10" s="2">
        <v>77002.910000000076</v>
      </c>
      <c r="R10" s="2">
        <v>77024.81000000007</v>
      </c>
      <c r="S10" s="2">
        <v>77046.740000000063</v>
      </c>
      <c r="T10" s="2">
        <v>77066.95000000007</v>
      </c>
      <c r="U10" s="2">
        <v>77088.56000000007</v>
      </c>
      <c r="V10" s="2">
        <v>77110.220000000074</v>
      </c>
      <c r="W10" s="2">
        <v>77130.330000000075</v>
      </c>
      <c r="X10" s="2">
        <v>77148.900000000081</v>
      </c>
      <c r="Y10" s="2">
        <v>77169.980000000083</v>
      </c>
      <c r="Z10" s="2">
        <v>77186.57000000008</v>
      </c>
      <c r="AA10" s="2">
        <v>77207.920000000086</v>
      </c>
      <c r="AB10" s="2">
        <v>77229.450000000084</v>
      </c>
      <c r="AC10" s="2">
        <v>77251.090000000084</v>
      </c>
      <c r="AD10" s="2">
        <v>77272.43000000008</v>
      </c>
      <c r="AE10" s="2">
        <v>77283.120000000083</v>
      </c>
      <c r="AF10" s="3">
        <v>77301.730000000083</v>
      </c>
      <c r="AG10" s="51">
        <f t="shared" si="0"/>
        <v>77301.730000000083</v>
      </c>
      <c r="AH10" s="44">
        <v>0</v>
      </c>
    </row>
    <row r="11" spans="1:34" x14ac:dyDescent="0.35">
      <c r="A11" s="33" t="s">
        <v>17</v>
      </c>
      <c r="B11" s="10">
        <v>74945.33000000038</v>
      </c>
      <c r="C11" s="2">
        <v>74966.240000000384</v>
      </c>
      <c r="D11" s="2">
        <v>74987.760000000388</v>
      </c>
      <c r="E11" s="2">
        <v>75008.720000000394</v>
      </c>
      <c r="F11" s="2">
        <v>75023.350000000399</v>
      </c>
      <c r="G11" s="2">
        <v>75044.230000000403</v>
      </c>
      <c r="H11" s="2">
        <v>75058.350000000399</v>
      </c>
      <c r="I11" s="2">
        <v>75080.040000000401</v>
      </c>
      <c r="J11" s="2">
        <v>75101.340000000404</v>
      </c>
      <c r="K11" s="2">
        <v>75122.480000000403</v>
      </c>
      <c r="L11" s="2">
        <v>75127.540000000401</v>
      </c>
      <c r="M11" s="2">
        <v>75148.920000000406</v>
      </c>
      <c r="N11" s="2">
        <v>75167.380000000412</v>
      </c>
      <c r="O11" s="2">
        <v>75181.140000000407</v>
      </c>
      <c r="P11" s="2">
        <v>75194.610000000408</v>
      </c>
      <c r="Q11" s="2">
        <v>75210.340000000404</v>
      </c>
      <c r="R11" s="2">
        <v>75231.9300000004</v>
      </c>
      <c r="S11" s="2">
        <v>75247.370000000403</v>
      </c>
      <c r="T11" s="2">
        <v>75266.860000000408</v>
      </c>
      <c r="U11" s="2">
        <v>75272.44000000041</v>
      </c>
      <c r="V11" s="2">
        <v>75291.150000000416</v>
      </c>
      <c r="W11" s="2">
        <v>75303.910000000411</v>
      </c>
      <c r="X11" s="2">
        <v>75303.910000000411</v>
      </c>
      <c r="Y11" s="2">
        <v>75323.100000000413</v>
      </c>
      <c r="Z11" s="2">
        <v>75338.380000000412</v>
      </c>
      <c r="AA11" s="2">
        <v>75359.590000000419</v>
      </c>
      <c r="AB11" s="2">
        <v>75372.790000000416</v>
      </c>
      <c r="AC11" s="2">
        <v>75372.790000000416</v>
      </c>
      <c r="AD11" s="2">
        <v>75372.790000000416</v>
      </c>
      <c r="AE11" s="2">
        <v>75372.790000000416</v>
      </c>
      <c r="AF11" s="3">
        <v>75372.790000000416</v>
      </c>
      <c r="AG11" s="51">
        <f t="shared" si="0"/>
        <v>75372.790000000416</v>
      </c>
      <c r="AH11" s="44">
        <v>0</v>
      </c>
    </row>
    <row r="12" spans="1:34" x14ac:dyDescent="0.35">
      <c r="A12" s="33" t="s">
        <v>18</v>
      </c>
      <c r="B12" s="10">
        <v>75484.449999999822</v>
      </c>
      <c r="C12" s="2">
        <v>75502.139999999825</v>
      </c>
      <c r="D12" s="2">
        <v>75522.319999999818</v>
      </c>
      <c r="E12" s="2">
        <v>75533.769999999815</v>
      </c>
      <c r="F12" s="2">
        <v>75553.699999999808</v>
      </c>
      <c r="G12" s="2">
        <v>75570.019999999815</v>
      </c>
      <c r="H12" s="2">
        <v>75591.769999999815</v>
      </c>
      <c r="I12" s="2">
        <v>75595.609999999811</v>
      </c>
      <c r="J12" s="2">
        <v>75615.579999999813</v>
      </c>
      <c r="K12" s="2">
        <v>75631.849999999817</v>
      </c>
      <c r="L12" s="2">
        <v>75653.209999999817</v>
      </c>
      <c r="M12" s="2">
        <v>75667.869999999821</v>
      </c>
      <c r="N12" s="2">
        <v>75686.159999999814</v>
      </c>
      <c r="O12" s="2">
        <v>75693.479999999821</v>
      </c>
      <c r="P12" s="2">
        <v>75693.479999999821</v>
      </c>
      <c r="Q12" s="2">
        <v>75693.479999999821</v>
      </c>
      <c r="R12" s="2">
        <v>75693.479999999821</v>
      </c>
      <c r="S12" s="2">
        <v>75703.139999999825</v>
      </c>
      <c r="T12" s="2">
        <v>75721.449999999822</v>
      </c>
      <c r="U12" s="2">
        <v>75742.819999999818</v>
      </c>
      <c r="V12" s="2">
        <v>75748.289999999819</v>
      </c>
      <c r="W12" s="2">
        <v>75765.349999999817</v>
      </c>
      <c r="X12" s="2">
        <v>75779.819999999818</v>
      </c>
      <c r="Y12" s="2">
        <v>75797.809999999823</v>
      </c>
      <c r="Z12" s="2">
        <v>75813.50999999982</v>
      </c>
      <c r="AA12" s="2">
        <v>75825.679999999818</v>
      </c>
      <c r="AB12" s="2">
        <v>75846.619999999821</v>
      </c>
      <c r="AC12" s="2">
        <v>75858.779999999824</v>
      </c>
      <c r="AD12" s="2">
        <v>75878.999999999825</v>
      </c>
      <c r="AE12" s="2">
        <v>75897.309999999823</v>
      </c>
      <c r="AF12" s="3">
        <v>75902.909999999829</v>
      </c>
      <c r="AG12" s="51">
        <f t="shared" si="0"/>
        <v>75902.909999999829</v>
      </c>
      <c r="AH12" s="44">
        <v>0</v>
      </c>
    </row>
    <row r="13" spans="1:34" x14ac:dyDescent="0.35">
      <c r="A13" s="33" t="s">
        <v>19</v>
      </c>
      <c r="B13" s="10">
        <v>72154.520000000033</v>
      </c>
      <c r="C13" s="2">
        <v>72176.180000000037</v>
      </c>
      <c r="D13" s="2">
        <v>72197.850000000035</v>
      </c>
      <c r="E13" s="2">
        <v>72217.940000000031</v>
      </c>
      <c r="F13" s="2">
        <v>72228.430000000037</v>
      </c>
      <c r="G13" s="2">
        <v>72246.350000000035</v>
      </c>
      <c r="H13" s="2">
        <v>72268.670000000042</v>
      </c>
      <c r="I13" s="2">
        <v>72286.880000000048</v>
      </c>
      <c r="J13" s="2">
        <v>72308.450000000055</v>
      </c>
      <c r="K13" s="2">
        <v>72330.150000000052</v>
      </c>
      <c r="L13" s="2">
        <v>72351.730000000054</v>
      </c>
      <c r="M13" s="2">
        <v>72370.530000000057</v>
      </c>
      <c r="N13" s="2">
        <v>72387.630000000063</v>
      </c>
      <c r="O13" s="2">
        <v>72408.860000000059</v>
      </c>
      <c r="P13" s="2">
        <v>72428.83000000006</v>
      </c>
      <c r="Q13" s="2">
        <v>72446.060000000056</v>
      </c>
      <c r="R13" s="2">
        <v>72467.850000000049</v>
      </c>
      <c r="S13" s="2">
        <v>72489.290000000052</v>
      </c>
      <c r="T13" s="2">
        <v>72495.870000000054</v>
      </c>
      <c r="U13" s="2">
        <v>72500.480000000054</v>
      </c>
      <c r="V13" s="2">
        <v>72516.760000000053</v>
      </c>
      <c r="W13" s="2">
        <v>72536.900000000052</v>
      </c>
      <c r="X13" s="2">
        <v>72558.010000000053</v>
      </c>
      <c r="Y13" s="2">
        <v>72579.21000000005</v>
      </c>
      <c r="Z13" s="2">
        <v>72600.010000000053</v>
      </c>
      <c r="AA13" s="2">
        <v>72613.050000000047</v>
      </c>
      <c r="AB13" s="2">
        <v>72632.850000000049</v>
      </c>
      <c r="AC13" s="2">
        <v>72650.800000000047</v>
      </c>
      <c r="AD13" s="2">
        <v>72669.920000000042</v>
      </c>
      <c r="AE13" s="2">
        <v>72679.150000000038</v>
      </c>
      <c r="AF13" s="3">
        <v>72690.270000000033</v>
      </c>
      <c r="AG13" s="51">
        <f t="shared" si="0"/>
        <v>72690.270000000033</v>
      </c>
      <c r="AH13" s="44">
        <v>0</v>
      </c>
    </row>
    <row r="14" spans="1:34" x14ac:dyDescent="0.35">
      <c r="A14" s="33" t="s">
        <v>20</v>
      </c>
      <c r="B14" s="10">
        <v>70717.860000000117</v>
      </c>
      <c r="C14" s="2">
        <v>70735.02000000012</v>
      </c>
      <c r="D14" s="2">
        <v>70756.430000000124</v>
      </c>
      <c r="E14" s="2">
        <v>70777.450000000128</v>
      </c>
      <c r="F14" s="2">
        <v>70794.840000000127</v>
      </c>
      <c r="G14" s="2">
        <v>70815.910000000134</v>
      </c>
      <c r="H14" s="2">
        <v>70827.39000000013</v>
      </c>
      <c r="I14" s="2">
        <v>70848.480000000127</v>
      </c>
      <c r="J14" s="2">
        <v>70868.430000000124</v>
      </c>
      <c r="K14" s="2">
        <v>70880.690000000119</v>
      </c>
      <c r="L14" s="2">
        <v>70892.940000000119</v>
      </c>
      <c r="M14" s="2">
        <v>70912.670000000115</v>
      </c>
      <c r="N14" s="2">
        <v>70931.630000000121</v>
      </c>
      <c r="O14" s="2">
        <v>70933.580000000118</v>
      </c>
      <c r="P14" s="2">
        <v>70945.290000000125</v>
      </c>
      <c r="Q14" s="2">
        <v>70958.460000000123</v>
      </c>
      <c r="R14" s="2">
        <v>70975.110000000117</v>
      </c>
      <c r="S14" s="2">
        <v>70991.640000000116</v>
      </c>
      <c r="T14" s="2">
        <v>71006.530000000115</v>
      </c>
      <c r="U14" s="2">
        <v>71028.130000000121</v>
      </c>
      <c r="V14" s="2">
        <v>71049.380000000121</v>
      </c>
      <c r="W14" s="2">
        <v>71064.470000000118</v>
      </c>
      <c r="X14" s="2">
        <v>71084.290000000125</v>
      </c>
      <c r="Y14" s="2">
        <v>71104.110000000132</v>
      </c>
      <c r="Z14" s="2">
        <v>71118.500000000131</v>
      </c>
      <c r="AA14" s="2">
        <v>71139.410000000134</v>
      </c>
      <c r="AB14" s="2">
        <v>71160.64000000013</v>
      </c>
      <c r="AC14" s="2">
        <v>71181.790000000125</v>
      </c>
      <c r="AD14" s="2">
        <v>71192.970000000118</v>
      </c>
      <c r="AE14" s="2">
        <v>71214.550000000119</v>
      </c>
      <c r="AF14" s="3">
        <v>71237.370000000126</v>
      </c>
      <c r="AG14" s="51">
        <f t="shared" si="0"/>
        <v>71237.370000000126</v>
      </c>
      <c r="AH14" s="44">
        <v>0</v>
      </c>
    </row>
    <row r="15" spans="1:34" x14ac:dyDescent="0.35">
      <c r="A15" s="33" t="s">
        <v>21</v>
      </c>
      <c r="B15" s="10">
        <v>71635.4800000002</v>
      </c>
      <c r="C15" s="2">
        <v>71657.650000000198</v>
      </c>
      <c r="D15" s="2">
        <v>71670.530000000203</v>
      </c>
      <c r="E15" s="2">
        <v>71690.190000000206</v>
      </c>
      <c r="F15" s="2">
        <v>71706.930000000211</v>
      </c>
      <c r="G15" s="2">
        <v>71706.930000000211</v>
      </c>
      <c r="H15" s="2">
        <v>71706.930000000211</v>
      </c>
      <c r="I15" s="2">
        <v>71711.920000000217</v>
      </c>
      <c r="J15" s="2">
        <v>71733.230000000214</v>
      </c>
      <c r="K15" s="2">
        <v>71750.990000000209</v>
      </c>
      <c r="L15" s="2">
        <v>71772.300000000207</v>
      </c>
      <c r="M15" s="2">
        <v>71792.400000000212</v>
      </c>
      <c r="N15" s="2">
        <v>71805.380000000208</v>
      </c>
      <c r="O15" s="2">
        <v>71823.410000000207</v>
      </c>
      <c r="P15" s="2">
        <v>71840.160000000207</v>
      </c>
      <c r="Q15" s="2">
        <v>71859.280000000203</v>
      </c>
      <c r="R15" s="2">
        <v>71880.7300000002</v>
      </c>
      <c r="S15" s="2">
        <v>71902.060000000201</v>
      </c>
      <c r="T15" s="2">
        <v>71921.530000000203</v>
      </c>
      <c r="U15" s="2">
        <v>71941.700000000201</v>
      </c>
      <c r="V15" s="2">
        <v>71962.580000000205</v>
      </c>
      <c r="W15" s="2">
        <v>71982.660000000207</v>
      </c>
      <c r="X15" s="2">
        <v>72004.110000000204</v>
      </c>
      <c r="Y15" s="2">
        <v>72025.310000000201</v>
      </c>
      <c r="Z15" s="2">
        <v>72046.540000000197</v>
      </c>
      <c r="AA15" s="2">
        <v>72067.990000000194</v>
      </c>
      <c r="AB15" s="2">
        <v>72087.97000000019</v>
      </c>
      <c r="AC15" s="2">
        <v>72104.370000000185</v>
      </c>
      <c r="AD15" s="2">
        <v>72124.260000000184</v>
      </c>
      <c r="AE15" s="2">
        <v>72146.090000000186</v>
      </c>
      <c r="AF15" s="3">
        <v>72167.790000000183</v>
      </c>
      <c r="AG15" s="51">
        <f t="shared" si="0"/>
        <v>72167.790000000183</v>
      </c>
      <c r="AH15" s="44">
        <v>0</v>
      </c>
    </row>
    <row r="16" spans="1:34" x14ac:dyDescent="0.35">
      <c r="A16" s="33" t="s">
        <v>22</v>
      </c>
      <c r="B16" s="10">
        <v>69340.149999999965</v>
      </c>
      <c r="C16" s="2">
        <v>69340.149999999965</v>
      </c>
      <c r="D16" s="2">
        <v>69340.149999999965</v>
      </c>
      <c r="E16" s="2">
        <v>69340.149999999965</v>
      </c>
      <c r="F16" s="2">
        <v>69349.989999999962</v>
      </c>
      <c r="G16" s="2">
        <v>69371.889999999956</v>
      </c>
      <c r="H16" s="2">
        <v>69393.819999999949</v>
      </c>
      <c r="I16" s="2">
        <v>69416.089999999953</v>
      </c>
      <c r="J16" s="2">
        <v>69429.309999999954</v>
      </c>
      <c r="K16" s="2">
        <v>69448.419999999955</v>
      </c>
      <c r="L16" s="2">
        <v>69470.01999999996</v>
      </c>
      <c r="M16" s="2">
        <v>69485.999999999956</v>
      </c>
      <c r="N16" s="2">
        <v>69505.869999999952</v>
      </c>
      <c r="O16" s="2">
        <v>69521.019999999946</v>
      </c>
      <c r="P16" s="2">
        <v>69542.969999999943</v>
      </c>
      <c r="Q16" s="2">
        <v>69564.249999999942</v>
      </c>
      <c r="R16" s="2">
        <v>69579.769999999946</v>
      </c>
      <c r="S16" s="2">
        <v>69598.719999999943</v>
      </c>
      <c r="T16" s="2">
        <v>69620.049999999945</v>
      </c>
      <c r="U16" s="2">
        <v>69639.939999999944</v>
      </c>
      <c r="V16" s="2">
        <v>69661.329999999944</v>
      </c>
      <c r="W16" s="2">
        <v>69678.119999999937</v>
      </c>
      <c r="X16" s="2">
        <v>69696.059999999939</v>
      </c>
      <c r="Y16" s="2">
        <v>69715.089999999938</v>
      </c>
      <c r="Z16" s="2">
        <v>69732.129999999932</v>
      </c>
      <c r="AA16" s="2">
        <v>69753.479999999938</v>
      </c>
      <c r="AB16" s="2">
        <v>69774.349999999933</v>
      </c>
      <c r="AC16" s="2">
        <v>69788.979999999938</v>
      </c>
      <c r="AD16" s="2">
        <v>69789.219999999943</v>
      </c>
      <c r="AE16" s="2">
        <v>69804.819999999949</v>
      </c>
      <c r="AF16" s="3">
        <v>69825.169999999955</v>
      </c>
      <c r="AG16" s="51">
        <f t="shared" si="0"/>
        <v>69825.169999999955</v>
      </c>
      <c r="AH16" s="44">
        <v>0</v>
      </c>
    </row>
    <row r="17" spans="1:34" x14ac:dyDescent="0.35">
      <c r="A17" s="33" t="s">
        <v>23</v>
      </c>
      <c r="B17" s="10">
        <v>70707.880000000107</v>
      </c>
      <c r="C17" s="2">
        <v>70724.500000000102</v>
      </c>
      <c r="D17" s="2">
        <v>70734.8100000001</v>
      </c>
      <c r="E17" s="2">
        <v>70757.450000000099</v>
      </c>
      <c r="F17" s="2">
        <v>70778.890000000101</v>
      </c>
      <c r="G17" s="2">
        <v>70801.040000000095</v>
      </c>
      <c r="H17" s="2">
        <v>70823.350000000093</v>
      </c>
      <c r="I17" s="2">
        <v>70845.640000000087</v>
      </c>
      <c r="J17" s="2">
        <v>70863.860000000088</v>
      </c>
      <c r="K17" s="2">
        <v>70884.640000000087</v>
      </c>
      <c r="L17" s="2">
        <v>70899.970000000088</v>
      </c>
      <c r="M17" s="2">
        <v>70919.530000000086</v>
      </c>
      <c r="N17" s="2">
        <v>70939.30000000009</v>
      </c>
      <c r="O17" s="2">
        <v>70960.44000000009</v>
      </c>
      <c r="P17" s="2">
        <v>70979.110000000088</v>
      </c>
      <c r="Q17" s="2">
        <v>70992.140000000087</v>
      </c>
      <c r="R17" s="2">
        <v>71002.410000000091</v>
      </c>
      <c r="S17" s="2">
        <v>71022.920000000086</v>
      </c>
      <c r="T17" s="2">
        <v>71044.260000000082</v>
      </c>
      <c r="U17" s="2">
        <v>71066.130000000077</v>
      </c>
      <c r="V17" s="2">
        <v>71083.050000000076</v>
      </c>
      <c r="W17" s="2">
        <v>71100.370000000083</v>
      </c>
      <c r="X17" s="2">
        <v>71109.94000000009</v>
      </c>
      <c r="Y17" s="2">
        <v>71125.780000000086</v>
      </c>
      <c r="Z17" s="2">
        <v>71137.200000000084</v>
      </c>
      <c r="AA17" s="2">
        <v>71143.540000000081</v>
      </c>
      <c r="AB17" s="2">
        <v>71164.860000000088</v>
      </c>
      <c r="AC17" s="2">
        <v>71182.880000000092</v>
      </c>
      <c r="AD17" s="2">
        <v>71204.010000000097</v>
      </c>
      <c r="AE17" s="2">
        <v>71225.500000000102</v>
      </c>
      <c r="AF17" s="3">
        <v>71246.740000000107</v>
      </c>
      <c r="AG17" s="51">
        <f t="shared" si="0"/>
        <v>71246.740000000107</v>
      </c>
      <c r="AH17" s="44">
        <v>0</v>
      </c>
    </row>
    <row r="18" spans="1:34" x14ac:dyDescent="0.35">
      <c r="A18" s="33" t="s">
        <v>24</v>
      </c>
      <c r="B18" s="10">
        <v>71047.270000000048</v>
      </c>
      <c r="C18" s="2">
        <v>71057.100000000049</v>
      </c>
      <c r="D18" s="2">
        <v>71057.100000000049</v>
      </c>
      <c r="E18" s="2">
        <v>71057.100000000049</v>
      </c>
      <c r="F18" s="2">
        <v>71057.100000000049</v>
      </c>
      <c r="G18" s="2">
        <v>71057.100000000049</v>
      </c>
      <c r="H18" s="2">
        <v>71067.290000000052</v>
      </c>
      <c r="I18" s="2">
        <v>71085.500000000058</v>
      </c>
      <c r="J18" s="2">
        <v>71099.610000000059</v>
      </c>
      <c r="K18" s="2">
        <v>71121.170000000056</v>
      </c>
      <c r="L18" s="2">
        <v>71135.820000000051</v>
      </c>
      <c r="M18" s="2">
        <v>71152.110000000044</v>
      </c>
      <c r="N18" s="2">
        <v>71172.720000000045</v>
      </c>
      <c r="O18" s="2">
        <v>71193.800000000047</v>
      </c>
      <c r="P18" s="2">
        <v>71214.570000000051</v>
      </c>
      <c r="Q18" s="2">
        <v>71233.880000000048</v>
      </c>
      <c r="R18" s="2">
        <v>71255.390000000043</v>
      </c>
      <c r="S18" s="2">
        <v>71269.490000000049</v>
      </c>
      <c r="T18" s="2">
        <v>71291.520000000048</v>
      </c>
      <c r="U18" s="2">
        <v>71313.200000000041</v>
      </c>
      <c r="V18" s="2">
        <v>71334.550000000047</v>
      </c>
      <c r="W18" s="2">
        <v>71356.180000000051</v>
      </c>
      <c r="X18" s="2">
        <v>71361.080000000045</v>
      </c>
      <c r="Y18" s="2">
        <v>71361.080000000045</v>
      </c>
      <c r="Z18" s="2">
        <v>71376.410000000047</v>
      </c>
      <c r="AA18" s="2">
        <v>71394.680000000051</v>
      </c>
      <c r="AB18" s="2">
        <v>71404.550000000047</v>
      </c>
      <c r="AC18" s="2">
        <v>71422.320000000051</v>
      </c>
      <c r="AD18" s="2">
        <v>71442.420000000056</v>
      </c>
      <c r="AE18" s="2">
        <v>71461.060000000056</v>
      </c>
      <c r="AF18" s="3">
        <v>71474.910000000062</v>
      </c>
      <c r="AG18" s="51">
        <f t="shared" si="0"/>
        <v>71474.910000000062</v>
      </c>
      <c r="AH18" s="44">
        <v>0</v>
      </c>
    </row>
    <row r="19" spans="1:34" x14ac:dyDescent="0.35">
      <c r="A19" s="33" t="s">
        <v>25</v>
      </c>
      <c r="B19" s="10">
        <v>69761.010000000169</v>
      </c>
      <c r="C19" s="2">
        <v>69782.170000000173</v>
      </c>
      <c r="D19" s="2">
        <v>69803.450000000172</v>
      </c>
      <c r="E19" s="2">
        <v>69814.300000000178</v>
      </c>
      <c r="F19" s="2">
        <v>69816.780000000173</v>
      </c>
      <c r="G19" s="2">
        <v>69837.640000000174</v>
      </c>
      <c r="H19" s="2">
        <v>69856.330000000176</v>
      </c>
      <c r="I19" s="2">
        <v>69863.660000000178</v>
      </c>
      <c r="J19" s="2">
        <v>69884.430000000182</v>
      </c>
      <c r="K19" s="2">
        <v>69905.630000000179</v>
      </c>
      <c r="L19" s="2">
        <v>69927.400000000183</v>
      </c>
      <c r="M19" s="2">
        <v>69948.330000000176</v>
      </c>
      <c r="N19" s="2">
        <v>69969.320000000182</v>
      </c>
      <c r="O19" s="2">
        <v>69987.140000000189</v>
      </c>
      <c r="P19" s="2">
        <v>69998.350000000195</v>
      </c>
      <c r="Q19" s="2">
        <v>70018.450000000201</v>
      </c>
      <c r="R19" s="2">
        <v>70023.200000000201</v>
      </c>
      <c r="S19" s="2">
        <v>70038.470000000205</v>
      </c>
      <c r="T19" s="2">
        <v>70045.35000000021</v>
      </c>
      <c r="U19" s="2">
        <v>70045.35000000021</v>
      </c>
      <c r="V19" s="2">
        <v>70045.35000000021</v>
      </c>
      <c r="W19" s="2">
        <v>70045.35000000021</v>
      </c>
      <c r="X19" s="2">
        <v>70045.35000000021</v>
      </c>
      <c r="Y19" s="2">
        <v>70045.35000000021</v>
      </c>
      <c r="Z19" s="2">
        <v>70056.220000000205</v>
      </c>
      <c r="AA19" s="2">
        <v>70062.430000000211</v>
      </c>
      <c r="AB19" s="2">
        <v>70076.230000000214</v>
      </c>
      <c r="AC19" s="2">
        <v>70093.430000000211</v>
      </c>
      <c r="AD19" s="2">
        <v>70114.71000000021</v>
      </c>
      <c r="AE19" s="2">
        <v>70129.970000000205</v>
      </c>
      <c r="AF19" s="3">
        <v>70152.320000000211</v>
      </c>
      <c r="AG19" s="51">
        <f t="shared" si="0"/>
        <v>70152.320000000211</v>
      </c>
      <c r="AH19" s="44">
        <v>0</v>
      </c>
    </row>
    <row r="20" spans="1:34" x14ac:dyDescent="0.35">
      <c r="A20" s="33" t="s">
        <v>26</v>
      </c>
      <c r="B20" s="10">
        <v>70770.709999999948</v>
      </c>
      <c r="C20" s="2">
        <v>70791.839999999953</v>
      </c>
      <c r="D20" s="2">
        <v>70813.619999999952</v>
      </c>
      <c r="E20" s="2">
        <v>70826.799999999945</v>
      </c>
      <c r="F20" s="2">
        <v>70844.399999999951</v>
      </c>
      <c r="G20" s="2">
        <v>70864.919999999955</v>
      </c>
      <c r="H20" s="2">
        <v>70886.639999999956</v>
      </c>
      <c r="I20" s="2">
        <v>70908.51999999996</v>
      </c>
      <c r="J20" s="2">
        <v>70929.089999999967</v>
      </c>
      <c r="K20" s="2">
        <v>70942.079999999973</v>
      </c>
      <c r="L20" s="2">
        <v>70961.109999999971</v>
      </c>
      <c r="M20" s="2">
        <v>70980.949999999968</v>
      </c>
      <c r="N20" s="2">
        <v>71002.349999999962</v>
      </c>
      <c r="O20" s="2">
        <v>71023.689999999959</v>
      </c>
      <c r="P20" s="2">
        <v>71043.539999999964</v>
      </c>
      <c r="Q20" s="2">
        <v>71063.38999999997</v>
      </c>
      <c r="R20" s="2">
        <v>71083.489999999976</v>
      </c>
      <c r="S20" s="2">
        <v>71104.739999999976</v>
      </c>
      <c r="T20" s="2">
        <v>71124.50999999998</v>
      </c>
      <c r="U20" s="2">
        <v>71145.939999999973</v>
      </c>
      <c r="V20" s="2">
        <v>71167.369999999966</v>
      </c>
      <c r="W20" s="2">
        <v>71189.219999999972</v>
      </c>
      <c r="X20" s="2">
        <v>71205.359999999971</v>
      </c>
      <c r="Y20" s="2">
        <v>71205.359999999971</v>
      </c>
      <c r="Z20" s="2">
        <v>71205.359999999971</v>
      </c>
      <c r="AA20" s="2">
        <v>71205.359999999971</v>
      </c>
      <c r="AB20" s="2">
        <v>71205.359999999971</v>
      </c>
      <c r="AC20" s="2">
        <v>71205.359999999971</v>
      </c>
      <c r="AD20" s="2">
        <v>71205.359999999971</v>
      </c>
      <c r="AE20" s="2">
        <v>71220.039999999964</v>
      </c>
      <c r="AF20" s="3">
        <v>71237.229999999967</v>
      </c>
      <c r="AG20" s="51">
        <f t="shared" si="0"/>
        <v>71237.229999999967</v>
      </c>
      <c r="AH20" s="44">
        <v>0</v>
      </c>
    </row>
    <row r="21" spans="1:34" x14ac:dyDescent="0.35">
      <c r="A21" s="33" t="s">
        <v>27</v>
      </c>
      <c r="B21" s="10">
        <v>71488.820000000036</v>
      </c>
      <c r="C21" s="2">
        <v>71504.790000000037</v>
      </c>
      <c r="D21" s="2">
        <v>71526.780000000042</v>
      </c>
      <c r="E21" s="2">
        <v>71542.190000000046</v>
      </c>
      <c r="F21" s="2">
        <v>71559.900000000052</v>
      </c>
      <c r="G21" s="2">
        <v>71582.530000000057</v>
      </c>
      <c r="H21" s="2">
        <v>71603.800000000061</v>
      </c>
      <c r="I21" s="2">
        <v>71624.900000000067</v>
      </c>
      <c r="J21" s="2">
        <v>71645.410000000062</v>
      </c>
      <c r="K21" s="2">
        <v>71666.560000000056</v>
      </c>
      <c r="L21" s="2">
        <v>71686.870000000054</v>
      </c>
      <c r="M21" s="2">
        <v>71704.650000000052</v>
      </c>
      <c r="N21" s="2">
        <v>71704.650000000052</v>
      </c>
      <c r="O21" s="2">
        <v>71715.500000000058</v>
      </c>
      <c r="P21" s="2">
        <v>71736.020000000062</v>
      </c>
      <c r="Q21" s="2">
        <v>71757.710000000065</v>
      </c>
      <c r="R21" s="2">
        <v>71778.540000000066</v>
      </c>
      <c r="S21" s="2">
        <v>71791.790000000066</v>
      </c>
      <c r="T21" s="2">
        <v>71811.410000000062</v>
      </c>
      <c r="U21" s="2">
        <v>71822.190000000061</v>
      </c>
      <c r="V21" s="2">
        <v>71843.420000000056</v>
      </c>
      <c r="W21" s="2">
        <v>71865.340000000055</v>
      </c>
      <c r="X21" s="2">
        <v>71886.290000000052</v>
      </c>
      <c r="Y21" s="2">
        <v>71905.490000000049</v>
      </c>
      <c r="Z21" s="2">
        <v>71913.730000000054</v>
      </c>
      <c r="AA21" s="2">
        <v>71927.950000000055</v>
      </c>
      <c r="AB21" s="2">
        <v>71938.450000000055</v>
      </c>
      <c r="AC21" s="2">
        <v>71951.660000000062</v>
      </c>
      <c r="AD21" s="2">
        <v>71959.930000000066</v>
      </c>
      <c r="AE21" s="2">
        <v>71980.510000000068</v>
      </c>
      <c r="AF21" s="3">
        <v>71996.580000000075</v>
      </c>
      <c r="AG21" s="51">
        <f t="shared" si="0"/>
        <v>71996.580000000075</v>
      </c>
      <c r="AH21" s="44">
        <v>0</v>
      </c>
    </row>
    <row r="22" spans="1:34" x14ac:dyDescent="0.35">
      <c r="A22" s="33" t="s">
        <v>28</v>
      </c>
      <c r="B22" s="10">
        <v>68236.400000000023</v>
      </c>
      <c r="C22" s="2">
        <v>68253.690000000017</v>
      </c>
      <c r="D22" s="2">
        <v>68275.080000000016</v>
      </c>
      <c r="E22" s="2">
        <v>68290.030000000013</v>
      </c>
      <c r="F22" s="2">
        <v>68307.960000000006</v>
      </c>
      <c r="G22" s="2">
        <v>68327.180000000008</v>
      </c>
      <c r="H22" s="2">
        <v>68348.3</v>
      </c>
      <c r="I22" s="2">
        <v>68369.69</v>
      </c>
      <c r="J22" s="2">
        <v>68389.87</v>
      </c>
      <c r="K22" s="2">
        <v>68411.5</v>
      </c>
      <c r="L22" s="2">
        <v>68428.33</v>
      </c>
      <c r="M22" s="2">
        <v>68428.33</v>
      </c>
      <c r="N22" s="2">
        <v>68432.240000000005</v>
      </c>
      <c r="O22" s="2">
        <v>68444.900000000009</v>
      </c>
      <c r="P22" s="2">
        <v>68466.080000000002</v>
      </c>
      <c r="Q22" s="2">
        <v>68487.25</v>
      </c>
      <c r="R22" s="2">
        <v>68506.350000000006</v>
      </c>
      <c r="S22" s="2">
        <v>68518.22</v>
      </c>
      <c r="T22" s="2">
        <v>68536.89</v>
      </c>
      <c r="U22" s="2">
        <v>68552.72</v>
      </c>
      <c r="V22" s="2">
        <v>68552.72</v>
      </c>
      <c r="W22" s="2">
        <v>68554.42</v>
      </c>
      <c r="X22" s="2">
        <v>68554.55</v>
      </c>
      <c r="Y22" s="2">
        <v>68561.16</v>
      </c>
      <c r="Z22" s="2">
        <v>68572.14</v>
      </c>
      <c r="AA22" s="2">
        <v>68583.069999999992</v>
      </c>
      <c r="AB22" s="2">
        <v>68603.03</v>
      </c>
      <c r="AC22" s="2">
        <v>68623.59</v>
      </c>
      <c r="AD22" s="2">
        <v>68641.2</v>
      </c>
      <c r="AE22" s="2">
        <v>68655.899999999994</v>
      </c>
      <c r="AF22" s="3">
        <v>68677.36</v>
      </c>
      <c r="AG22" s="51">
        <f t="shared" si="0"/>
        <v>68677.36</v>
      </c>
      <c r="AH22" s="44">
        <v>0</v>
      </c>
    </row>
    <row r="23" spans="1:34" x14ac:dyDescent="0.35">
      <c r="A23" s="33" t="s">
        <v>29</v>
      </c>
      <c r="B23" s="10">
        <v>65618.829999999944</v>
      </c>
      <c r="C23" s="2">
        <v>65633.489999999947</v>
      </c>
      <c r="D23" s="2">
        <v>65653.939999999944</v>
      </c>
      <c r="E23" s="2">
        <v>65672.479999999938</v>
      </c>
      <c r="F23" s="2">
        <v>65694.319999999934</v>
      </c>
      <c r="G23" s="2">
        <v>65706.599999999933</v>
      </c>
      <c r="H23" s="2">
        <v>65717.249999999927</v>
      </c>
      <c r="I23" s="2">
        <v>65738.999999999927</v>
      </c>
      <c r="J23" s="2">
        <v>65755.42999999992</v>
      </c>
      <c r="K23" s="2">
        <v>65776.099999999919</v>
      </c>
      <c r="L23" s="2">
        <v>65797.17999999992</v>
      </c>
      <c r="M23" s="2">
        <v>65818.739999999918</v>
      </c>
      <c r="N23" s="2">
        <v>65839.499999999913</v>
      </c>
      <c r="O23" s="2">
        <v>65852.56999999992</v>
      </c>
      <c r="P23" s="2">
        <v>65873.609999999913</v>
      </c>
      <c r="Q23" s="2">
        <v>65894.939999999915</v>
      </c>
      <c r="R23" s="2">
        <v>65916.579999999914</v>
      </c>
      <c r="S23" s="2">
        <v>65929.389999999912</v>
      </c>
      <c r="T23" s="2">
        <v>65948.849999999919</v>
      </c>
      <c r="U23" s="2">
        <v>65959.489999999918</v>
      </c>
      <c r="V23" s="2">
        <v>65977.989999999918</v>
      </c>
      <c r="W23" s="2">
        <v>65988.939999999915</v>
      </c>
      <c r="X23" s="2">
        <v>66002.159999999916</v>
      </c>
      <c r="Y23" s="2">
        <v>66020.579999999914</v>
      </c>
      <c r="Z23" s="2">
        <v>66042.079999999914</v>
      </c>
      <c r="AA23" s="2">
        <v>66049.889999999912</v>
      </c>
      <c r="AB23" s="2">
        <v>66069.289999999906</v>
      </c>
      <c r="AC23" s="2">
        <v>66089.609999999913</v>
      </c>
      <c r="AD23" s="2">
        <v>66100.079999999914</v>
      </c>
      <c r="AE23" s="2">
        <v>66120.399999999921</v>
      </c>
      <c r="AF23" s="3">
        <v>66141.989999999918</v>
      </c>
      <c r="AG23" s="51">
        <f t="shared" si="0"/>
        <v>66141.989999999918</v>
      </c>
      <c r="AH23" s="44">
        <v>0</v>
      </c>
    </row>
    <row r="24" spans="1:34" x14ac:dyDescent="0.35">
      <c r="A24" s="33" t="s">
        <v>30</v>
      </c>
      <c r="B24" s="10">
        <v>64155.390000000065</v>
      </c>
      <c r="C24" s="2">
        <v>64177.010000000068</v>
      </c>
      <c r="D24" s="2">
        <v>64198.610000000066</v>
      </c>
      <c r="E24" s="2">
        <v>64220.240000000063</v>
      </c>
      <c r="F24" s="2">
        <v>64227.530000000064</v>
      </c>
      <c r="G24" s="2">
        <v>64236.340000000062</v>
      </c>
      <c r="H24" s="2">
        <v>64252.610000000059</v>
      </c>
      <c r="I24" s="2">
        <v>64273.660000000062</v>
      </c>
      <c r="J24" s="2">
        <v>64283.700000000063</v>
      </c>
      <c r="K24" s="2">
        <v>64305.200000000063</v>
      </c>
      <c r="L24" s="2">
        <v>64325.720000000059</v>
      </c>
      <c r="M24" s="2">
        <v>64347.600000000057</v>
      </c>
      <c r="N24" s="2">
        <v>64359.930000000058</v>
      </c>
      <c r="O24" s="2">
        <v>64378.610000000059</v>
      </c>
      <c r="P24" s="2">
        <v>64392.870000000061</v>
      </c>
      <c r="Q24" s="2">
        <v>64412.620000000061</v>
      </c>
      <c r="R24" s="2">
        <v>64434.310000000063</v>
      </c>
      <c r="S24" s="2">
        <v>64451.51000000006</v>
      </c>
      <c r="T24" s="2">
        <v>64466.930000000058</v>
      </c>
      <c r="U24" s="2">
        <v>64487.120000000061</v>
      </c>
      <c r="V24" s="2">
        <v>64492.480000000061</v>
      </c>
      <c r="W24" s="2">
        <v>64503.070000000058</v>
      </c>
      <c r="X24" s="2">
        <v>64509.570000000058</v>
      </c>
      <c r="Y24" s="2">
        <v>64517.680000000058</v>
      </c>
      <c r="Z24" s="2">
        <v>64522.940000000061</v>
      </c>
      <c r="AA24" s="2">
        <v>64522.940000000061</v>
      </c>
      <c r="AB24" s="2">
        <v>64522.940000000061</v>
      </c>
      <c r="AC24" s="2">
        <v>64534.180000000058</v>
      </c>
      <c r="AD24" s="2">
        <v>64541.430000000058</v>
      </c>
      <c r="AE24" s="2">
        <v>64550.930000000058</v>
      </c>
      <c r="AF24" s="3">
        <v>64572.200000000055</v>
      </c>
      <c r="AG24" s="51">
        <f t="shared" si="0"/>
        <v>64572.200000000055</v>
      </c>
      <c r="AH24" s="44">
        <v>0</v>
      </c>
    </row>
    <row r="25" spans="1:34" x14ac:dyDescent="0.35">
      <c r="A25" s="33" t="s">
        <v>31</v>
      </c>
      <c r="B25" s="10">
        <v>63596.600000000006</v>
      </c>
      <c r="C25" s="2">
        <v>63603.320000000007</v>
      </c>
      <c r="D25" s="2">
        <v>63620.41</v>
      </c>
      <c r="E25" s="2">
        <v>63641.37</v>
      </c>
      <c r="F25" s="2">
        <v>63658.62</v>
      </c>
      <c r="G25" s="2">
        <v>63672.160000000003</v>
      </c>
      <c r="H25" s="2">
        <v>63690.29</v>
      </c>
      <c r="I25" s="2">
        <v>63707.020000000004</v>
      </c>
      <c r="J25" s="2">
        <v>63727.47</v>
      </c>
      <c r="K25" s="2">
        <v>63748.57</v>
      </c>
      <c r="L25" s="2">
        <v>63763.79</v>
      </c>
      <c r="M25" s="2">
        <v>63784.700000000004</v>
      </c>
      <c r="N25" s="2">
        <v>63805.600000000006</v>
      </c>
      <c r="O25" s="2">
        <v>63814.930000000008</v>
      </c>
      <c r="P25" s="2">
        <v>63835.790000000008</v>
      </c>
      <c r="Q25" s="2">
        <v>63843.450000000012</v>
      </c>
      <c r="R25" s="2">
        <v>63864.960000000014</v>
      </c>
      <c r="S25" s="2">
        <v>63884.630000000012</v>
      </c>
      <c r="T25" s="2">
        <v>63900.540000000015</v>
      </c>
      <c r="U25" s="2">
        <v>63921.910000000018</v>
      </c>
      <c r="V25" s="2">
        <v>63932.720000000016</v>
      </c>
      <c r="W25" s="2">
        <v>63935.870000000017</v>
      </c>
      <c r="X25" s="2">
        <v>63956.910000000018</v>
      </c>
      <c r="Y25" s="2">
        <v>63978.270000000019</v>
      </c>
      <c r="Z25" s="2">
        <v>63996.500000000022</v>
      </c>
      <c r="AA25" s="2">
        <v>64018.550000000025</v>
      </c>
      <c r="AB25" s="2">
        <v>64024.500000000022</v>
      </c>
      <c r="AC25" s="2">
        <v>64024.500000000022</v>
      </c>
      <c r="AD25" s="2">
        <v>64044.810000000019</v>
      </c>
      <c r="AE25" s="2">
        <v>64066.60000000002</v>
      </c>
      <c r="AF25" s="3">
        <v>64082.710000000021</v>
      </c>
      <c r="AG25" s="51">
        <f t="shared" si="0"/>
        <v>64082.710000000021</v>
      </c>
      <c r="AH25" s="44">
        <v>0</v>
      </c>
    </row>
    <row r="26" spans="1:34" x14ac:dyDescent="0.35">
      <c r="A26" s="33" t="s">
        <v>32</v>
      </c>
      <c r="B26" s="10">
        <v>64914.22</v>
      </c>
      <c r="C26" s="2">
        <v>64922.35</v>
      </c>
      <c r="D26" s="2">
        <v>64940.439999999995</v>
      </c>
      <c r="E26" s="2">
        <v>64960.109999999993</v>
      </c>
      <c r="F26" s="2">
        <v>64981.399999999994</v>
      </c>
      <c r="G26" s="2">
        <v>65002.929999999993</v>
      </c>
      <c r="H26" s="2">
        <v>65024.149999999994</v>
      </c>
      <c r="I26" s="2">
        <v>65044.459999999992</v>
      </c>
      <c r="J26" s="2">
        <v>65066.239999999991</v>
      </c>
      <c r="K26" s="2">
        <v>65087.579999999987</v>
      </c>
      <c r="L26" s="2">
        <v>65109.009999999987</v>
      </c>
      <c r="M26" s="2">
        <v>65120.939999999988</v>
      </c>
      <c r="N26" s="2">
        <v>65141.639999999985</v>
      </c>
      <c r="O26" s="2">
        <v>65160.229999999981</v>
      </c>
      <c r="P26" s="2">
        <v>65181.679999999978</v>
      </c>
      <c r="Q26" s="2">
        <v>65194.339999999982</v>
      </c>
      <c r="R26" s="2">
        <v>65215.839999999982</v>
      </c>
      <c r="S26" s="2">
        <v>65219.739999999983</v>
      </c>
      <c r="T26" s="2">
        <v>65240.729999999981</v>
      </c>
      <c r="U26" s="2">
        <v>65262.429999999978</v>
      </c>
      <c r="V26" s="2">
        <v>65282.879999999976</v>
      </c>
      <c r="W26" s="2">
        <v>65299.779999999977</v>
      </c>
      <c r="X26" s="2">
        <v>65321.569999999978</v>
      </c>
      <c r="Y26" s="2">
        <v>65342.169999999976</v>
      </c>
      <c r="Z26" s="2">
        <v>65363.939999999973</v>
      </c>
      <c r="AA26" s="2">
        <v>65385.52999999997</v>
      </c>
      <c r="AB26" s="2">
        <v>65385.52999999997</v>
      </c>
      <c r="AC26" s="2">
        <v>65390.089999999967</v>
      </c>
      <c r="AD26" s="2">
        <v>65411.869999999966</v>
      </c>
      <c r="AE26" s="2">
        <v>65427.389999999963</v>
      </c>
      <c r="AF26" s="3">
        <v>65442.499999999964</v>
      </c>
      <c r="AG26" s="51">
        <f t="shared" si="0"/>
        <v>65442.499999999964</v>
      </c>
      <c r="AH26" s="44">
        <v>0</v>
      </c>
    </row>
    <row r="27" spans="1:34" x14ac:dyDescent="0.35">
      <c r="A27" s="33" t="s">
        <v>33</v>
      </c>
      <c r="B27" s="10">
        <v>65104.690000000046</v>
      </c>
      <c r="C27" s="2">
        <v>65126.440000000046</v>
      </c>
      <c r="D27" s="2">
        <v>65147.630000000048</v>
      </c>
      <c r="E27" s="2">
        <v>65169.080000000045</v>
      </c>
      <c r="F27" s="2">
        <v>65190.380000000048</v>
      </c>
      <c r="G27" s="2">
        <v>65211.740000000049</v>
      </c>
      <c r="H27" s="2">
        <v>65218.28000000005</v>
      </c>
      <c r="I27" s="2">
        <v>65240.260000000053</v>
      </c>
      <c r="J27" s="2">
        <v>65258.290000000052</v>
      </c>
      <c r="K27" s="2">
        <v>65276.480000000054</v>
      </c>
      <c r="L27" s="2">
        <v>65293.850000000057</v>
      </c>
      <c r="M27" s="2">
        <v>65308.490000000056</v>
      </c>
      <c r="N27" s="2">
        <v>65326.350000000057</v>
      </c>
      <c r="O27" s="2">
        <v>65347.670000000056</v>
      </c>
      <c r="P27" s="2">
        <v>65369.280000000057</v>
      </c>
      <c r="Q27" s="2">
        <v>65386.220000000059</v>
      </c>
      <c r="R27" s="2">
        <v>65407.030000000057</v>
      </c>
      <c r="S27" s="2">
        <v>65418.540000000059</v>
      </c>
      <c r="T27" s="2">
        <v>65436.300000000061</v>
      </c>
      <c r="U27" s="2">
        <v>65456.870000000061</v>
      </c>
      <c r="V27" s="2">
        <v>65465.240000000063</v>
      </c>
      <c r="W27" s="2">
        <v>65479.400000000067</v>
      </c>
      <c r="X27" s="2">
        <v>65497.910000000069</v>
      </c>
      <c r="Y27" s="2">
        <v>65514.640000000072</v>
      </c>
      <c r="Z27" s="2">
        <v>65534.20000000007</v>
      </c>
      <c r="AA27" s="2">
        <v>65551.550000000076</v>
      </c>
      <c r="AB27" s="2">
        <v>65557.940000000075</v>
      </c>
      <c r="AC27" s="2">
        <v>65572.460000000079</v>
      </c>
      <c r="AD27" s="2">
        <v>65588.68000000008</v>
      </c>
      <c r="AE27" s="2">
        <v>65605.300000000076</v>
      </c>
      <c r="AF27" s="3">
        <v>65625.760000000082</v>
      </c>
      <c r="AG27" s="51">
        <f t="shared" si="0"/>
        <v>65625.760000000082</v>
      </c>
      <c r="AH27" s="44">
        <v>0</v>
      </c>
    </row>
    <row r="28" spans="1:34" x14ac:dyDescent="0.35">
      <c r="A28" s="33" t="s">
        <v>34</v>
      </c>
      <c r="B28" s="10">
        <v>62633.540000000081</v>
      </c>
      <c r="C28" s="2">
        <v>62643.360000000081</v>
      </c>
      <c r="D28" s="2">
        <v>62665.310000000078</v>
      </c>
      <c r="E28" s="2">
        <v>62686.920000000078</v>
      </c>
      <c r="F28" s="2">
        <v>62705.32000000008</v>
      </c>
      <c r="G28" s="2">
        <v>62726.730000000083</v>
      </c>
      <c r="H28" s="2">
        <v>62745.940000000082</v>
      </c>
      <c r="I28" s="2">
        <v>62745.940000000082</v>
      </c>
      <c r="J28" s="2">
        <v>62745.940000000082</v>
      </c>
      <c r="K28" s="2">
        <v>62745.940000000082</v>
      </c>
      <c r="L28" s="2">
        <v>62745.940000000082</v>
      </c>
      <c r="M28" s="2">
        <v>62759.520000000084</v>
      </c>
      <c r="N28" s="2">
        <v>62779.420000000086</v>
      </c>
      <c r="O28" s="2">
        <v>62787.780000000086</v>
      </c>
      <c r="P28" s="2">
        <v>62793.550000000083</v>
      </c>
      <c r="Q28" s="2">
        <v>62809.43000000008</v>
      </c>
      <c r="R28" s="2">
        <v>62824.120000000083</v>
      </c>
      <c r="S28" s="2">
        <v>62844.410000000084</v>
      </c>
      <c r="T28" s="2">
        <v>62866.080000000082</v>
      </c>
      <c r="U28" s="2">
        <v>62886.870000000083</v>
      </c>
      <c r="V28" s="2">
        <v>62908.210000000079</v>
      </c>
      <c r="W28" s="2">
        <v>62929.600000000079</v>
      </c>
      <c r="X28" s="2">
        <v>62944.380000000077</v>
      </c>
      <c r="Y28" s="2">
        <v>62965.300000000076</v>
      </c>
      <c r="Z28" s="2">
        <v>62986.560000000078</v>
      </c>
      <c r="AA28" s="2">
        <v>63008.350000000079</v>
      </c>
      <c r="AB28" s="2">
        <v>63029.630000000077</v>
      </c>
      <c r="AC28" s="2">
        <v>63049.390000000079</v>
      </c>
      <c r="AD28" s="2">
        <v>63057.730000000076</v>
      </c>
      <c r="AE28" s="2">
        <v>63079.070000000072</v>
      </c>
      <c r="AF28" s="3">
        <v>63100.180000000073</v>
      </c>
      <c r="AG28" s="51">
        <f t="shared" si="0"/>
        <v>63100.180000000073</v>
      </c>
      <c r="AH28" s="44">
        <v>0</v>
      </c>
    </row>
    <row r="29" spans="1:34" x14ac:dyDescent="0.35">
      <c r="A29" s="33" t="s">
        <v>35</v>
      </c>
      <c r="B29" s="10">
        <v>63789.140000000079</v>
      </c>
      <c r="C29" s="2">
        <v>63810.920000000078</v>
      </c>
      <c r="D29" s="2">
        <v>63832.810000000078</v>
      </c>
      <c r="E29" s="2">
        <v>63852.790000000081</v>
      </c>
      <c r="F29" s="2">
        <v>63874.510000000082</v>
      </c>
      <c r="G29" s="2">
        <v>63896.370000000083</v>
      </c>
      <c r="H29" s="2">
        <v>63917.850000000086</v>
      </c>
      <c r="I29" s="2">
        <v>63933.700000000084</v>
      </c>
      <c r="J29" s="2">
        <v>63954.740000000085</v>
      </c>
      <c r="K29" s="2">
        <v>63973.520000000084</v>
      </c>
      <c r="L29" s="2">
        <v>63994.920000000086</v>
      </c>
      <c r="M29" s="2">
        <v>64007.980000000083</v>
      </c>
      <c r="N29" s="2">
        <v>64026.520000000084</v>
      </c>
      <c r="O29" s="2">
        <v>64043.400000000081</v>
      </c>
      <c r="P29" s="2">
        <v>64064.07000000008</v>
      </c>
      <c r="Q29" s="2">
        <v>64083.980000000083</v>
      </c>
      <c r="R29" s="2">
        <v>64105.860000000081</v>
      </c>
      <c r="S29" s="2">
        <v>64127.50000000008</v>
      </c>
      <c r="T29" s="2">
        <v>64149.170000000078</v>
      </c>
      <c r="U29" s="2">
        <v>64170.43000000008</v>
      </c>
      <c r="V29" s="2">
        <v>64191.590000000084</v>
      </c>
      <c r="W29" s="2">
        <v>64213.090000000084</v>
      </c>
      <c r="X29" s="2">
        <v>64226.100000000086</v>
      </c>
      <c r="Y29" s="2">
        <v>64247.490000000085</v>
      </c>
      <c r="Z29" s="2">
        <v>64268.890000000087</v>
      </c>
      <c r="AA29" s="2">
        <v>64289.180000000088</v>
      </c>
      <c r="AB29" s="2">
        <v>64306.590000000091</v>
      </c>
      <c r="AC29" s="2">
        <v>64327.490000000093</v>
      </c>
      <c r="AD29" s="2">
        <v>64344.12000000009</v>
      </c>
      <c r="AE29" s="2">
        <v>64365.270000000091</v>
      </c>
      <c r="AF29" s="3">
        <v>64383.930000000095</v>
      </c>
      <c r="AG29" s="51">
        <f t="shared" si="0"/>
        <v>64383.930000000095</v>
      </c>
      <c r="AH29" s="44">
        <v>0</v>
      </c>
    </row>
    <row r="30" spans="1:34" x14ac:dyDescent="0.35">
      <c r="A30" s="33" t="s">
        <v>36</v>
      </c>
      <c r="B30" s="10">
        <v>63309.040000000154</v>
      </c>
      <c r="C30" s="2">
        <v>63331.000000000153</v>
      </c>
      <c r="D30" s="2">
        <v>63343.970000000154</v>
      </c>
      <c r="E30" s="2">
        <v>63357.100000000151</v>
      </c>
      <c r="F30" s="2">
        <v>63378.45000000015</v>
      </c>
      <c r="G30" s="2">
        <v>63399.490000000151</v>
      </c>
      <c r="H30" s="2">
        <v>63421.490000000151</v>
      </c>
      <c r="I30" s="2">
        <v>63442.080000000147</v>
      </c>
      <c r="J30" s="2">
        <v>63456.06000000015</v>
      </c>
      <c r="K30" s="2">
        <v>63477.620000000148</v>
      </c>
      <c r="L30" s="2">
        <v>63490.20000000015</v>
      </c>
      <c r="M30" s="2">
        <v>63511.100000000151</v>
      </c>
      <c r="N30" s="2">
        <v>63521.760000000155</v>
      </c>
      <c r="O30" s="2">
        <v>63534.980000000156</v>
      </c>
      <c r="P30" s="2">
        <v>63555.680000000153</v>
      </c>
      <c r="Q30" s="2">
        <v>63575.970000000154</v>
      </c>
      <c r="R30" s="2">
        <v>63590.620000000155</v>
      </c>
      <c r="S30" s="2">
        <v>63612.520000000157</v>
      </c>
      <c r="T30" s="2">
        <v>63634.130000000157</v>
      </c>
      <c r="U30" s="2">
        <v>63654.830000000155</v>
      </c>
      <c r="V30" s="2">
        <v>63675.990000000158</v>
      </c>
      <c r="W30" s="2">
        <v>63696.93000000016</v>
      </c>
      <c r="X30" s="2">
        <v>63718.230000000163</v>
      </c>
      <c r="Y30" s="2">
        <v>63736.870000000163</v>
      </c>
      <c r="Z30" s="2">
        <v>63748.770000000164</v>
      </c>
      <c r="AA30" s="2">
        <v>63768.130000000165</v>
      </c>
      <c r="AB30" s="2">
        <v>63783.540000000168</v>
      </c>
      <c r="AC30" s="2">
        <v>63802.570000000167</v>
      </c>
      <c r="AD30" s="2">
        <v>63808.840000000164</v>
      </c>
      <c r="AE30" s="2">
        <v>63821.290000000161</v>
      </c>
      <c r="AF30" s="3">
        <v>63833.710000000159</v>
      </c>
      <c r="AG30" s="51">
        <f t="shared" si="0"/>
        <v>63833.710000000159</v>
      </c>
      <c r="AH30" s="44">
        <v>0</v>
      </c>
    </row>
    <row r="31" spans="1:34" x14ac:dyDescent="0.35">
      <c r="A31" s="33" t="s">
        <v>37</v>
      </c>
      <c r="B31" s="10">
        <v>63711.890000000065</v>
      </c>
      <c r="C31" s="2">
        <v>63716.750000000065</v>
      </c>
      <c r="D31" s="2">
        <v>63735.880000000063</v>
      </c>
      <c r="E31" s="2">
        <v>63755.550000000061</v>
      </c>
      <c r="F31" s="2">
        <v>63770.01000000006</v>
      </c>
      <c r="G31" s="2">
        <v>63791.140000000058</v>
      </c>
      <c r="H31" s="2">
        <v>63812.340000000055</v>
      </c>
      <c r="I31" s="2">
        <v>63833.900000000052</v>
      </c>
      <c r="J31" s="2">
        <v>63847.810000000056</v>
      </c>
      <c r="K31" s="2">
        <v>63864.890000000058</v>
      </c>
      <c r="L31" s="2">
        <v>63877.340000000055</v>
      </c>
      <c r="M31" s="2">
        <v>63898.530000000057</v>
      </c>
      <c r="N31" s="2">
        <v>63919.890000000058</v>
      </c>
      <c r="O31" s="2">
        <v>63940.310000000056</v>
      </c>
      <c r="P31" s="2">
        <v>63951.860000000059</v>
      </c>
      <c r="Q31" s="2">
        <v>63970.710000000057</v>
      </c>
      <c r="R31" s="2">
        <v>63991.970000000059</v>
      </c>
      <c r="S31" s="2">
        <v>64011.65000000006</v>
      </c>
      <c r="T31" s="2">
        <v>64033.050000000061</v>
      </c>
      <c r="U31" s="2">
        <v>64054.590000000062</v>
      </c>
      <c r="V31" s="2">
        <v>64076.480000000061</v>
      </c>
      <c r="W31" s="2">
        <v>64098.280000000064</v>
      </c>
      <c r="X31" s="2">
        <v>64116.480000000061</v>
      </c>
      <c r="Y31" s="2">
        <v>64137.800000000061</v>
      </c>
      <c r="Z31" s="2">
        <v>64158.500000000058</v>
      </c>
      <c r="AA31" s="2">
        <v>64180.000000000058</v>
      </c>
      <c r="AB31" s="2">
        <v>64194.850000000057</v>
      </c>
      <c r="AC31" s="2">
        <v>64214.310000000056</v>
      </c>
      <c r="AD31" s="2">
        <v>64214.310000000056</v>
      </c>
      <c r="AE31" s="2">
        <v>64214.310000000056</v>
      </c>
      <c r="AF31" s="3">
        <v>64214.310000000056</v>
      </c>
      <c r="AG31" s="51">
        <f t="shared" si="0"/>
        <v>64214.310000000056</v>
      </c>
      <c r="AH31" s="44">
        <v>0</v>
      </c>
    </row>
    <row r="32" spans="1:34" x14ac:dyDescent="0.35">
      <c r="A32" s="33" t="s">
        <v>38</v>
      </c>
      <c r="B32" s="10">
        <v>63850.760000000118</v>
      </c>
      <c r="C32" s="2">
        <v>63872.530000000115</v>
      </c>
      <c r="D32" s="2">
        <v>63889.300000000112</v>
      </c>
      <c r="E32" s="2">
        <v>63889.300000000112</v>
      </c>
      <c r="F32" s="2">
        <v>63894.320000000109</v>
      </c>
      <c r="G32" s="2">
        <v>63906.870000000112</v>
      </c>
      <c r="H32" s="2">
        <v>63927.120000000112</v>
      </c>
      <c r="I32" s="2">
        <v>63948.72000000011</v>
      </c>
      <c r="J32" s="2">
        <v>63969.900000000111</v>
      </c>
      <c r="K32" s="2">
        <v>63991.260000000111</v>
      </c>
      <c r="L32" s="2">
        <v>64012.380000000114</v>
      </c>
      <c r="M32" s="2">
        <v>64032.890000000116</v>
      </c>
      <c r="N32" s="2">
        <v>64054.020000000113</v>
      </c>
      <c r="O32" s="2">
        <v>64075.350000000115</v>
      </c>
      <c r="P32" s="2">
        <v>64096.230000000112</v>
      </c>
      <c r="Q32" s="2">
        <v>64112.330000000111</v>
      </c>
      <c r="R32" s="2">
        <v>64133.450000000114</v>
      </c>
      <c r="S32" s="2">
        <v>64155.180000000117</v>
      </c>
      <c r="T32" s="2">
        <v>64156.550000000119</v>
      </c>
      <c r="U32" s="2">
        <v>64177.27000000012</v>
      </c>
      <c r="V32" s="2">
        <v>64195.890000000123</v>
      </c>
      <c r="W32" s="2">
        <v>64217.750000000124</v>
      </c>
      <c r="X32" s="2">
        <v>64239.190000000126</v>
      </c>
      <c r="Y32" s="2">
        <v>64259.260000000126</v>
      </c>
      <c r="Z32" s="2">
        <v>64280.590000000127</v>
      </c>
      <c r="AA32" s="2">
        <v>64301.920000000129</v>
      </c>
      <c r="AB32" s="2">
        <v>64323.180000000131</v>
      </c>
      <c r="AC32" s="2">
        <v>64344.400000000132</v>
      </c>
      <c r="AD32" s="2">
        <v>64364.71000000013</v>
      </c>
      <c r="AE32" s="2">
        <v>64386.180000000131</v>
      </c>
      <c r="AF32" s="3">
        <v>64407.900000000132</v>
      </c>
      <c r="AG32" s="51">
        <f t="shared" si="0"/>
        <v>64407.900000000132</v>
      </c>
      <c r="AH32" s="44">
        <v>0</v>
      </c>
    </row>
    <row r="33" spans="1:34" x14ac:dyDescent="0.35">
      <c r="A33" s="33" t="s">
        <v>39</v>
      </c>
      <c r="B33" s="10">
        <v>63264.769999999902</v>
      </c>
      <c r="C33" s="2">
        <v>63279.739999999903</v>
      </c>
      <c r="D33" s="2">
        <v>63296.519999999902</v>
      </c>
      <c r="E33" s="2">
        <v>63304.969999999899</v>
      </c>
      <c r="F33" s="2">
        <v>63322.859999999899</v>
      </c>
      <c r="G33" s="2">
        <v>63342.409999999902</v>
      </c>
      <c r="H33" s="2">
        <v>63364.129999999903</v>
      </c>
      <c r="I33" s="2">
        <v>63385.049999999901</v>
      </c>
      <c r="J33" s="2">
        <v>63406.489999999903</v>
      </c>
      <c r="K33" s="2">
        <v>63427.869999999901</v>
      </c>
      <c r="L33" s="2">
        <v>63446.869999999901</v>
      </c>
      <c r="M33" s="2">
        <v>63468.359999999899</v>
      </c>
      <c r="N33" s="2">
        <v>63489.569999999898</v>
      </c>
      <c r="O33" s="2">
        <v>63510.0799999999</v>
      </c>
      <c r="P33" s="2">
        <v>63527.219999999899</v>
      </c>
      <c r="Q33" s="2">
        <v>63546.889999999898</v>
      </c>
      <c r="R33" s="2">
        <v>63568.459999999897</v>
      </c>
      <c r="S33" s="2">
        <v>63579.169999999896</v>
      </c>
      <c r="T33" s="2">
        <v>63580.199999999895</v>
      </c>
      <c r="U33" s="2">
        <v>63601.719999999892</v>
      </c>
      <c r="V33" s="2">
        <v>63610.519999999895</v>
      </c>
      <c r="W33" s="2">
        <v>63632.299999999894</v>
      </c>
      <c r="X33" s="2">
        <v>63653.88999999989</v>
      </c>
      <c r="Y33" s="2">
        <v>63671.349999999889</v>
      </c>
      <c r="Z33" s="2">
        <v>63688.879999999888</v>
      </c>
      <c r="AA33" s="2">
        <v>63709.149999999885</v>
      </c>
      <c r="AB33" s="2">
        <v>63728.699999999888</v>
      </c>
      <c r="AC33" s="2">
        <v>63747.239999999889</v>
      </c>
      <c r="AD33" s="2">
        <v>63766.149999999892</v>
      </c>
      <c r="AE33" s="2">
        <v>63777.039999999892</v>
      </c>
      <c r="AF33" s="3">
        <v>63799.309999999889</v>
      </c>
      <c r="AG33" s="51">
        <f t="shared" si="0"/>
        <v>63799.309999999889</v>
      </c>
      <c r="AH33" s="44">
        <v>0</v>
      </c>
    </row>
    <row r="34" spans="1:34" x14ac:dyDescent="0.35">
      <c r="A34" s="33" t="s">
        <v>40</v>
      </c>
      <c r="B34" s="10">
        <v>46486.429999999913</v>
      </c>
      <c r="C34" s="2">
        <v>46491.19999999991</v>
      </c>
      <c r="D34" s="2">
        <v>46512.069999999912</v>
      </c>
      <c r="E34" s="2">
        <v>46533.679999999913</v>
      </c>
      <c r="F34" s="2">
        <v>46554.499999999913</v>
      </c>
      <c r="G34" s="2">
        <v>46561.349999999911</v>
      </c>
      <c r="H34" s="2">
        <v>46577.979999999909</v>
      </c>
      <c r="I34" s="2">
        <v>46599.929999999906</v>
      </c>
      <c r="J34" s="2">
        <v>46618.459999999905</v>
      </c>
      <c r="K34" s="2">
        <v>46639.519999999902</v>
      </c>
      <c r="L34" s="2">
        <v>46656.269999999902</v>
      </c>
      <c r="M34" s="2">
        <v>46672.359999999899</v>
      </c>
      <c r="N34" s="2">
        <v>46672.359999999899</v>
      </c>
      <c r="O34" s="2">
        <v>46681.949999999895</v>
      </c>
      <c r="P34" s="2">
        <v>46703.329999999893</v>
      </c>
      <c r="Q34" s="2">
        <v>46715.969999999892</v>
      </c>
      <c r="R34" s="2">
        <v>46728.189999999893</v>
      </c>
      <c r="S34" s="2">
        <v>46745.859999999891</v>
      </c>
      <c r="T34" s="2">
        <v>46764.729999999894</v>
      </c>
      <c r="U34" s="2">
        <v>46773.589999999895</v>
      </c>
      <c r="V34" s="2">
        <v>46791.459999999897</v>
      </c>
      <c r="W34" s="2">
        <v>46809.359999999899</v>
      </c>
      <c r="X34" s="2">
        <v>46823.499999999898</v>
      </c>
      <c r="Y34" s="2">
        <v>46842.0799999999</v>
      </c>
      <c r="Z34" s="2">
        <v>46854.459999999897</v>
      </c>
      <c r="AA34" s="2">
        <v>46873.159999999894</v>
      </c>
      <c r="AB34" s="2">
        <v>46890.939999999893</v>
      </c>
      <c r="AC34" s="2">
        <v>46898.519999999895</v>
      </c>
      <c r="AD34" s="2">
        <v>46919.409999999894</v>
      </c>
      <c r="AE34" s="2">
        <v>46940.789999999892</v>
      </c>
      <c r="AF34" s="3">
        <v>46958.609999999891</v>
      </c>
      <c r="AG34" s="51">
        <f t="shared" si="0"/>
        <v>46958.609999999891</v>
      </c>
      <c r="AH34" s="44">
        <v>0</v>
      </c>
    </row>
    <row r="35" spans="1:34" x14ac:dyDescent="0.35">
      <c r="A35" s="33" t="s">
        <v>41</v>
      </c>
      <c r="B35" s="10">
        <v>48014.930000000022</v>
      </c>
      <c r="C35" s="2">
        <v>48035.470000000023</v>
      </c>
      <c r="D35" s="2">
        <v>48055.980000000025</v>
      </c>
      <c r="E35" s="2">
        <v>48075.720000000023</v>
      </c>
      <c r="F35" s="2">
        <v>48094.960000000021</v>
      </c>
      <c r="G35" s="2">
        <v>48116.620000000024</v>
      </c>
      <c r="H35" s="2">
        <v>48138.360000000022</v>
      </c>
      <c r="I35" s="2">
        <v>48159.730000000025</v>
      </c>
      <c r="J35" s="2">
        <v>48181.220000000023</v>
      </c>
      <c r="K35" s="2">
        <v>48196.500000000022</v>
      </c>
      <c r="L35" s="2">
        <v>48217.500000000022</v>
      </c>
      <c r="M35" s="2">
        <v>48236.410000000025</v>
      </c>
      <c r="N35" s="2">
        <v>48257.520000000026</v>
      </c>
      <c r="O35" s="2">
        <v>48279.010000000024</v>
      </c>
      <c r="P35" s="2">
        <v>48299.710000000021</v>
      </c>
      <c r="Q35" s="2">
        <v>48320.090000000018</v>
      </c>
      <c r="R35" s="2">
        <v>48339.150000000016</v>
      </c>
      <c r="S35" s="2">
        <v>48358.100000000013</v>
      </c>
      <c r="T35" s="2">
        <v>48372.510000000017</v>
      </c>
      <c r="U35" s="2">
        <v>48394.000000000015</v>
      </c>
      <c r="V35" s="2">
        <v>48414.930000000015</v>
      </c>
      <c r="W35" s="2">
        <v>48435.970000000016</v>
      </c>
      <c r="X35" s="2">
        <v>48457.500000000015</v>
      </c>
      <c r="Y35" s="2">
        <v>48478.410000000018</v>
      </c>
      <c r="Z35" s="2">
        <v>48478.460000000021</v>
      </c>
      <c r="AA35" s="2">
        <v>48496.190000000024</v>
      </c>
      <c r="AB35" s="2">
        <v>48517.740000000027</v>
      </c>
      <c r="AC35" s="2">
        <v>48539.200000000026</v>
      </c>
      <c r="AD35" s="2">
        <v>48560.820000000029</v>
      </c>
      <c r="AE35" s="2">
        <v>48579.690000000031</v>
      </c>
      <c r="AF35" s="3">
        <v>48597.330000000031</v>
      </c>
      <c r="AG35" s="51">
        <f t="shared" si="0"/>
        <v>48597.330000000031</v>
      </c>
      <c r="AH35" s="44">
        <v>0</v>
      </c>
    </row>
    <row r="36" spans="1:34" x14ac:dyDescent="0.35">
      <c r="A36" s="33" t="s">
        <v>42</v>
      </c>
      <c r="B36" s="10">
        <v>43638.840000000033</v>
      </c>
      <c r="C36" s="2">
        <v>43638.840000000033</v>
      </c>
      <c r="D36" s="2">
        <v>43638.840000000033</v>
      </c>
      <c r="E36" s="2">
        <v>43657.250000000036</v>
      </c>
      <c r="F36" s="2">
        <v>43667.540000000037</v>
      </c>
      <c r="G36" s="2">
        <v>43686.41000000004</v>
      </c>
      <c r="H36" s="2">
        <v>43706.430000000037</v>
      </c>
      <c r="I36" s="2">
        <v>43725.09000000004</v>
      </c>
      <c r="J36" s="2">
        <v>43742.650000000038</v>
      </c>
      <c r="K36" s="2">
        <v>43761.570000000036</v>
      </c>
      <c r="L36" s="2">
        <v>43779.500000000036</v>
      </c>
      <c r="M36" s="2">
        <v>43797.950000000033</v>
      </c>
      <c r="N36" s="2">
        <v>43819.120000000032</v>
      </c>
      <c r="O36" s="2">
        <v>43839.630000000034</v>
      </c>
      <c r="P36" s="2">
        <v>43859.020000000033</v>
      </c>
      <c r="Q36" s="2">
        <v>43859.740000000034</v>
      </c>
      <c r="R36" s="2">
        <v>43865.040000000037</v>
      </c>
      <c r="S36" s="2">
        <v>43881.630000000034</v>
      </c>
      <c r="T36" s="2">
        <v>43892.170000000035</v>
      </c>
      <c r="U36" s="2">
        <v>43892.170000000035</v>
      </c>
      <c r="V36" s="2">
        <v>43892.170000000035</v>
      </c>
      <c r="W36" s="2">
        <v>43892.170000000035</v>
      </c>
      <c r="X36" s="2">
        <v>43892.170000000035</v>
      </c>
      <c r="Y36" s="2">
        <v>43892.170000000035</v>
      </c>
      <c r="Z36" s="2">
        <v>43892.170000000035</v>
      </c>
      <c r="AA36" s="2">
        <v>43892.170000000035</v>
      </c>
      <c r="AB36" s="2">
        <v>43892.170000000035</v>
      </c>
      <c r="AC36" s="2">
        <v>43892.490000000034</v>
      </c>
      <c r="AD36" s="2">
        <v>43907.330000000031</v>
      </c>
      <c r="AE36" s="2">
        <v>43925.100000000028</v>
      </c>
      <c r="AF36" s="3">
        <v>43942.600000000028</v>
      </c>
      <c r="AG36" s="51">
        <f t="shared" ref="AG36:AG67" si="1">MAX(B36:AF36)</f>
        <v>43942.600000000028</v>
      </c>
      <c r="AH36" s="44">
        <v>0</v>
      </c>
    </row>
    <row r="37" spans="1:34" x14ac:dyDescent="0.35">
      <c r="A37" s="33" t="s">
        <v>43</v>
      </c>
      <c r="B37" s="10">
        <v>47765.500000000029</v>
      </c>
      <c r="C37" s="2">
        <v>47779.160000000033</v>
      </c>
      <c r="D37" s="2">
        <v>47799.190000000031</v>
      </c>
      <c r="E37" s="2">
        <v>47820.020000000033</v>
      </c>
      <c r="F37" s="2">
        <v>47842.090000000033</v>
      </c>
      <c r="G37" s="2">
        <v>47863.810000000034</v>
      </c>
      <c r="H37" s="2">
        <v>47885.030000000035</v>
      </c>
      <c r="I37" s="2">
        <v>47906.620000000032</v>
      </c>
      <c r="J37" s="2">
        <v>47928.140000000029</v>
      </c>
      <c r="K37" s="2">
        <v>47949.650000000031</v>
      </c>
      <c r="L37" s="2">
        <v>47958.930000000029</v>
      </c>
      <c r="M37" s="2">
        <v>47962.990000000027</v>
      </c>
      <c r="N37" s="2">
        <v>47984.340000000026</v>
      </c>
      <c r="O37" s="2">
        <v>48006.600000000028</v>
      </c>
      <c r="P37" s="2">
        <v>48027.330000000031</v>
      </c>
      <c r="Q37" s="2">
        <v>48048.630000000034</v>
      </c>
      <c r="R37" s="2">
        <v>48070.020000000033</v>
      </c>
      <c r="S37" s="2">
        <v>48090.650000000031</v>
      </c>
      <c r="T37" s="2">
        <v>48111.250000000029</v>
      </c>
      <c r="U37" s="2">
        <v>48127.660000000033</v>
      </c>
      <c r="V37" s="2">
        <v>48147.61000000003</v>
      </c>
      <c r="W37" s="2">
        <v>48168.340000000033</v>
      </c>
      <c r="X37" s="2">
        <v>48187.910000000033</v>
      </c>
      <c r="Y37" s="2">
        <v>48208.210000000036</v>
      </c>
      <c r="Z37" s="2">
        <v>48229.890000000036</v>
      </c>
      <c r="AA37" s="2">
        <v>48249.820000000036</v>
      </c>
      <c r="AB37" s="2">
        <v>48271.300000000039</v>
      </c>
      <c r="AC37" s="2">
        <v>48292.780000000042</v>
      </c>
      <c r="AD37" s="2">
        <v>48313.240000000042</v>
      </c>
      <c r="AE37" s="2">
        <v>48331.490000000042</v>
      </c>
      <c r="AF37" s="3">
        <v>48348.530000000042</v>
      </c>
      <c r="AG37" s="51">
        <f t="shared" si="1"/>
        <v>48348.530000000042</v>
      </c>
      <c r="AH37" s="44">
        <v>0</v>
      </c>
    </row>
    <row r="38" spans="1:34" x14ac:dyDescent="0.35">
      <c r="A38" s="33" t="s">
        <v>44</v>
      </c>
      <c r="B38" s="10">
        <v>49661.750000000073</v>
      </c>
      <c r="C38" s="2">
        <v>49682.830000000075</v>
      </c>
      <c r="D38" s="2">
        <v>49702.050000000076</v>
      </c>
      <c r="E38" s="2">
        <v>49723.160000000076</v>
      </c>
      <c r="F38" s="2">
        <v>49744.880000000077</v>
      </c>
      <c r="G38" s="2">
        <v>49765.790000000081</v>
      </c>
      <c r="H38" s="2">
        <v>49783.82000000008</v>
      </c>
      <c r="I38" s="2">
        <v>49797.730000000083</v>
      </c>
      <c r="J38" s="2">
        <v>49810.410000000084</v>
      </c>
      <c r="K38" s="2">
        <v>49818.640000000087</v>
      </c>
      <c r="L38" s="2">
        <v>49836.060000000085</v>
      </c>
      <c r="M38" s="2">
        <v>49857.340000000084</v>
      </c>
      <c r="N38" s="2">
        <v>49878.530000000086</v>
      </c>
      <c r="O38" s="2">
        <v>49899.94000000009</v>
      </c>
      <c r="P38" s="2">
        <v>49920.170000000093</v>
      </c>
      <c r="Q38" s="2">
        <v>49942.010000000089</v>
      </c>
      <c r="R38" s="2">
        <v>49955.280000000086</v>
      </c>
      <c r="S38" s="2">
        <v>49977.270000000084</v>
      </c>
      <c r="T38" s="2">
        <v>49998.850000000086</v>
      </c>
      <c r="U38" s="2">
        <v>50020.480000000083</v>
      </c>
      <c r="V38" s="2">
        <v>50041.900000000081</v>
      </c>
      <c r="W38" s="2">
        <v>50063.460000000079</v>
      </c>
      <c r="X38" s="2">
        <v>50084.720000000081</v>
      </c>
      <c r="Y38" s="2">
        <v>50106.060000000078</v>
      </c>
      <c r="Z38" s="2">
        <v>50126.910000000076</v>
      </c>
      <c r="AA38" s="2">
        <v>50147.010000000075</v>
      </c>
      <c r="AB38" s="2">
        <v>50164.480000000076</v>
      </c>
      <c r="AC38" s="2">
        <v>50180.960000000079</v>
      </c>
      <c r="AD38" s="2">
        <v>50180.960000000079</v>
      </c>
      <c r="AE38" s="2">
        <v>50180.960000000079</v>
      </c>
      <c r="AF38" s="3">
        <v>50185.310000000078</v>
      </c>
      <c r="AG38" s="51">
        <f t="shared" si="1"/>
        <v>50185.310000000078</v>
      </c>
      <c r="AH38" s="44">
        <v>0</v>
      </c>
    </row>
    <row r="39" spans="1:34" x14ac:dyDescent="0.35">
      <c r="A39" s="33" t="s">
        <v>45</v>
      </c>
      <c r="B39" s="10">
        <v>47630.639999999956</v>
      </c>
      <c r="C39" s="2">
        <v>47652.199999999953</v>
      </c>
      <c r="D39" s="2">
        <v>47673.509999999951</v>
      </c>
      <c r="E39" s="2">
        <v>47689.639999999948</v>
      </c>
      <c r="F39" s="2">
        <v>47711.319999999949</v>
      </c>
      <c r="G39" s="2">
        <v>47730.659999999945</v>
      </c>
      <c r="H39" s="2">
        <v>47739.479999999945</v>
      </c>
      <c r="I39" s="2">
        <v>47761.239999999947</v>
      </c>
      <c r="J39" s="2">
        <v>47780.699999999946</v>
      </c>
      <c r="K39" s="2">
        <v>47790.559999999947</v>
      </c>
      <c r="L39" s="2">
        <v>47812.059999999947</v>
      </c>
      <c r="M39" s="2">
        <v>47833.099999999948</v>
      </c>
      <c r="N39" s="2">
        <v>47845.329999999951</v>
      </c>
      <c r="O39" s="2">
        <v>47855.729999999952</v>
      </c>
      <c r="P39" s="2">
        <v>47876.059999999954</v>
      </c>
      <c r="Q39" s="2">
        <v>47883.129999999954</v>
      </c>
      <c r="R39" s="2">
        <v>47904.749999999956</v>
      </c>
      <c r="S39" s="2">
        <v>47925.239999999954</v>
      </c>
      <c r="T39" s="2">
        <v>47946.689999999951</v>
      </c>
      <c r="U39" s="2">
        <v>47968.409999999953</v>
      </c>
      <c r="V39" s="2">
        <v>47987.659999999953</v>
      </c>
      <c r="W39" s="2">
        <v>48007.089999999953</v>
      </c>
      <c r="X39" s="2">
        <v>48020.419999999955</v>
      </c>
      <c r="Y39" s="2">
        <v>48037.929999999957</v>
      </c>
      <c r="Z39" s="2">
        <v>48052.129999999954</v>
      </c>
      <c r="AA39" s="2">
        <v>48069.029999999955</v>
      </c>
      <c r="AB39" s="2">
        <v>48090.279999999955</v>
      </c>
      <c r="AC39" s="2">
        <v>48107.759999999958</v>
      </c>
      <c r="AD39" s="2">
        <v>48128.08999999996</v>
      </c>
      <c r="AE39" s="2">
        <v>48139.239999999962</v>
      </c>
      <c r="AF39" s="3">
        <v>48139.239999999962</v>
      </c>
      <c r="AG39" s="51">
        <f t="shared" si="1"/>
        <v>48139.239999999962</v>
      </c>
      <c r="AH39" s="44">
        <v>0</v>
      </c>
    </row>
    <row r="40" spans="1:34" x14ac:dyDescent="0.35">
      <c r="A40" s="33" t="s">
        <v>46</v>
      </c>
      <c r="B40" s="10">
        <v>48271.909999999974</v>
      </c>
      <c r="C40" s="2">
        <v>48287.619999999974</v>
      </c>
      <c r="D40" s="2">
        <v>48309.339999999975</v>
      </c>
      <c r="E40" s="2">
        <v>48331.029999999977</v>
      </c>
      <c r="F40" s="2">
        <v>48349.379999999976</v>
      </c>
      <c r="G40" s="2">
        <v>48371.039999999979</v>
      </c>
      <c r="H40" s="2">
        <v>48392.82999999998</v>
      </c>
      <c r="I40" s="2">
        <v>48411.039999999979</v>
      </c>
      <c r="J40" s="2">
        <v>48416.75999999998</v>
      </c>
      <c r="K40" s="2">
        <v>48431.999999999978</v>
      </c>
      <c r="L40" s="2">
        <v>48452.239999999976</v>
      </c>
      <c r="M40" s="2">
        <v>48466.379999999976</v>
      </c>
      <c r="N40" s="2">
        <v>48485.929999999978</v>
      </c>
      <c r="O40" s="2">
        <v>48504.219999999979</v>
      </c>
      <c r="P40" s="2">
        <v>48522.349999999977</v>
      </c>
      <c r="Q40" s="2">
        <v>48542.669999999976</v>
      </c>
      <c r="R40" s="2">
        <v>48548.999999999978</v>
      </c>
      <c r="S40" s="2">
        <v>48548.999999999978</v>
      </c>
      <c r="T40" s="2">
        <v>48548.999999999978</v>
      </c>
      <c r="U40" s="2">
        <v>48566.00999999998</v>
      </c>
      <c r="V40" s="2">
        <v>48584.999999999978</v>
      </c>
      <c r="W40" s="2">
        <v>48604.879999999976</v>
      </c>
      <c r="X40" s="2">
        <v>48619.309999999976</v>
      </c>
      <c r="Y40" s="2">
        <v>48620.979999999974</v>
      </c>
      <c r="Z40" s="2">
        <v>48620.979999999974</v>
      </c>
      <c r="AA40" s="2">
        <v>48620.979999999974</v>
      </c>
      <c r="AB40" s="2">
        <v>48637.869999999974</v>
      </c>
      <c r="AC40" s="2">
        <v>48659.019999999975</v>
      </c>
      <c r="AD40" s="2">
        <v>48680.229999999974</v>
      </c>
      <c r="AE40" s="2">
        <v>48702.019999999975</v>
      </c>
      <c r="AF40" s="3">
        <v>48723.769999999975</v>
      </c>
      <c r="AG40" s="51">
        <f t="shared" si="1"/>
        <v>48723.769999999975</v>
      </c>
      <c r="AH40" s="44">
        <v>0</v>
      </c>
    </row>
    <row r="41" spans="1:34" x14ac:dyDescent="0.35">
      <c r="A41" s="33" t="s">
        <v>47</v>
      </c>
      <c r="B41" s="10">
        <v>45788.789999999986</v>
      </c>
      <c r="C41" s="2">
        <v>45803.459999999985</v>
      </c>
      <c r="D41" s="2">
        <v>45825.119999999988</v>
      </c>
      <c r="E41" s="2">
        <v>45846.719999999987</v>
      </c>
      <c r="F41" s="2">
        <v>45863.869999999988</v>
      </c>
      <c r="G41" s="2">
        <v>45884.62999999999</v>
      </c>
      <c r="H41" s="2">
        <v>45905.62999999999</v>
      </c>
      <c r="I41" s="2">
        <v>45924.859999999993</v>
      </c>
      <c r="J41" s="2">
        <v>45946.27</v>
      </c>
      <c r="K41" s="2">
        <v>45963.85</v>
      </c>
      <c r="L41" s="2">
        <v>45986.549999999996</v>
      </c>
      <c r="M41" s="2">
        <v>46007.969999999994</v>
      </c>
      <c r="N41" s="2">
        <v>46029.549999999996</v>
      </c>
      <c r="O41" s="2">
        <v>46043.179999999993</v>
      </c>
      <c r="P41" s="2">
        <v>46057.189999999995</v>
      </c>
      <c r="Q41" s="2">
        <v>46071.519999999997</v>
      </c>
      <c r="R41" s="2">
        <v>46093.53</v>
      </c>
      <c r="S41" s="2">
        <v>46115.26</v>
      </c>
      <c r="T41" s="2">
        <v>46134.400000000001</v>
      </c>
      <c r="U41" s="2">
        <v>46142.21</v>
      </c>
      <c r="V41" s="2">
        <v>46163.64</v>
      </c>
      <c r="W41" s="2">
        <v>46175.26</v>
      </c>
      <c r="X41" s="2">
        <v>46196.25</v>
      </c>
      <c r="Y41" s="2">
        <v>46218.2</v>
      </c>
      <c r="Z41" s="2">
        <v>46239.57</v>
      </c>
      <c r="AA41" s="2">
        <v>46251.09</v>
      </c>
      <c r="AB41" s="2">
        <v>46272.31</v>
      </c>
      <c r="AC41" s="2">
        <v>46293.72</v>
      </c>
      <c r="AD41" s="2">
        <v>46313.83</v>
      </c>
      <c r="AE41" s="2">
        <v>46314.12</v>
      </c>
      <c r="AF41" s="3">
        <v>46330.89</v>
      </c>
      <c r="AG41" s="51">
        <f t="shared" si="1"/>
        <v>46330.89</v>
      </c>
      <c r="AH41" s="44">
        <v>0</v>
      </c>
    </row>
    <row r="42" spans="1:34" x14ac:dyDescent="0.35">
      <c r="A42" s="33" t="s">
        <v>48</v>
      </c>
      <c r="B42" s="10">
        <v>39974.27999999997</v>
      </c>
      <c r="C42" s="2">
        <v>39995.729999999967</v>
      </c>
      <c r="D42" s="2">
        <v>40017.679999999964</v>
      </c>
      <c r="E42" s="2">
        <v>40036.629999999961</v>
      </c>
      <c r="F42" s="2">
        <v>40058.58999999996</v>
      </c>
      <c r="G42" s="2">
        <v>40080.51999999996</v>
      </c>
      <c r="H42" s="2">
        <v>40093.26999999996</v>
      </c>
      <c r="I42" s="2">
        <v>40105.209999999963</v>
      </c>
      <c r="J42" s="2">
        <v>40118.009999999966</v>
      </c>
      <c r="K42" s="2">
        <v>40134.349999999962</v>
      </c>
      <c r="L42" s="2">
        <v>40138.65999999996</v>
      </c>
      <c r="M42" s="2">
        <v>40160.239999999962</v>
      </c>
      <c r="N42" s="2">
        <v>40181.76999999996</v>
      </c>
      <c r="O42" s="2">
        <v>40203.40999999996</v>
      </c>
      <c r="P42" s="2">
        <v>40224.699999999961</v>
      </c>
      <c r="Q42" s="2">
        <v>40244.009999999958</v>
      </c>
      <c r="R42" s="2">
        <v>40257.309999999961</v>
      </c>
      <c r="S42" s="2">
        <v>40276.209999999963</v>
      </c>
      <c r="T42" s="2">
        <v>40296.689999999966</v>
      </c>
      <c r="U42" s="2">
        <v>40309.219999999965</v>
      </c>
      <c r="V42" s="2">
        <v>40330.759999999966</v>
      </c>
      <c r="W42" s="2">
        <v>40341.439999999966</v>
      </c>
      <c r="X42" s="2">
        <v>40362.539999999964</v>
      </c>
      <c r="Y42" s="2">
        <v>40382.779999999962</v>
      </c>
      <c r="Z42" s="2">
        <v>40404.169999999962</v>
      </c>
      <c r="AA42" s="2">
        <v>40425.419999999962</v>
      </c>
      <c r="AB42" s="2">
        <v>40444.139999999963</v>
      </c>
      <c r="AC42" s="2">
        <v>40465.869999999966</v>
      </c>
      <c r="AD42" s="2">
        <v>40469.439999999966</v>
      </c>
      <c r="AE42" s="2">
        <v>40489.239999999969</v>
      </c>
      <c r="AF42" s="3">
        <v>40497.199999999968</v>
      </c>
      <c r="AG42" s="51">
        <f t="shared" si="1"/>
        <v>40497.199999999968</v>
      </c>
      <c r="AH42" s="44">
        <v>0</v>
      </c>
    </row>
    <row r="43" spans="1:34" x14ac:dyDescent="0.35">
      <c r="A43" s="33" t="s">
        <v>49</v>
      </c>
      <c r="B43" s="10">
        <v>48664.809999999867</v>
      </c>
      <c r="C43" s="2">
        <v>48671.169999999867</v>
      </c>
      <c r="D43" s="2">
        <v>48671.169999999867</v>
      </c>
      <c r="E43" s="2">
        <v>48679.839999999866</v>
      </c>
      <c r="F43" s="2">
        <v>48698.919999999867</v>
      </c>
      <c r="G43" s="2">
        <v>48720.529999999868</v>
      </c>
      <c r="H43" s="2">
        <v>48742.009999999871</v>
      </c>
      <c r="I43" s="2">
        <v>48763.829999999871</v>
      </c>
      <c r="J43" s="2">
        <v>48782.989999999874</v>
      </c>
      <c r="K43" s="2">
        <v>48795.749999999876</v>
      </c>
      <c r="L43" s="2">
        <v>48808.349999999875</v>
      </c>
      <c r="M43" s="2">
        <v>48808.529999999875</v>
      </c>
      <c r="N43" s="2">
        <v>48808.529999999875</v>
      </c>
      <c r="O43" s="2">
        <v>48825.239999999874</v>
      </c>
      <c r="P43" s="2">
        <v>48845.589999999873</v>
      </c>
      <c r="Q43" s="2">
        <v>48866.009999999871</v>
      </c>
      <c r="R43" s="2">
        <v>48887.549999999872</v>
      </c>
      <c r="S43" s="2">
        <v>48908.909999999873</v>
      </c>
      <c r="T43" s="2">
        <v>48929.509999999871</v>
      </c>
      <c r="U43" s="2">
        <v>48949.569999999869</v>
      </c>
      <c r="V43" s="2">
        <v>48971.229999999872</v>
      </c>
      <c r="W43" s="2">
        <v>48988.029999999875</v>
      </c>
      <c r="X43" s="2">
        <v>49008.999999999876</v>
      </c>
      <c r="Y43" s="2">
        <v>49030.269999999873</v>
      </c>
      <c r="Z43" s="2">
        <v>49049.429999999877</v>
      </c>
      <c r="AA43" s="2">
        <v>49069.879999999874</v>
      </c>
      <c r="AB43" s="2">
        <v>49090.479999999872</v>
      </c>
      <c r="AC43" s="2">
        <v>49110.059999999874</v>
      </c>
      <c r="AD43" s="2">
        <v>49110.059999999874</v>
      </c>
      <c r="AE43" s="2">
        <v>49131.629999999874</v>
      </c>
      <c r="AF43" s="3">
        <v>49152.639999999876</v>
      </c>
      <c r="AG43" s="51">
        <f t="shared" si="1"/>
        <v>49152.639999999876</v>
      </c>
      <c r="AH43" s="44">
        <v>0</v>
      </c>
    </row>
    <row r="44" spans="1:34" x14ac:dyDescent="0.35">
      <c r="A44" s="33" t="s">
        <v>50</v>
      </c>
      <c r="B44" s="10">
        <v>48267.539999999994</v>
      </c>
      <c r="C44" s="2">
        <v>48282.84</v>
      </c>
      <c r="D44" s="2">
        <v>48294.909999999996</v>
      </c>
      <c r="E44" s="2">
        <v>48316.42</v>
      </c>
      <c r="F44" s="2">
        <v>48328.97</v>
      </c>
      <c r="G44" s="2">
        <v>48349.99</v>
      </c>
      <c r="H44" s="2">
        <v>48355.229999999996</v>
      </c>
      <c r="I44" s="2">
        <v>48376.819999999992</v>
      </c>
      <c r="J44" s="2">
        <v>48398.509999999995</v>
      </c>
      <c r="K44" s="2">
        <v>48420.109999999993</v>
      </c>
      <c r="L44" s="2">
        <v>48439.099999999991</v>
      </c>
      <c r="M44" s="2">
        <v>48460.249999999993</v>
      </c>
      <c r="N44" s="2">
        <v>48481.329999999994</v>
      </c>
      <c r="O44" s="2">
        <v>48503.079999999994</v>
      </c>
      <c r="P44" s="2">
        <v>48523.909999999996</v>
      </c>
      <c r="Q44" s="2">
        <v>48544.63</v>
      </c>
      <c r="R44" s="2">
        <v>48565.899999999994</v>
      </c>
      <c r="S44" s="2">
        <v>48587.429999999993</v>
      </c>
      <c r="T44" s="2">
        <v>48601.26999999999</v>
      </c>
      <c r="U44" s="2">
        <v>48617.859999999986</v>
      </c>
      <c r="V44" s="2">
        <v>48639.419999999984</v>
      </c>
      <c r="W44" s="2">
        <v>48656.309999999983</v>
      </c>
      <c r="X44" s="2">
        <v>48673.029999999984</v>
      </c>
      <c r="Y44" s="2">
        <v>48694.629999999983</v>
      </c>
      <c r="Z44" s="2">
        <v>48713.439999999981</v>
      </c>
      <c r="AA44" s="2">
        <v>48730.199999999983</v>
      </c>
      <c r="AB44" s="2">
        <v>48751.82999999998</v>
      </c>
      <c r="AC44" s="2">
        <v>48773.14999999998</v>
      </c>
      <c r="AD44" s="2">
        <v>48777.019999999982</v>
      </c>
      <c r="AE44" s="2">
        <v>48778.789999999979</v>
      </c>
      <c r="AF44" s="3">
        <v>48790.699999999983</v>
      </c>
      <c r="AG44" s="51">
        <f t="shared" si="1"/>
        <v>48790.699999999983</v>
      </c>
      <c r="AH44" s="44">
        <v>0</v>
      </c>
    </row>
    <row r="45" spans="1:34" x14ac:dyDescent="0.35">
      <c r="A45" s="33" t="s">
        <v>51</v>
      </c>
      <c r="B45" s="10">
        <v>48251.539999999943</v>
      </c>
      <c r="C45" s="2">
        <v>48267.439999999944</v>
      </c>
      <c r="D45" s="2">
        <v>48283.039999999943</v>
      </c>
      <c r="E45" s="2">
        <v>48295.259999999944</v>
      </c>
      <c r="F45" s="2">
        <v>48295.259999999944</v>
      </c>
      <c r="G45" s="2">
        <v>48295.259999999944</v>
      </c>
      <c r="H45" s="2">
        <v>48316.259999999944</v>
      </c>
      <c r="I45" s="2">
        <v>48335.989999999947</v>
      </c>
      <c r="J45" s="2">
        <v>48350.409999999945</v>
      </c>
      <c r="K45" s="2">
        <v>48371.329999999944</v>
      </c>
      <c r="L45" s="2">
        <v>48392.839999999946</v>
      </c>
      <c r="M45" s="2">
        <v>48413.509999999944</v>
      </c>
      <c r="N45" s="2">
        <v>48434.719999999943</v>
      </c>
      <c r="O45" s="2">
        <v>48455.139999999941</v>
      </c>
      <c r="P45" s="2">
        <v>48473.899999999943</v>
      </c>
      <c r="Q45" s="2">
        <v>48489.769999999946</v>
      </c>
      <c r="R45" s="2">
        <v>48511.369999999944</v>
      </c>
      <c r="S45" s="2">
        <v>48531.359999999942</v>
      </c>
      <c r="T45" s="2">
        <v>48531.459999999941</v>
      </c>
      <c r="U45" s="2">
        <v>48545.199999999939</v>
      </c>
      <c r="V45" s="2">
        <v>48566.959999999941</v>
      </c>
      <c r="W45" s="2">
        <v>48583.049999999937</v>
      </c>
      <c r="X45" s="2">
        <v>48604.299999999937</v>
      </c>
      <c r="Y45" s="2">
        <v>48625.769999999939</v>
      </c>
      <c r="Z45" s="2">
        <v>48647.499999999942</v>
      </c>
      <c r="AA45" s="2">
        <v>48666.909999999945</v>
      </c>
      <c r="AB45" s="2">
        <v>48681.099999999948</v>
      </c>
      <c r="AC45" s="2">
        <v>48698.909999999945</v>
      </c>
      <c r="AD45" s="2">
        <v>48718.749999999942</v>
      </c>
      <c r="AE45" s="2">
        <v>48737.039999999943</v>
      </c>
      <c r="AF45" s="3">
        <v>48758.649999999943</v>
      </c>
      <c r="AG45" s="51">
        <f t="shared" si="1"/>
        <v>48758.649999999943</v>
      </c>
      <c r="AH45" s="44">
        <v>0</v>
      </c>
    </row>
    <row r="46" spans="1:34" x14ac:dyDescent="0.35">
      <c r="A46" s="33" t="s">
        <v>52</v>
      </c>
      <c r="B46" s="10">
        <v>40176.090000000055</v>
      </c>
      <c r="C46" s="2">
        <v>40197.330000000053</v>
      </c>
      <c r="D46" s="2">
        <v>40218.480000000054</v>
      </c>
      <c r="E46" s="2">
        <v>40236.730000000054</v>
      </c>
      <c r="F46" s="2">
        <v>40258.040000000052</v>
      </c>
      <c r="G46" s="2">
        <v>40279.450000000055</v>
      </c>
      <c r="H46" s="2">
        <v>40300.730000000054</v>
      </c>
      <c r="I46" s="2">
        <v>40313.360000000052</v>
      </c>
      <c r="J46" s="2">
        <v>40313.600000000049</v>
      </c>
      <c r="K46" s="2">
        <v>40328.680000000051</v>
      </c>
      <c r="L46" s="2">
        <v>40350.450000000048</v>
      </c>
      <c r="M46" s="2">
        <v>40372.060000000049</v>
      </c>
      <c r="N46" s="2">
        <v>40393.400000000045</v>
      </c>
      <c r="O46" s="2">
        <v>40414.540000000045</v>
      </c>
      <c r="P46" s="2">
        <v>40436.290000000045</v>
      </c>
      <c r="Q46" s="2">
        <v>40454.340000000047</v>
      </c>
      <c r="R46" s="2">
        <v>40454.700000000048</v>
      </c>
      <c r="S46" s="2">
        <v>40471.96000000005</v>
      </c>
      <c r="T46" s="2">
        <v>40493.78000000005</v>
      </c>
      <c r="U46" s="2">
        <v>40514.39000000005</v>
      </c>
      <c r="V46" s="2">
        <v>40535.53000000005</v>
      </c>
      <c r="W46" s="2">
        <v>40556.950000000048</v>
      </c>
      <c r="X46" s="2">
        <v>40578.560000000049</v>
      </c>
      <c r="Y46" s="2">
        <v>40600.040000000052</v>
      </c>
      <c r="Z46" s="2">
        <v>40620.340000000055</v>
      </c>
      <c r="AA46" s="2">
        <v>40639.210000000057</v>
      </c>
      <c r="AB46" s="2">
        <v>40659.820000000058</v>
      </c>
      <c r="AC46" s="2">
        <v>40676.840000000055</v>
      </c>
      <c r="AD46" s="2">
        <v>40696.050000000054</v>
      </c>
      <c r="AE46" s="2">
        <v>40717.220000000052</v>
      </c>
      <c r="AF46" s="3">
        <v>40738.680000000051</v>
      </c>
      <c r="AG46" s="51">
        <f t="shared" si="1"/>
        <v>40738.680000000051</v>
      </c>
      <c r="AH46" s="44">
        <v>0</v>
      </c>
    </row>
    <row r="47" spans="1:34" x14ac:dyDescent="0.35">
      <c r="A47" s="33" t="s">
        <v>53</v>
      </c>
      <c r="B47" s="10">
        <v>42280.59000000004</v>
      </c>
      <c r="C47" s="2">
        <v>42280.670000000042</v>
      </c>
      <c r="D47" s="2">
        <v>42292.370000000039</v>
      </c>
      <c r="E47" s="2">
        <v>42304.680000000037</v>
      </c>
      <c r="F47" s="2">
        <v>42325.130000000034</v>
      </c>
      <c r="G47" s="2">
        <v>42328.280000000035</v>
      </c>
      <c r="H47" s="2">
        <v>42328.280000000035</v>
      </c>
      <c r="I47" s="2">
        <v>42348.130000000034</v>
      </c>
      <c r="J47" s="2">
        <v>42368.770000000033</v>
      </c>
      <c r="K47" s="2">
        <v>42389.910000000033</v>
      </c>
      <c r="L47" s="2">
        <v>42402.580000000031</v>
      </c>
      <c r="M47" s="2">
        <v>42424.080000000031</v>
      </c>
      <c r="N47" s="2">
        <v>42442.910000000033</v>
      </c>
      <c r="O47" s="2">
        <v>42462.370000000032</v>
      </c>
      <c r="P47" s="2">
        <v>42482.200000000033</v>
      </c>
      <c r="Q47" s="2">
        <v>42501.440000000031</v>
      </c>
      <c r="R47" s="2">
        <v>42522.890000000029</v>
      </c>
      <c r="S47" s="2">
        <v>42543.880000000026</v>
      </c>
      <c r="T47" s="2">
        <v>42554.120000000024</v>
      </c>
      <c r="U47" s="2">
        <v>42571.880000000026</v>
      </c>
      <c r="V47" s="2">
        <v>42590.150000000023</v>
      </c>
      <c r="W47" s="2">
        <v>42611.750000000022</v>
      </c>
      <c r="X47" s="2">
        <v>42626.660000000025</v>
      </c>
      <c r="Y47" s="2">
        <v>42635.840000000026</v>
      </c>
      <c r="Z47" s="2">
        <v>42657.320000000029</v>
      </c>
      <c r="AA47" s="2">
        <v>42672.770000000026</v>
      </c>
      <c r="AB47" s="2">
        <v>42693.350000000028</v>
      </c>
      <c r="AC47" s="2">
        <v>42711.510000000031</v>
      </c>
      <c r="AD47" s="2">
        <v>42728.310000000034</v>
      </c>
      <c r="AE47" s="2">
        <v>42749.160000000033</v>
      </c>
      <c r="AF47" s="3">
        <v>42770.870000000032</v>
      </c>
      <c r="AG47" s="51">
        <f t="shared" si="1"/>
        <v>42770.870000000032</v>
      </c>
      <c r="AH47" s="44">
        <v>0</v>
      </c>
    </row>
    <row r="48" spans="1:34" x14ac:dyDescent="0.35">
      <c r="A48" s="33" t="s">
        <v>54</v>
      </c>
      <c r="B48" s="10">
        <v>41441.449999999939</v>
      </c>
      <c r="C48" s="2">
        <v>41461.539999999935</v>
      </c>
      <c r="D48" s="2">
        <v>41482.179999999935</v>
      </c>
      <c r="E48" s="2">
        <v>41500.449999999932</v>
      </c>
      <c r="F48" s="2">
        <v>41522.249999999935</v>
      </c>
      <c r="G48" s="2">
        <v>41541.729999999938</v>
      </c>
      <c r="H48" s="2">
        <v>41555.179999999935</v>
      </c>
      <c r="I48" s="2">
        <v>41576.879999999932</v>
      </c>
      <c r="J48" s="2">
        <v>41597.72999999993</v>
      </c>
      <c r="K48" s="2">
        <v>41618.949999999932</v>
      </c>
      <c r="L48" s="2">
        <v>41639.93999999993</v>
      </c>
      <c r="M48" s="2">
        <v>41661.039999999928</v>
      </c>
      <c r="N48" s="2">
        <v>41669.139999999927</v>
      </c>
      <c r="O48" s="2">
        <v>41675.559999999925</v>
      </c>
      <c r="P48" s="2">
        <v>41696.159999999923</v>
      </c>
      <c r="Q48" s="2">
        <v>41717.519999999924</v>
      </c>
      <c r="R48" s="2">
        <v>41734.299999999923</v>
      </c>
      <c r="S48" s="2">
        <v>41750.389999999919</v>
      </c>
      <c r="T48" s="2">
        <v>41772.219999999921</v>
      </c>
      <c r="U48" s="2">
        <v>41793.839999999924</v>
      </c>
      <c r="V48" s="2">
        <v>41803.619999999923</v>
      </c>
      <c r="W48" s="2">
        <v>41823.799999999923</v>
      </c>
      <c r="X48" s="2">
        <v>41844.139999999919</v>
      </c>
      <c r="Y48" s="2">
        <v>41865.839999999916</v>
      </c>
      <c r="Z48" s="2">
        <v>41887.359999999913</v>
      </c>
      <c r="AA48" s="2">
        <v>41908.929999999913</v>
      </c>
      <c r="AB48" s="2">
        <v>41922.149999999914</v>
      </c>
      <c r="AC48" s="2">
        <v>41943.639999999912</v>
      </c>
      <c r="AD48" s="2">
        <v>41963.799999999916</v>
      </c>
      <c r="AE48" s="2">
        <v>41985.749999999913</v>
      </c>
      <c r="AF48" s="3">
        <v>41994.369999999915</v>
      </c>
      <c r="AG48" s="51">
        <f t="shared" si="1"/>
        <v>41994.369999999915</v>
      </c>
      <c r="AH48" s="44">
        <v>0</v>
      </c>
    </row>
    <row r="49" spans="1:34" x14ac:dyDescent="0.35">
      <c r="A49" s="33" t="s">
        <v>55</v>
      </c>
      <c r="B49" s="10">
        <v>40860.800000000039</v>
      </c>
      <c r="C49" s="2">
        <v>40882.500000000036</v>
      </c>
      <c r="D49" s="2">
        <v>40904.130000000034</v>
      </c>
      <c r="E49" s="2">
        <v>40925.500000000036</v>
      </c>
      <c r="F49" s="2">
        <v>40943.620000000039</v>
      </c>
      <c r="G49" s="2">
        <v>40957.130000000041</v>
      </c>
      <c r="H49" s="2">
        <v>40978.420000000042</v>
      </c>
      <c r="I49" s="2">
        <v>40999.580000000045</v>
      </c>
      <c r="J49" s="2">
        <v>41020.580000000045</v>
      </c>
      <c r="K49" s="2">
        <v>41041.570000000043</v>
      </c>
      <c r="L49" s="2">
        <v>41063.110000000044</v>
      </c>
      <c r="M49" s="2">
        <v>41084.080000000045</v>
      </c>
      <c r="N49" s="2">
        <v>41105.600000000042</v>
      </c>
      <c r="O49" s="2">
        <v>41126.880000000041</v>
      </c>
      <c r="P49" s="2">
        <v>41143.52000000004</v>
      </c>
      <c r="Q49" s="2">
        <v>41161.670000000042</v>
      </c>
      <c r="R49" s="2">
        <v>41162.960000000043</v>
      </c>
      <c r="S49" s="2">
        <v>41178.830000000045</v>
      </c>
      <c r="T49" s="2">
        <v>41200.060000000049</v>
      </c>
      <c r="U49" s="2">
        <v>41221.330000000045</v>
      </c>
      <c r="V49" s="2">
        <v>41242.390000000043</v>
      </c>
      <c r="W49" s="2">
        <v>41254.720000000045</v>
      </c>
      <c r="X49" s="2">
        <v>41276.200000000048</v>
      </c>
      <c r="Y49" s="2">
        <v>41294.370000000046</v>
      </c>
      <c r="Z49" s="2">
        <v>41315.320000000043</v>
      </c>
      <c r="AA49" s="2">
        <v>41336.950000000041</v>
      </c>
      <c r="AB49" s="2">
        <v>41358.510000000038</v>
      </c>
      <c r="AC49" s="2">
        <v>41380.040000000037</v>
      </c>
      <c r="AD49" s="2">
        <v>41397.240000000034</v>
      </c>
      <c r="AE49" s="2">
        <v>41405.920000000035</v>
      </c>
      <c r="AF49" s="3">
        <v>41416.220000000038</v>
      </c>
      <c r="AG49" s="51">
        <f t="shared" si="1"/>
        <v>41416.220000000038</v>
      </c>
      <c r="AH49" s="44">
        <v>0</v>
      </c>
    </row>
    <row r="50" spans="1:34" x14ac:dyDescent="0.35">
      <c r="A50" s="33" t="s">
        <v>56</v>
      </c>
      <c r="B50" s="10">
        <v>40099.840000000091</v>
      </c>
      <c r="C50" s="2">
        <v>40118.070000000094</v>
      </c>
      <c r="D50" s="2">
        <v>40136.240000000093</v>
      </c>
      <c r="E50" s="2">
        <v>40148.320000000094</v>
      </c>
      <c r="F50" s="2">
        <v>40168.900000000096</v>
      </c>
      <c r="G50" s="2">
        <v>40189.530000000093</v>
      </c>
      <c r="H50" s="2">
        <v>40210.520000000091</v>
      </c>
      <c r="I50" s="2">
        <v>40232.480000000091</v>
      </c>
      <c r="J50" s="2">
        <v>40251.880000000092</v>
      </c>
      <c r="K50" s="2">
        <v>40271.250000000095</v>
      </c>
      <c r="L50" s="2">
        <v>40291.110000000095</v>
      </c>
      <c r="M50" s="2">
        <v>40312.410000000098</v>
      </c>
      <c r="N50" s="2">
        <v>40333.070000000102</v>
      </c>
      <c r="O50" s="2">
        <v>40353.610000000102</v>
      </c>
      <c r="P50" s="2">
        <v>40363.010000000104</v>
      </c>
      <c r="Q50" s="2">
        <v>40368.730000000105</v>
      </c>
      <c r="R50" s="2">
        <v>40390.080000000104</v>
      </c>
      <c r="S50" s="2">
        <v>40411.470000000103</v>
      </c>
      <c r="T50" s="2">
        <v>40430.020000000106</v>
      </c>
      <c r="U50" s="2">
        <v>40450.340000000106</v>
      </c>
      <c r="V50" s="2">
        <v>40464.350000000108</v>
      </c>
      <c r="W50" s="2">
        <v>40485.180000000109</v>
      </c>
      <c r="X50" s="2">
        <v>40506.060000000107</v>
      </c>
      <c r="Y50" s="2">
        <v>40520.330000000104</v>
      </c>
      <c r="Z50" s="2">
        <v>40541.080000000104</v>
      </c>
      <c r="AA50" s="2">
        <v>40562.040000000103</v>
      </c>
      <c r="AB50" s="2">
        <v>40578.4900000001</v>
      </c>
      <c r="AC50" s="2">
        <v>40589.770000000099</v>
      </c>
      <c r="AD50" s="2">
        <v>40589.770000000099</v>
      </c>
      <c r="AE50" s="2">
        <v>40589.770000000099</v>
      </c>
      <c r="AF50" s="3">
        <v>40589.770000000099</v>
      </c>
      <c r="AG50" s="51">
        <f t="shared" si="1"/>
        <v>40589.770000000099</v>
      </c>
      <c r="AH50" s="44">
        <v>0</v>
      </c>
    </row>
    <row r="51" spans="1:34" x14ac:dyDescent="0.35">
      <c r="A51" s="33" t="s">
        <v>57</v>
      </c>
      <c r="B51" s="10">
        <v>38735.959999999948</v>
      </c>
      <c r="C51" s="2">
        <v>38740.889999999948</v>
      </c>
      <c r="D51" s="2">
        <v>38762.239999999947</v>
      </c>
      <c r="E51" s="2">
        <v>38778.749999999949</v>
      </c>
      <c r="F51" s="2">
        <v>38782.46999999995</v>
      </c>
      <c r="G51" s="2">
        <v>38790.499999999949</v>
      </c>
      <c r="H51" s="2">
        <v>38805.329999999951</v>
      </c>
      <c r="I51" s="2">
        <v>38816.269999999953</v>
      </c>
      <c r="J51" s="2">
        <v>38827.169999999955</v>
      </c>
      <c r="K51" s="2">
        <v>38841.999999999956</v>
      </c>
      <c r="L51" s="2">
        <v>38863.72999999996</v>
      </c>
      <c r="M51" s="2">
        <v>38884.829999999958</v>
      </c>
      <c r="N51" s="2">
        <v>38902.599999999955</v>
      </c>
      <c r="O51" s="2">
        <v>38924.109999999957</v>
      </c>
      <c r="P51" s="2">
        <v>38944.439999999959</v>
      </c>
      <c r="Q51" s="2">
        <v>38964.65999999996</v>
      </c>
      <c r="R51" s="2">
        <v>38982.349999999962</v>
      </c>
      <c r="S51" s="2">
        <v>39003.709999999963</v>
      </c>
      <c r="T51" s="2">
        <v>39020.969999999965</v>
      </c>
      <c r="U51" s="2">
        <v>39020.969999999965</v>
      </c>
      <c r="V51" s="2">
        <v>39036.709999999963</v>
      </c>
      <c r="W51" s="2">
        <v>39058.309999999961</v>
      </c>
      <c r="X51" s="2">
        <v>39071.359999999964</v>
      </c>
      <c r="Y51" s="2">
        <v>39085.899999999965</v>
      </c>
      <c r="Z51" s="2">
        <v>39100.129999999968</v>
      </c>
      <c r="AA51" s="2">
        <v>39108.38999999997</v>
      </c>
      <c r="AB51" s="2">
        <v>39118.539999999972</v>
      </c>
      <c r="AC51" s="2">
        <v>39133.819999999971</v>
      </c>
      <c r="AD51" s="2">
        <v>39153.27999999997</v>
      </c>
      <c r="AE51" s="2">
        <v>39174.359999999971</v>
      </c>
      <c r="AF51" s="3">
        <v>39192.339999999975</v>
      </c>
      <c r="AG51" s="51">
        <f t="shared" si="1"/>
        <v>39192.339999999975</v>
      </c>
      <c r="AH51" s="44">
        <v>0</v>
      </c>
    </row>
    <row r="52" spans="1:34" x14ac:dyDescent="0.35">
      <c r="A52" s="33" t="s">
        <v>58</v>
      </c>
      <c r="B52" s="10">
        <v>38079.489999999903</v>
      </c>
      <c r="C52" s="2">
        <v>38101.389999999905</v>
      </c>
      <c r="D52" s="2">
        <v>38123.689999999908</v>
      </c>
      <c r="E52" s="2">
        <v>38140.389999999905</v>
      </c>
      <c r="F52" s="2">
        <v>38162.269999999902</v>
      </c>
      <c r="G52" s="2">
        <v>38183.479999999901</v>
      </c>
      <c r="H52" s="2">
        <v>38205.6499999999</v>
      </c>
      <c r="I52" s="2">
        <v>38225.179999999898</v>
      </c>
      <c r="J52" s="2">
        <v>38246.529999999897</v>
      </c>
      <c r="K52" s="2">
        <v>38268.529999999897</v>
      </c>
      <c r="L52" s="2">
        <v>38290.059999999896</v>
      </c>
      <c r="M52" s="2">
        <v>38311.599999999897</v>
      </c>
      <c r="N52" s="2">
        <v>38332.639999999898</v>
      </c>
      <c r="O52" s="2">
        <v>38352.569999999898</v>
      </c>
      <c r="P52" s="2">
        <v>38373.0099999999</v>
      </c>
      <c r="Q52" s="2">
        <v>38392.599999999897</v>
      </c>
      <c r="R52" s="2">
        <v>38411.439999999893</v>
      </c>
      <c r="S52" s="2">
        <v>38421.569999999891</v>
      </c>
      <c r="T52" s="2">
        <v>38422.599999999889</v>
      </c>
      <c r="U52" s="2">
        <v>38443.509999999893</v>
      </c>
      <c r="V52" s="2">
        <v>38449.77999999989</v>
      </c>
      <c r="W52" s="2">
        <v>38470.249999999891</v>
      </c>
      <c r="X52" s="2">
        <v>38489.759999999893</v>
      </c>
      <c r="Y52" s="2">
        <v>38505.189999999893</v>
      </c>
      <c r="Z52" s="2">
        <v>38526.369999999893</v>
      </c>
      <c r="AA52" s="2">
        <v>38544.599999999897</v>
      </c>
      <c r="AB52" s="2">
        <v>38563.8299999999</v>
      </c>
      <c r="AC52" s="2">
        <v>38584.769999999902</v>
      </c>
      <c r="AD52" s="2">
        <v>38605.609999999899</v>
      </c>
      <c r="AE52" s="2">
        <v>38626.3999999999</v>
      </c>
      <c r="AF52" s="3">
        <v>38642.549999999901</v>
      </c>
      <c r="AG52" s="51">
        <f t="shared" si="1"/>
        <v>38642.549999999901</v>
      </c>
      <c r="AH52" s="44">
        <v>0</v>
      </c>
    </row>
    <row r="53" spans="1:34" x14ac:dyDescent="0.35">
      <c r="A53" s="33" t="s">
        <v>59</v>
      </c>
      <c r="B53" s="10">
        <v>40939.739999999983</v>
      </c>
      <c r="C53" s="2">
        <v>40958.919999999984</v>
      </c>
      <c r="D53" s="2">
        <v>40980.749999999985</v>
      </c>
      <c r="E53" s="2">
        <v>41002.359999999986</v>
      </c>
      <c r="F53" s="2">
        <v>41023.559999999983</v>
      </c>
      <c r="G53" s="2">
        <v>41045.50999999998</v>
      </c>
      <c r="H53" s="2">
        <v>41067.069999999978</v>
      </c>
      <c r="I53" s="2">
        <v>41088.959999999977</v>
      </c>
      <c r="J53" s="2">
        <v>41109.729999999974</v>
      </c>
      <c r="K53" s="2">
        <v>41131.119999999974</v>
      </c>
      <c r="L53" s="2">
        <v>41152.719999999972</v>
      </c>
      <c r="M53" s="2">
        <v>41173.479999999974</v>
      </c>
      <c r="N53" s="2">
        <v>41194.489999999976</v>
      </c>
      <c r="O53" s="2">
        <v>41215.769999999975</v>
      </c>
      <c r="P53" s="2">
        <v>41237.459999999977</v>
      </c>
      <c r="Q53" s="2">
        <v>41256.809999999976</v>
      </c>
      <c r="R53" s="2">
        <v>41275.709999999977</v>
      </c>
      <c r="S53" s="2">
        <v>41275.709999999977</v>
      </c>
      <c r="T53" s="2">
        <v>41296.319999999978</v>
      </c>
      <c r="U53" s="2">
        <v>41310.369999999981</v>
      </c>
      <c r="V53" s="2">
        <v>41331.909999999982</v>
      </c>
      <c r="W53" s="2">
        <v>41353.409999999982</v>
      </c>
      <c r="X53" s="2">
        <v>41374.279999999984</v>
      </c>
      <c r="Y53" s="2">
        <v>41395.659999999982</v>
      </c>
      <c r="Z53" s="2">
        <v>41416.57999999998</v>
      </c>
      <c r="AA53" s="2">
        <v>41437.949999999983</v>
      </c>
      <c r="AB53" s="2">
        <v>41452.709999999985</v>
      </c>
      <c r="AC53" s="2">
        <v>41474.309999999983</v>
      </c>
      <c r="AD53" s="2">
        <v>41496.029999999984</v>
      </c>
      <c r="AE53" s="2">
        <v>41517.439999999988</v>
      </c>
      <c r="AF53" s="3">
        <v>41538.76999999999</v>
      </c>
      <c r="AG53" s="51">
        <f t="shared" si="1"/>
        <v>41538.76999999999</v>
      </c>
      <c r="AH53" s="44">
        <v>0</v>
      </c>
    </row>
    <row r="54" spans="1:34" x14ac:dyDescent="0.35">
      <c r="A54" s="33" t="s">
        <v>60</v>
      </c>
      <c r="B54" s="10">
        <v>40617.710000000137</v>
      </c>
      <c r="C54" s="2">
        <v>40625.130000000136</v>
      </c>
      <c r="D54" s="2">
        <v>40629.370000000134</v>
      </c>
      <c r="E54" s="2">
        <v>40647.870000000134</v>
      </c>
      <c r="F54" s="2">
        <v>40663.96000000013</v>
      </c>
      <c r="G54" s="2">
        <v>40685.260000000133</v>
      </c>
      <c r="H54" s="2">
        <v>40696.110000000132</v>
      </c>
      <c r="I54" s="2">
        <v>40717.14000000013</v>
      </c>
      <c r="J54" s="2">
        <v>40736.71000000013</v>
      </c>
      <c r="K54" s="2">
        <v>40757.39000000013</v>
      </c>
      <c r="L54" s="2">
        <v>40778.630000000128</v>
      </c>
      <c r="M54" s="2">
        <v>40800.160000000127</v>
      </c>
      <c r="N54" s="2">
        <v>40821.78000000013</v>
      </c>
      <c r="O54" s="2">
        <v>40843.200000000128</v>
      </c>
      <c r="P54" s="2">
        <v>40864.830000000125</v>
      </c>
      <c r="Q54" s="2">
        <v>40886.600000000122</v>
      </c>
      <c r="R54" s="2">
        <v>40907.630000000121</v>
      </c>
      <c r="S54" s="2">
        <v>40929.050000000119</v>
      </c>
      <c r="T54" s="2">
        <v>40950.390000000116</v>
      </c>
      <c r="U54" s="2">
        <v>40971.920000000115</v>
      </c>
      <c r="V54" s="2">
        <v>40993.620000000112</v>
      </c>
      <c r="W54" s="2">
        <v>41015.230000000112</v>
      </c>
      <c r="X54" s="2">
        <v>41030.050000000112</v>
      </c>
      <c r="Y54" s="2">
        <v>41048.520000000113</v>
      </c>
      <c r="Z54" s="2">
        <v>41070.020000000113</v>
      </c>
      <c r="AA54" s="2">
        <v>41088.160000000113</v>
      </c>
      <c r="AB54" s="2">
        <v>41109.600000000115</v>
      </c>
      <c r="AC54" s="2">
        <v>41121.630000000114</v>
      </c>
      <c r="AD54" s="2">
        <v>41132.330000000111</v>
      </c>
      <c r="AE54" s="2">
        <v>41154.300000000112</v>
      </c>
      <c r="AF54" s="3">
        <v>41172.710000000116</v>
      </c>
      <c r="AG54" s="51">
        <f t="shared" si="1"/>
        <v>41172.710000000116</v>
      </c>
      <c r="AH54" s="44">
        <v>0</v>
      </c>
    </row>
    <row r="55" spans="1:34" x14ac:dyDescent="0.35">
      <c r="A55" s="33" t="s">
        <v>61</v>
      </c>
      <c r="B55" s="10">
        <v>40520.039999999943</v>
      </c>
      <c r="C55" s="2">
        <v>40535.09999999994</v>
      </c>
      <c r="D55" s="2">
        <v>40556.609999999942</v>
      </c>
      <c r="E55" s="2">
        <v>40572.999999999942</v>
      </c>
      <c r="F55" s="2">
        <v>40591.009999999944</v>
      </c>
      <c r="G55" s="2">
        <v>40612.049999999945</v>
      </c>
      <c r="H55" s="2">
        <v>40625.459999999948</v>
      </c>
      <c r="I55" s="2">
        <v>40630.639999999948</v>
      </c>
      <c r="J55" s="2">
        <v>40648.529999999948</v>
      </c>
      <c r="K55" s="2">
        <v>40670.379999999946</v>
      </c>
      <c r="L55" s="2">
        <v>40692.549999999945</v>
      </c>
      <c r="M55" s="2">
        <v>40713.329999999944</v>
      </c>
      <c r="N55" s="2">
        <v>40732.839999999946</v>
      </c>
      <c r="O55" s="2">
        <v>40751.069999999949</v>
      </c>
      <c r="P55" s="2">
        <v>40760.939999999951</v>
      </c>
      <c r="Q55" s="2">
        <v>40779.129999999954</v>
      </c>
      <c r="R55" s="2">
        <v>40800.709999999955</v>
      </c>
      <c r="S55" s="2">
        <v>40815.179999999957</v>
      </c>
      <c r="T55" s="2">
        <v>40832.83999999996</v>
      </c>
      <c r="U55" s="2">
        <v>40847.58999999996</v>
      </c>
      <c r="V55" s="2">
        <v>40868.969999999958</v>
      </c>
      <c r="W55" s="2">
        <v>40884.639999999956</v>
      </c>
      <c r="X55" s="2">
        <v>40906.359999999957</v>
      </c>
      <c r="Y55" s="2">
        <v>40927.629999999954</v>
      </c>
      <c r="Z55" s="2">
        <v>40945.71999999995</v>
      </c>
      <c r="AA55" s="2">
        <v>40947.03999999995</v>
      </c>
      <c r="AB55" s="2">
        <v>40962.939999999951</v>
      </c>
      <c r="AC55" s="2">
        <v>40980.449999999953</v>
      </c>
      <c r="AD55" s="2">
        <v>41001.589999999953</v>
      </c>
      <c r="AE55" s="2">
        <v>41022.619999999952</v>
      </c>
      <c r="AF55" s="3">
        <v>41044.249999999949</v>
      </c>
      <c r="AG55" s="51">
        <f t="shared" si="1"/>
        <v>41044.249999999949</v>
      </c>
      <c r="AH55" s="44">
        <v>0</v>
      </c>
    </row>
    <row r="56" spans="1:34" x14ac:dyDescent="0.35">
      <c r="A56" s="33" t="s">
        <v>62</v>
      </c>
      <c r="B56" s="10">
        <v>50545.679999999964</v>
      </c>
      <c r="C56" s="2">
        <v>50567.429999999964</v>
      </c>
      <c r="D56" s="2">
        <v>50580.829999999965</v>
      </c>
      <c r="E56" s="2">
        <v>50601.189999999966</v>
      </c>
      <c r="F56" s="2">
        <v>50622.909999999967</v>
      </c>
      <c r="G56" s="2">
        <v>50644.919999999969</v>
      </c>
      <c r="H56" s="2">
        <v>50654.20999999997</v>
      </c>
      <c r="I56" s="2">
        <v>50674.599999999969</v>
      </c>
      <c r="J56" s="2">
        <v>50695.979999999967</v>
      </c>
      <c r="K56" s="2">
        <v>50713.509999999966</v>
      </c>
      <c r="L56" s="2">
        <v>50725.359999999964</v>
      </c>
      <c r="M56" s="2">
        <v>50735.229999999967</v>
      </c>
      <c r="N56" s="2">
        <v>50744.339999999967</v>
      </c>
      <c r="O56" s="2">
        <v>50764.609999999964</v>
      </c>
      <c r="P56" s="2">
        <v>50783.059999999961</v>
      </c>
      <c r="Q56" s="2">
        <v>50798.719999999965</v>
      </c>
      <c r="R56" s="2">
        <v>50819.139999999963</v>
      </c>
      <c r="S56" s="2">
        <v>50828.309999999961</v>
      </c>
      <c r="T56" s="2">
        <v>50846.599999999962</v>
      </c>
      <c r="U56" s="2">
        <v>50867.529999999962</v>
      </c>
      <c r="V56" s="2">
        <v>50889.399999999965</v>
      </c>
      <c r="W56" s="2">
        <v>50902.009999999966</v>
      </c>
      <c r="X56" s="2">
        <v>50914.189999999966</v>
      </c>
      <c r="Y56" s="2">
        <v>50935.509999999966</v>
      </c>
      <c r="Z56" s="2">
        <v>50956.719999999965</v>
      </c>
      <c r="AA56" s="2">
        <v>50970.919999999962</v>
      </c>
      <c r="AB56" s="2">
        <v>50992.079999999965</v>
      </c>
      <c r="AC56" s="2">
        <v>51013.279999999962</v>
      </c>
      <c r="AD56" s="2">
        <v>51029.079999999965</v>
      </c>
      <c r="AE56" s="2">
        <v>51049.899999999965</v>
      </c>
      <c r="AF56" s="3">
        <v>51059.879999999968</v>
      </c>
      <c r="AG56" s="51">
        <f t="shared" si="1"/>
        <v>51059.879999999968</v>
      </c>
      <c r="AH56" s="44">
        <v>0</v>
      </c>
    </row>
    <row r="57" spans="1:34" x14ac:dyDescent="0.35">
      <c r="A57" s="33" t="s">
        <v>63</v>
      </c>
      <c r="B57" s="10">
        <v>17357.970000000005</v>
      </c>
      <c r="C57" s="2">
        <v>17376.940000000006</v>
      </c>
      <c r="D57" s="2">
        <v>17395.560000000005</v>
      </c>
      <c r="E57" s="2">
        <v>17416.640000000007</v>
      </c>
      <c r="F57" s="2">
        <v>17437.740000000005</v>
      </c>
      <c r="G57" s="2">
        <v>17456.710000000006</v>
      </c>
      <c r="H57" s="2">
        <v>17470.840000000007</v>
      </c>
      <c r="I57" s="2">
        <v>17490.520000000008</v>
      </c>
      <c r="J57" s="2">
        <v>17508.690000000006</v>
      </c>
      <c r="K57" s="2">
        <v>17521.330000000005</v>
      </c>
      <c r="L57" s="2">
        <v>17537.110000000004</v>
      </c>
      <c r="M57" s="2">
        <v>17557.480000000003</v>
      </c>
      <c r="N57" s="2">
        <v>17566.780000000002</v>
      </c>
      <c r="O57" s="2">
        <v>17581.230000000003</v>
      </c>
      <c r="P57" s="2">
        <v>17594.360000000004</v>
      </c>
      <c r="Q57" s="2">
        <v>17608.030000000002</v>
      </c>
      <c r="R57" s="2">
        <v>17624.150000000001</v>
      </c>
      <c r="S57" s="2">
        <v>17641.59</v>
      </c>
      <c r="T57" s="2">
        <v>17661.77</v>
      </c>
      <c r="U57" s="2">
        <v>17682.21</v>
      </c>
      <c r="V57" s="2">
        <v>17686.32</v>
      </c>
      <c r="W57" s="2">
        <v>17700.079999999998</v>
      </c>
      <c r="X57" s="2">
        <v>17716.759999999998</v>
      </c>
      <c r="Y57" s="2">
        <v>17735.859999999997</v>
      </c>
      <c r="Z57" s="2">
        <v>17754.259999999998</v>
      </c>
      <c r="AA57" s="2">
        <v>17772.12</v>
      </c>
      <c r="AB57" s="2">
        <v>17789.43</v>
      </c>
      <c r="AC57" s="2">
        <v>17803.490000000002</v>
      </c>
      <c r="AD57" s="2">
        <v>17822.370000000003</v>
      </c>
      <c r="AE57" s="2">
        <v>17844.230000000003</v>
      </c>
      <c r="AF57" s="3">
        <v>17861.650000000001</v>
      </c>
      <c r="AG57" s="51">
        <f t="shared" si="1"/>
        <v>17861.650000000001</v>
      </c>
      <c r="AH57" s="44">
        <v>0</v>
      </c>
    </row>
    <row r="58" spans="1:34" x14ac:dyDescent="0.35">
      <c r="A58" s="33" t="s">
        <v>64</v>
      </c>
      <c r="B58" s="10">
        <v>17860.990277599994</v>
      </c>
      <c r="C58" s="2">
        <v>17878.350277599995</v>
      </c>
      <c r="D58" s="2">
        <v>17895.650277599994</v>
      </c>
      <c r="E58" s="2">
        <v>17916.420277599995</v>
      </c>
      <c r="F58" s="2">
        <v>17936.310277599994</v>
      </c>
      <c r="G58" s="2">
        <v>17955.670277599995</v>
      </c>
      <c r="H58" s="2">
        <v>17976.050277599996</v>
      </c>
      <c r="I58" s="2">
        <v>17995.550277599996</v>
      </c>
      <c r="J58" s="2">
        <v>18006.600277599995</v>
      </c>
      <c r="K58" s="2">
        <v>18020.630277599994</v>
      </c>
      <c r="L58" s="2">
        <v>18038.300277599992</v>
      </c>
      <c r="M58" s="2">
        <v>18057.440277599992</v>
      </c>
      <c r="N58" s="2">
        <v>18077.430277599993</v>
      </c>
      <c r="O58" s="2">
        <v>18096.340277599993</v>
      </c>
      <c r="P58" s="2">
        <v>18115.630277599994</v>
      </c>
      <c r="Q58" s="2">
        <v>18136.820277599993</v>
      </c>
      <c r="R58" s="2">
        <v>18154.910277599993</v>
      </c>
      <c r="S58" s="2">
        <v>18173.370277599992</v>
      </c>
      <c r="T58" s="2">
        <v>18173.370277599992</v>
      </c>
      <c r="U58" s="2">
        <v>18173.370277599992</v>
      </c>
      <c r="V58" s="2">
        <v>18181.750277599993</v>
      </c>
      <c r="W58" s="2">
        <v>18198.090277599993</v>
      </c>
      <c r="X58" s="2">
        <v>18217.710277599992</v>
      </c>
      <c r="Y58" s="2">
        <v>18227.040277599994</v>
      </c>
      <c r="Z58" s="2">
        <v>18236.320277599993</v>
      </c>
      <c r="AA58" s="2">
        <v>18255.420277599991</v>
      </c>
      <c r="AB58" s="2">
        <v>18274.090277599989</v>
      </c>
      <c r="AC58" s="2">
        <v>18289.430277599989</v>
      </c>
      <c r="AD58" s="2">
        <v>18297.320277599989</v>
      </c>
      <c r="AE58" s="2">
        <v>18310.560277599991</v>
      </c>
      <c r="AF58" s="3">
        <v>18311.100277599991</v>
      </c>
      <c r="AG58" s="51">
        <f t="shared" si="1"/>
        <v>18311.100277599991</v>
      </c>
      <c r="AH58" s="44">
        <v>0</v>
      </c>
    </row>
    <row r="59" spans="1:34" x14ac:dyDescent="0.35">
      <c r="A59" s="33" t="s">
        <v>65</v>
      </c>
      <c r="B59" s="10">
        <v>24057.59444410001</v>
      </c>
      <c r="C59" s="2">
        <v>24065.494444100012</v>
      </c>
      <c r="D59" s="2">
        <v>24086.104444100012</v>
      </c>
      <c r="E59" s="2">
        <v>24107.414444100013</v>
      </c>
      <c r="F59" s="2">
        <v>24127.384444100015</v>
      </c>
      <c r="G59" s="2">
        <v>24147.124444100016</v>
      </c>
      <c r="H59" s="2">
        <v>24168.294444100015</v>
      </c>
      <c r="I59" s="2">
        <v>24187.894444100013</v>
      </c>
      <c r="J59" s="2">
        <v>24204.124444100013</v>
      </c>
      <c r="K59" s="2">
        <v>24213.544444100011</v>
      </c>
      <c r="L59" s="2">
        <v>24229.604444100012</v>
      </c>
      <c r="M59" s="2">
        <v>24249.744444100012</v>
      </c>
      <c r="N59" s="2">
        <v>24268.75444410001</v>
      </c>
      <c r="O59" s="2">
        <v>24285.154444100011</v>
      </c>
      <c r="P59" s="2">
        <v>24290.75444410001</v>
      </c>
      <c r="Q59" s="2">
        <v>24307.91444410001</v>
      </c>
      <c r="R59" s="2">
        <v>24324.374444100009</v>
      </c>
      <c r="S59" s="2">
        <v>24346.48444410001</v>
      </c>
      <c r="T59" s="2">
        <v>24358.464444100009</v>
      </c>
      <c r="U59" s="2">
        <v>24379.364444100011</v>
      </c>
      <c r="V59" s="2">
        <v>24398.244444100012</v>
      </c>
      <c r="W59" s="2">
        <v>24418.574444100013</v>
      </c>
      <c r="X59" s="2">
        <v>24438.424444100012</v>
      </c>
      <c r="Y59" s="2">
        <v>24457.34444410001</v>
      </c>
      <c r="Z59" s="2">
        <v>24471.244444100012</v>
      </c>
      <c r="AA59" s="2">
        <v>24487.174444100012</v>
      </c>
      <c r="AB59" s="2">
        <v>24507.194444100012</v>
      </c>
      <c r="AC59" s="2">
        <v>24526.594444100014</v>
      </c>
      <c r="AD59" s="2">
        <v>24543.494444100015</v>
      </c>
      <c r="AE59" s="2">
        <v>24565.184444100014</v>
      </c>
      <c r="AF59" s="3">
        <v>24578.954444100014</v>
      </c>
      <c r="AG59" s="51">
        <f t="shared" si="1"/>
        <v>24578.954444100014</v>
      </c>
      <c r="AH59" s="44">
        <v>0</v>
      </c>
    </row>
    <row r="60" spans="1:34" x14ac:dyDescent="0.35">
      <c r="A60" s="33" t="s">
        <v>66</v>
      </c>
      <c r="B60" s="10">
        <v>24965.700000000048</v>
      </c>
      <c r="C60" s="2">
        <v>24985.500000000047</v>
      </c>
      <c r="D60" s="2">
        <v>25002.810000000049</v>
      </c>
      <c r="E60" s="2">
        <v>25023.840000000047</v>
      </c>
      <c r="F60" s="2">
        <v>25043.890000000047</v>
      </c>
      <c r="G60" s="2">
        <v>25064.100000000046</v>
      </c>
      <c r="H60" s="2">
        <v>25085.240000000045</v>
      </c>
      <c r="I60" s="2">
        <v>25106.040000000045</v>
      </c>
      <c r="J60" s="2">
        <v>25126.560000000045</v>
      </c>
      <c r="K60" s="2">
        <v>25141.590000000044</v>
      </c>
      <c r="L60" s="2">
        <v>25156.190000000042</v>
      </c>
      <c r="M60" s="2">
        <v>25175.390000000043</v>
      </c>
      <c r="N60" s="2">
        <v>25195.530000000042</v>
      </c>
      <c r="O60" s="2">
        <v>25215.120000000043</v>
      </c>
      <c r="P60" s="2">
        <v>25234.440000000042</v>
      </c>
      <c r="Q60" s="2">
        <v>25255.360000000041</v>
      </c>
      <c r="R60" s="2">
        <v>25274.98000000004</v>
      </c>
      <c r="S60" s="2">
        <v>25293.990000000038</v>
      </c>
      <c r="T60" s="2">
        <v>25314.460000000039</v>
      </c>
      <c r="U60" s="2">
        <v>25334.630000000037</v>
      </c>
      <c r="V60" s="2">
        <v>25353.460000000039</v>
      </c>
      <c r="W60" s="2">
        <v>25374.220000000038</v>
      </c>
      <c r="X60" s="2">
        <v>25385.700000000037</v>
      </c>
      <c r="Y60" s="2">
        <v>25405.540000000037</v>
      </c>
      <c r="Z60" s="2">
        <v>25425.770000000037</v>
      </c>
      <c r="AA60" s="2">
        <v>25445.720000000038</v>
      </c>
      <c r="AB60" s="2">
        <v>25462.750000000036</v>
      </c>
      <c r="AC60" s="2">
        <v>25474.680000000037</v>
      </c>
      <c r="AD60" s="2">
        <v>25489.270000000037</v>
      </c>
      <c r="AE60" s="2">
        <v>25509.870000000035</v>
      </c>
      <c r="AF60" s="3">
        <v>25525.000000000036</v>
      </c>
      <c r="AG60" s="51">
        <f t="shared" si="1"/>
        <v>25525.000000000036</v>
      </c>
      <c r="AH60" s="44">
        <v>0</v>
      </c>
    </row>
    <row r="61" spans="1:34" x14ac:dyDescent="0.35">
      <c r="A61" s="33" t="s">
        <v>67</v>
      </c>
      <c r="B61" s="10">
        <v>25554.690000000035</v>
      </c>
      <c r="C61" s="2">
        <v>25574.420000000035</v>
      </c>
      <c r="D61" s="2">
        <v>25592.860000000033</v>
      </c>
      <c r="E61" s="2">
        <v>25595.960000000032</v>
      </c>
      <c r="F61" s="2">
        <v>25602.920000000031</v>
      </c>
      <c r="G61" s="2">
        <v>25623.77000000003</v>
      </c>
      <c r="H61" s="2">
        <v>25644.38000000003</v>
      </c>
      <c r="I61" s="2">
        <v>25664.63000000003</v>
      </c>
      <c r="J61" s="2">
        <v>25679.54000000003</v>
      </c>
      <c r="K61" s="2">
        <v>25694.230000000029</v>
      </c>
      <c r="L61" s="2">
        <v>25698.230000000029</v>
      </c>
      <c r="M61" s="2">
        <v>25698.230000000029</v>
      </c>
      <c r="N61" s="2">
        <v>25698.230000000029</v>
      </c>
      <c r="O61" s="2">
        <v>25698.230000000029</v>
      </c>
      <c r="P61" s="2">
        <v>25698.230000000029</v>
      </c>
      <c r="Q61" s="2">
        <v>25708.480000000029</v>
      </c>
      <c r="R61" s="2">
        <v>25729.120000000028</v>
      </c>
      <c r="S61" s="2">
        <v>25741.590000000029</v>
      </c>
      <c r="T61" s="2">
        <v>25759.180000000029</v>
      </c>
      <c r="U61" s="2">
        <v>25780.410000000029</v>
      </c>
      <c r="V61" s="2">
        <v>25797.930000000029</v>
      </c>
      <c r="W61" s="2">
        <v>25817.750000000029</v>
      </c>
      <c r="X61" s="2">
        <v>25838.20000000003</v>
      </c>
      <c r="Y61" s="2">
        <v>25858.050000000028</v>
      </c>
      <c r="Z61" s="2">
        <v>25875.660000000029</v>
      </c>
      <c r="AA61" s="2">
        <v>25896.890000000029</v>
      </c>
      <c r="AB61" s="2">
        <v>25900.090000000029</v>
      </c>
      <c r="AC61" s="2">
        <v>25912.660000000029</v>
      </c>
      <c r="AD61" s="2">
        <v>25932.090000000029</v>
      </c>
      <c r="AE61" s="2">
        <v>25944.910000000029</v>
      </c>
      <c r="AF61" s="3">
        <v>25948.070000000029</v>
      </c>
      <c r="AG61" s="51">
        <f t="shared" si="1"/>
        <v>25948.070000000029</v>
      </c>
      <c r="AH61" s="44">
        <v>0</v>
      </c>
    </row>
    <row r="62" spans="1:34" x14ac:dyDescent="0.35">
      <c r="A62" s="33" t="s">
        <v>68</v>
      </c>
      <c r="B62" s="10">
        <v>25548.840000000022</v>
      </c>
      <c r="C62" s="2">
        <v>25567.870000000021</v>
      </c>
      <c r="D62" s="2">
        <v>25588.060000000019</v>
      </c>
      <c r="E62" s="2">
        <v>25609.050000000021</v>
      </c>
      <c r="F62" s="2">
        <v>25630.320000000022</v>
      </c>
      <c r="G62" s="2">
        <v>25649.630000000023</v>
      </c>
      <c r="H62" s="2">
        <v>25670.710000000025</v>
      </c>
      <c r="I62" s="2">
        <v>25690.170000000024</v>
      </c>
      <c r="J62" s="2">
        <v>25711.130000000023</v>
      </c>
      <c r="K62" s="2">
        <v>25726.650000000023</v>
      </c>
      <c r="L62" s="2">
        <v>25742.630000000023</v>
      </c>
      <c r="M62" s="2">
        <v>25749.750000000022</v>
      </c>
      <c r="N62" s="2">
        <v>25761.530000000021</v>
      </c>
      <c r="O62" s="2">
        <v>25773.40000000002</v>
      </c>
      <c r="P62" s="2">
        <v>25786.720000000019</v>
      </c>
      <c r="Q62" s="2">
        <v>25807.17000000002</v>
      </c>
      <c r="R62" s="2">
        <v>25826.780000000021</v>
      </c>
      <c r="S62" s="2">
        <v>25849.040000000019</v>
      </c>
      <c r="T62" s="2">
        <v>25869.800000000017</v>
      </c>
      <c r="U62" s="2">
        <v>25890.160000000018</v>
      </c>
      <c r="V62" s="2">
        <v>25909.250000000018</v>
      </c>
      <c r="W62" s="2">
        <v>25930.000000000018</v>
      </c>
      <c r="X62" s="2">
        <v>25949.720000000019</v>
      </c>
      <c r="Y62" s="2">
        <v>25967.220000000019</v>
      </c>
      <c r="Z62" s="2">
        <v>25986.660000000018</v>
      </c>
      <c r="AA62" s="2">
        <v>26006.15000000002</v>
      </c>
      <c r="AB62" s="2">
        <v>26024.940000000021</v>
      </c>
      <c r="AC62" s="2">
        <v>26044.540000000019</v>
      </c>
      <c r="AD62" s="2">
        <v>26056.940000000021</v>
      </c>
      <c r="AE62" s="2">
        <v>26078.92000000002</v>
      </c>
      <c r="AF62" s="3">
        <v>26092.90000000002</v>
      </c>
      <c r="AG62" s="51">
        <f t="shared" si="1"/>
        <v>26092.90000000002</v>
      </c>
      <c r="AH62" s="44">
        <v>0</v>
      </c>
    </row>
    <row r="63" spans="1:34" x14ac:dyDescent="0.35">
      <c r="A63" s="33" t="s">
        <v>69</v>
      </c>
      <c r="B63" s="10">
        <v>76986.309999999983</v>
      </c>
      <c r="C63" s="2">
        <v>76987.39999999998</v>
      </c>
      <c r="D63" s="2">
        <v>76987.39999999998</v>
      </c>
      <c r="E63" s="2">
        <v>76987.39999999998</v>
      </c>
      <c r="F63" s="2">
        <v>76987.39999999998</v>
      </c>
      <c r="G63" s="2">
        <v>76987.39999999998</v>
      </c>
      <c r="H63" s="2">
        <v>76987.39999999998</v>
      </c>
      <c r="I63" s="2">
        <v>76987.39999999998</v>
      </c>
      <c r="J63" s="2">
        <v>76987.39999999998</v>
      </c>
      <c r="K63" s="2">
        <v>76987.39999999998</v>
      </c>
      <c r="L63" s="2">
        <v>76987.39999999998</v>
      </c>
      <c r="M63" s="2">
        <v>76987.39999999998</v>
      </c>
      <c r="N63" s="2">
        <v>76987.39999999998</v>
      </c>
      <c r="O63" s="2">
        <v>76987.39999999998</v>
      </c>
      <c r="P63" s="2">
        <v>76987.39999999998</v>
      </c>
      <c r="Q63" s="2">
        <v>76987.39999999998</v>
      </c>
      <c r="R63" s="2">
        <v>76987.39999999998</v>
      </c>
      <c r="S63" s="2">
        <v>76987.39999999998</v>
      </c>
      <c r="T63" s="2">
        <v>76987.39999999998</v>
      </c>
      <c r="U63" s="2">
        <v>76987.39999999998</v>
      </c>
      <c r="V63" s="2">
        <v>76987.39999999998</v>
      </c>
      <c r="W63" s="2">
        <v>76987.39999999998</v>
      </c>
      <c r="X63" s="2">
        <v>76987.39999999998</v>
      </c>
      <c r="Y63" s="2">
        <v>76987.39999999998</v>
      </c>
      <c r="Z63" s="2">
        <v>76987.39999999998</v>
      </c>
      <c r="AA63" s="2">
        <v>76987.39999999998</v>
      </c>
      <c r="AB63" s="2">
        <v>76987.39999999998</v>
      </c>
      <c r="AC63" s="2">
        <v>76987.39999999998</v>
      </c>
      <c r="AD63" s="2">
        <v>76987.39999999998</v>
      </c>
      <c r="AE63" s="2">
        <v>76987.39999999998</v>
      </c>
      <c r="AF63" s="3">
        <v>76987.39999999998</v>
      </c>
      <c r="AG63" s="51">
        <f t="shared" si="1"/>
        <v>76987.39999999998</v>
      </c>
      <c r="AH63" s="44">
        <v>0</v>
      </c>
    </row>
    <row r="64" spans="1:34" x14ac:dyDescent="0.35">
      <c r="A64" s="33" t="s">
        <v>70</v>
      </c>
      <c r="B64" s="10">
        <v>85410.719999999972</v>
      </c>
      <c r="C64" s="2">
        <v>85431.499999999971</v>
      </c>
      <c r="D64" s="2">
        <v>85451.909999999974</v>
      </c>
      <c r="E64" s="2">
        <v>85465.209999999977</v>
      </c>
      <c r="F64" s="2">
        <v>85484.199999999983</v>
      </c>
      <c r="G64" s="2">
        <v>85489.119999999981</v>
      </c>
      <c r="H64" s="2">
        <v>85489.119999999981</v>
      </c>
      <c r="I64" s="2">
        <v>85495.829999999987</v>
      </c>
      <c r="J64" s="2">
        <v>85506.4</v>
      </c>
      <c r="K64" s="2">
        <v>85516.76</v>
      </c>
      <c r="L64" s="2">
        <v>85520.62999999999</v>
      </c>
      <c r="M64" s="2">
        <v>85530.359999999986</v>
      </c>
      <c r="N64" s="2">
        <v>85537.949999999983</v>
      </c>
      <c r="O64" s="2">
        <v>85559.14999999998</v>
      </c>
      <c r="P64" s="2">
        <v>85567.139999999985</v>
      </c>
      <c r="Q64" s="2">
        <v>85567.189999999988</v>
      </c>
      <c r="R64" s="2">
        <v>85583.859999999986</v>
      </c>
      <c r="S64" s="2">
        <v>85585.849999999991</v>
      </c>
      <c r="T64" s="2">
        <v>85585.849999999991</v>
      </c>
      <c r="U64" s="2">
        <v>85593.15</v>
      </c>
      <c r="V64" s="2">
        <v>85593.15</v>
      </c>
      <c r="W64" s="2">
        <v>85593.15</v>
      </c>
      <c r="X64" s="2">
        <v>85602.95</v>
      </c>
      <c r="Y64" s="2">
        <v>85613.05</v>
      </c>
      <c r="Z64" s="2">
        <v>85616.46</v>
      </c>
      <c r="AA64" s="2">
        <v>85623.48000000001</v>
      </c>
      <c r="AB64" s="2">
        <v>85627.530000000013</v>
      </c>
      <c r="AC64" s="2">
        <v>85628.750000000015</v>
      </c>
      <c r="AD64" s="2">
        <v>85641.390000000014</v>
      </c>
      <c r="AE64" s="2">
        <v>85646.57</v>
      </c>
      <c r="AF64" s="3">
        <v>85657.5</v>
      </c>
      <c r="AG64" s="51">
        <f t="shared" si="1"/>
        <v>85657.5</v>
      </c>
      <c r="AH64" s="44">
        <v>0</v>
      </c>
    </row>
    <row r="65" spans="1:34" x14ac:dyDescent="0.35">
      <c r="A65" s="33" t="s">
        <v>71</v>
      </c>
      <c r="B65" s="10">
        <v>81885.590000000113</v>
      </c>
      <c r="C65" s="2">
        <v>81897.740000000107</v>
      </c>
      <c r="D65" s="2">
        <v>81919.080000000104</v>
      </c>
      <c r="E65" s="2">
        <v>81940.590000000098</v>
      </c>
      <c r="F65" s="2">
        <v>81959.710000000094</v>
      </c>
      <c r="G65" s="2">
        <v>81979.600000000093</v>
      </c>
      <c r="H65" s="2">
        <v>82001.070000000094</v>
      </c>
      <c r="I65" s="2">
        <v>82011.650000000096</v>
      </c>
      <c r="J65" s="2">
        <v>82033.390000000101</v>
      </c>
      <c r="K65" s="2">
        <v>82051.470000000103</v>
      </c>
      <c r="L65" s="2">
        <v>82057.700000000099</v>
      </c>
      <c r="M65" s="2">
        <v>82070.850000000093</v>
      </c>
      <c r="N65" s="2">
        <v>82077.330000000089</v>
      </c>
      <c r="O65" s="2">
        <v>82091.570000000094</v>
      </c>
      <c r="P65" s="2">
        <v>82108.780000000101</v>
      </c>
      <c r="Q65" s="2">
        <v>82126.9200000001</v>
      </c>
      <c r="R65" s="2">
        <v>82139.050000000105</v>
      </c>
      <c r="S65" s="2">
        <v>82157.5600000001</v>
      </c>
      <c r="T65" s="2">
        <v>82157.5600000001</v>
      </c>
      <c r="U65" s="2">
        <v>82169.500000000102</v>
      </c>
      <c r="V65" s="2">
        <v>82191.020000000106</v>
      </c>
      <c r="W65" s="2">
        <v>82191.020000000106</v>
      </c>
      <c r="X65" s="2">
        <v>82191.020000000106</v>
      </c>
      <c r="Y65" s="2">
        <v>82191.020000000106</v>
      </c>
      <c r="Z65" s="2">
        <v>82196.970000000103</v>
      </c>
      <c r="AA65" s="2">
        <v>82207.150000000096</v>
      </c>
      <c r="AB65" s="2">
        <v>82224.830000000089</v>
      </c>
      <c r="AC65" s="2">
        <v>82235.910000000091</v>
      </c>
      <c r="AD65" s="2">
        <v>82249.200000000084</v>
      </c>
      <c r="AE65" s="2">
        <v>82269.990000000078</v>
      </c>
      <c r="AF65" s="3">
        <v>82282.260000000082</v>
      </c>
      <c r="AG65" s="51">
        <f t="shared" si="1"/>
        <v>82282.260000000082</v>
      </c>
      <c r="AH65" s="44">
        <v>0</v>
      </c>
    </row>
    <row r="66" spans="1:34" x14ac:dyDescent="0.35">
      <c r="A66" s="33" t="s">
        <v>72</v>
      </c>
      <c r="B66" s="10">
        <v>79876.920000000202</v>
      </c>
      <c r="C66" s="2">
        <v>79891.850000000195</v>
      </c>
      <c r="D66" s="2">
        <v>79907.86000000019</v>
      </c>
      <c r="E66" s="2">
        <v>79911.940000000192</v>
      </c>
      <c r="F66" s="2">
        <v>79917.120000000185</v>
      </c>
      <c r="G66" s="2">
        <v>79939.430000000182</v>
      </c>
      <c r="H66" s="2">
        <v>79958.700000000186</v>
      </c>
      <c r="I66" s="2">
        <v>79964.530000000188</v>
      </c>
      <c r="J66" s="2">
        <v>79971.010000000184</v>
      </c>
      <c r="K66" s="2">
        <v>79990.890000000189</v>
      </c>
      <c r="L66" s="2">
        <v>80007.980000000185</v>
      </c>
      <c r="M66" s="2">
        <v>80028.160000000178</v>
      </c>
      <c r="N66" s="2">
        <v>80048.60000000018</v>
      </c>
      <c r="O66" s="2">
        <v>80068.260000000184</v>
      </c>
      <c r="P66" s="2">
        <v>80076.980000000185</v>
      </c>
      <c r="Q66" s="2">
        <v>80085.020000000179</v>
      </c>
      <c r="R66" s="2">
        <v>80105.090000000186</v>
      </c>
      <c r="S66" s="2">
        <v>80126.670000000187</v>
      </c>
      <c r="T66" s="2">
        <v>80148.280000000188</v>
      </c>
      <c r="U66" s="2">
        <v>80169.600000000195</v>
      </c>
      <c r="V66" s="2">
        <v>80188.430000000197</v>
      </c>
      <c r="W66" s="2">
        <v>80188.430000000197</v>
      </c>
      <c r="X66" s="2">
        <v>80206.920000000202</v>
      </c>
      <c r="Y66" s="2">
        <v>80212.380000000208</v>
      </c>
      <c r="Z66" s="2">
        <v>80231.260000000213</v>
      </c>
      <c r="AA66" s="2">
        <v>80237.290000000212</v>
      </c>
      <c r="AB66" s="2">
        <v>80238.330000000205</v>
      </c>
      <c r="AC66" s="2">
        <v>80253.280000000203</v>
      </c>
      <c r="AD66" s="2">
        <v>80265.270000000208</v>
      </c>
      <c r="AE66" s="2">
        <v>80282.810000000201</v>
      </c>
      <c r="AF66" s="3">
        <v>80304.300000000207</v>
      </c>
      <c r="AG66" s="51">
        <f t="shared" si="1"/>
        <v>80304.300000000207</v>
      </c>
      <c r="AH66" s="44">
        <v>0</v>
      </c>
    </row>
    <row r="67" spans="1:34" x14ac:dyDescent="0.35">
      <c r="A67" s="33" t="s">
        <v>73</v>
      </c>
      <c r="B67" s="10">
        <v>82458.61</v>
      </c>
      <c r="C67" s="2">
        <v>82458.61</v>
      </c>
      <c r="D67" s="2">
        <v>82464.95</v>
      </c>
      <c r="E67" s="2">
        <v>82482.179999999993</v>
      </c>
      <c r="F67" s="2">
        <v>82493.17</v>
      </c>
      <c r="G67" s="2">
        <v>82512.95</v>
      </c>
      <c r="H67" s="2">
        <v>82525.87</v>
      </c>
      <c r="I67" s="2">
        <v>82536.5</v>
      </c>
      <c r="J67" s="2">
        <v>82548.490000000005</v>
      </c>
      <c r="K67" s="2">
        <v>82569.990000000005</v>
      </c>
      <c r="L67" s="2">
        <v>82586.960000000006</v>
      </c>
      <c r="M67" s="2">
        <v>82600.94</v>
      </c>
      <c r="N67" s="2">
        <v>82611.62</v>
      </c>
      <c r="O67" s="2">
        <v>82617.61</v>
      </c>
      <c r="P67" s="2">
        <v>82621.649999999994</v>
      </c>
      <c r="Q67" s="2">
        <v>82638.26999999999</v>
      </c>
      <c r="R67" s="2">
        <v>82652.929999999993</v>
      </c>
      <c r="S67" s="2">
        <v>82673.899999999994</v>
      </c>
      <c r="T67" s="2">
        <v>82684.849999999991</v>
      </c>
      <c r="U67" s="2">
        <v>82706.799999999988</v>
      </c>
      <c r="V67" s="2">
        <v>82709.039999999994</v>
      </c>
      <c r="W67" s="2">
        <v>82713.51999999999</v>
      </c>
      <c r="X67" s="2">
        <v>82728.09</v>
      </c>
      <c r="Y67" s="2">
        <v>82736.69</v>
      </c>
      <c r="Z67" s="2">
        <v>82745.210000000006</v>
      </c>
      <c r="AA67" s="2">
        <v>82755.77</v>
      </c>
      <c r="AB67" s="2">
        <v>82757.95</v>
      </c>
      <c r="AC67" s="2">
        <v>82757.95</v>
      </c>
      <c r="AD67" s="2">
        <v>82759.8</v>
      </c>
      <c r="AE67" s="2">
        <v>82780.5</v>
      </c>
      <c r="AF67" s="3">
        <v>82802.179999999993</v>
      </c>
      <c r="AG67" s="51">
        <f t="shared" si="1"/>
        <v>82802.179999999993</v>
      </c>
      <c r="AH67" s="44">
        <v>0</v>
      </c>
    </row>
    <row r="68" spans="1:34" x14ac:dyDescent="0.35">
      <c r="A68" s="33" t="s">
        <v>74</v>
      </c>
      <c r="B68" s="10">
        <v>80117.849999999773</v>
      </c>
      <c r="C68" s="2">
        <v>80131.469999999768</v>
      </c>
      <c r="D68" s="2">
        <v>80146.919999999765</v>
      </c>
      <c r="E68" s="2">
        <v>80159.559999999765</v>
      </c>
      <c r="F68" s="2">
        <v>80159.559999999765</v>
      </c>
      <c r="G68" s="2">
        <v>80159.559999999765</v>
      </c>
      <c r="H68" s="2">
        <v>80159.559999999765</v>
      </c>
      <c r="I68" s="2">
        <v>80159.559999999765</v>
      </c>
      <c r="J68" s="2">
        <v>80159.559999999765</v>
      </c>
      <c r="K68" s="2">
        <v>80171.809999999765</v>
      </c>
      <c r="L68" s="2">
        <v>80190.709999999759</v>
      </c>
      <c r="M68" s="2">
        <v>80201.31999999976</v>
      </c>
      <c r="N68" s="2">
        <v>80210.449999999764</v>
      </c>
      <c r="O68" s="2">
        <v>80223.639999999767</v>
      </c>
      <c r="P68" s="2">
        <v>80236.999999999767</v>
      </c>
      <c r="Q68" s="2">
        <v>80247.229999999763</v>
      </c>
      <c r="R68" s="2">
        <v>80247.889999999767</v>
      </c>
      <c r="S68" s="2">
        <v>80269.469999999768</v>
      </c>
      <c r="T68" s="2">
        <v>80280.479999999763</v>
      </c>
      <c r="U68" s="2">
        <v>80291.369999999763</v>
      </c>
      <c r="V68" s="2">
        <v>80299.139999999767</v>
      </c>
      <c r="W68" s="2">
        <v>80317.109999999768</v>
      </c>
      <c r="X68" s="2">
        <v>80335.619999999763</v>
      </c>
      <c r="Y68" s="2">
        <v>80343.289999999761</v>
      </c>
      <c r="Z68" s="2">
        <v>80357.659999999756</v>
      </c>
      <c r="AA68" s="2">
        <v>80361.999999999753</v>
      </c>
      <c r="AB68" s="2">
        <v>80366.719999999754</v>
      </c>
      <c r="AC68" s="2">
        <v>80374.629999999757</v>
      </c>
      <c r="AD68" s="2">
        <v>80392.289999999761</v>
      </c>
      <c r="AE68" s="2">
        <v>80409.619999999763</v>
      </c>
      <c r="AF68" s="3">
        <v>80414.469999999768</v>
      </c>
      <c r="AG68" s="51">
        <f t="shared" ref="AG68:AG99" si="2">MAX(B68:AF68)</f>
        <v>80414.469999999768</v>
      </c>
      <c r="AH68" s="44">
        <v>0</v>
      </c>
    </row>
    <row r="69" spans="1:34" x14ac:dyDescent="0.35">
      <c r="A69" s="33" t="s">
        <v>75</v>
      </c>
      <c r="B69" s="10">
        <v>83156.840000000127</v>
      </c>
      <c r="C69" s="2">
        <v>83178.52000000012</v>
      </c>
      <c r="D69" s="2">
        <v>83200.640000000116</v>
      </c>
      <c r="E69" s="2">
        <v>83222.79000000011</v>
      </c>
      <c r="F69" s="2">
        <v>83237.640000000116</v>
      </c>
      <c r="G69" s="2">
        <v>83254.210000000123</v>
      </c>
      <c r="H69" s="2">
        <v>83275.900000000125</v>
      </c>
      <c r="I69" s="2">
        <v>83298.240000000122</v>
      </c>
      <c r="J69" s="2">
        <v>83319.52000000012</v>
      </c>
      <c r="K69" s="2">
        <v>83340.670000000115</v>
      </c>
      <c r="L69" s="2">
        <v>83356.210000000108</v>
      </c>
      <c r="M69" s="2">
        <v>83377.450000000114</v>
      </c>
      <c r="N69" s="2">
        <v>83398.79000000011</v>
      </c>
      <c r="O69" s="2">
        <v>83415.150000000111</v>
      </c>
      <c r="P69" s="2">
        <v>83434.380000000107</v>
      </c>
      <c r="Q69" s="2">
        <v>83453.910000000105</v>
      </c>
      <c r="R69" s="2">
        <v>83475.760000000111</v>
      </c>
      <c r="S69" s="2">
        <v>83497.350000000108</v>
      </c>
      <c r="T69" s="2">
        <v>83518.880000000107</v>
      </c>
      <c r="U69" s="2">
        <v>83540.0600000001</v>
      </c>
      <c r="V69" s="2">
        <v>83561.130000000107</v>
      </c>
      <c r="W69" s="2">
        <v>83581.0600000001</v>
      </c>
      <c r="X69" s="2">
        <v>83601.680000000095</v>
      </c>
      <c r="Y69" s="2">
        <v>83611.9200000001</v>
      </c>
      <c r="Z69" s="2">
        <v>83619.050000000105</v>
      </c>
      <c r="AA69" s="2">
        <v>83634.460000000108</v>
      </c>
      <c r="AB69" s="2">
        <v>83653.480000000112</v>
      </c>
      <c r="AC69" s="2">
        <v>83664.160000000105</v>
      </c>
      <c r="AD69" s="2">
        <v>83686.4200000001</v>
      </c>
      <c r="AE69" s="2">
        <v>83707.760000000097</v>
      </c>
      <c r="AF69" s="3">
        <v>83729.270000000091</v>
      </c>
      <c r="AG69" s="51">
        <f t="shared" si="2"/>
        <v>83729.270000000091</v>
      </c>
      <c r="AH69" s="44">
        <v>0</v>
      </c>
    </row>
    <row r="70" spans="1:34" x14ac:dyDescent="0.35">
      <c r="A70" s="33" t="s">
        <v>76</v>
      </c>
      <c r="B70" s="10">
        <v>81933.56000000007</v>
      </c>
      <c r="C70" s="2">
        <v>81945.660000000076</v>
      </c>
      <c r="D70" s="2">
        <v>81965.210000000079</v>
      </c>
      <c r="E70" s="2">
        <v>81980.540000000081</v>
      </c>
      <c r="F70" s="2">
        <v>81994.760000000082</v>
      </c>
      <c r="G70" s="2">
        <v>82006.530000000086</v>
      </c>
      <c r="H70" s="2">
        <v>82019.770000000091</v>
      </c>
      <c r="I70" s="2">
        <v>82019.770000000091</v>
      </c>
      <c r="J70" s="2">
        <v>82019.770000000091</v>
      </c>
      <c r="K70" s="2">
        <v>82019.770000000091</v>
      </c>
      <c r="L70" s="2">
        <v>82029.860000000088</v>
      </c>
      <c r="M70" s="2">
        <v>82039.070000000094</v>
      </c>
      <c r="N70" s="2">
        <v>82046.05000000009</v>
      </c>
      <c r="O70" s="2">
        <v>82065.090000000084</v>
      </c>
      <c r="P70" s="2">
        <v>82086.30000000009</v>
      </c>
      <c r="Q70" s="2">
        <v>82102.810000000085</v>
      </c>
      <c r="R70" s="2">
        <v>82123.790000000081</v>
      </c>
      <c r="S70" s="2">
        <v>82135.080000000075</v>
      </c>
      <c r="T70" s="2">
        <v>82148.500000000073</v>
      </c>
      <c r="U70" s="2">
        <v>82152.230000000069</v>
      </c>
      <c r="V70" s="2">
        <v>82159.090000000069</v>
      </c>
      <c r="W70" s="2">
        <v>82175.690000000075</v>
      </c>
      <c r="X70" s="2">
        <v>82194.57000000008</v>
      </c>
      <c r="Y70" s="2">
        <v>82215.490000000078</v>
      </c>
      <c r="Z70" s="2">
        <v>82225.890000000072</v>
      </c>
      <c r="AA70" s="2">
        <v>82236.600000000079</v>
      </c>
      <c r="AB70" s="2">
        <v>82251.380000000077</v>
      </c>
      <c r="AC70" s="2">
        <v>82272.900000000081</v>
      </c>
      <c r="AD70" s="2">
        <v>82293.730000000083</v>
      </c>
      <c r="AE70" s="2">
        <v>82315.18000000008</v>
      </c>
      <c r="AF70" s="3">
        <v>82337.010000000082</v>
      </c>
      <c r="AG70" s="51">
        <f t="shared" si="2"/>
        <v>82337.010000000082</v>
      </c>
      <c r="AH70" s="44">
        <v>0</v>
      </c>
    </row>
    <row r="71" spans="1:34" x14ac:dyDescent="0.35">
      <c r="A71" s="33" t="s">
        <v>77</v>
      </c>
      <c r="B71" s="10">
        <v>71816.470000000103</v>
      </c>
      <c r="C71" s="2">
        <v>71830.440000000104</v>
      </c>
      <c r="D71" s="2">
        <v>71845.130000000107</v>
      </c>
      <c r="E71" s="2">
        <v>71861.990000000107</v>
      </c>
      <c r="F71" s="2">
        <v>71866.070000000109</v>
      </c>
      <c r="G71" s="2">
        <v>71866.070000000109</v>
      </c>
      <c r="H71" s="2">
        <v>71884.660000000105</v>
      </c>
      <c r="I71" s="2">
        <v>71897.000000000102</v>
      </c>
      <c r="J71" s="2">
        <v>71898.790000000095</v>
      </c>
      <c r="K71" s="2">
        <v>71900.890000000101</v>
      </c>
      <c r="L71" s="2">
        <v>71913.300000000105</v>
      </c>
      <c r="M71" s="2">
        <v>71924.750000000102</v>
      </c>
      <c r="N71" s="2">
        <v>71935.410000000105</v>
      </c>
      <c r="O71" s="2">
        <v>71956.8100000001</v>
      </c>
      <c r="P71" s="2">
        <v>71964.180000000095</v>
      </c>
      <c r="Q71" s="2">
        <v>71979.490000000093</v>
      </c>
      <c r="R71" s="2">
        <v>71995.530000000086</v>
      </c>
      <c r="S71" s="2">
        <v>72005.220000000088</v>
      </c>
      <c r="T71" s="2">
        <v>72026.540000000095</v>
      </c>
      <c r="U71" s="2">
        <v>72035.200000000099</v>
      </c>
      <c r="V71" s="2">
        <v>72056.180000000095</v>
      </c>
      <c r="W71" s="2">
        <v>72066.840000000098</v>
      </c>
      <c r="X71" s="2">
        <v>72087.300000000105</v>
      </c>
      <c r="Y71" s="2">
        <v>72108.520000000106</v>
      </c>
      <c r="Z71" s="2">
        <v>72116.940000000104</v>
      </c>
      <c r="AA71" s="2">
        <v>72138.750000000102</v>
      </c>
      <c r="AB71" s="2">
        <v>72157.700000000099</v>
      </c>
      <c r="AC71" s="2">
        <v>72177.130000000092</v>
      </c>
      <c r="AD71" s="2">
        <v>72193.580000000089</v>
      </c>
      <c r="AE71" s="2">
        <v>72209.30000000009</v>
      </c>
      <c r="AF71" s="3">
        <v>72230.810000000085</v>
      </c>
      <c r="AG71" s="51">
        <f t="shared" si="2"/>
        <v>72230.810000000085</v>
      </c>
      <c r="AH71" s="44">
        <v>0</v>
      </c>
    </row>
    <row r="72" spans="1:34" x14ac:dyDescent="0.35">
      <c r="A72" s="33" t="s">
        <v>78</v>
      </c>
      <c r="B72" s="10">
        <v>75143.489999999816</v>
      </c>
      <c r="C72" s="2">
        <v>75157.75999999982</v>
      </c>
      <c r="D72" s="2">
        <v>75177.779999999824</v>
      </c>
      <c r="E72" s="2">
        <v>75198.949999999822</v>
      </c>
      <c r="F72" s="2">
        <v>75220.409999999829</v>
      </c>
      <c r="G72" s="2">
        <v>75241.789999999834</v>
      </c>
      <c r="H72" s="2">
        <v>75263.169999999838</v>
      </c>
      <c r="I72" s="2">
        <v>75271.989999999845</v>
      </c>
      <c r="J72" s="2">
        <v>75286.239999999845</v>
      </c>
      <c r="K72" s="2">
        <v>75307.72999999985</v>
      </c>
      <c r="L72" s="2">
        <v>75328.459999999846</v>
      </c>
      <c r="M72" s="2">
        <v>75339.199999999852</v>
      </c>
      <c r="N72" s="2">
        <v>75360.319999999847</v>
      </c>
      <c r="O72" s="2">
        <v>75380.99999999984</v>
      </c>
      <c r="P72" s="2">
        <v>75393.309999999838</v>
      </c>
      <c r="Q72" s="2">
        <v>75393.309999999838</v>
      </c>
      <c r="R72" s="2">
        <v>75396.509999999835</v>
      </c>
      <c r="S72" s="2">
        <v>75418.009999999835</v>
      </c>
      <c r="T72" s="2">
        <v>75439.37999999983</v>
      </c>
      <c r="U72" s="2">
        <v>75460.909999999829</v>
      </c>
      <c r="V72" s="2">
        <v>75463.269999999829</v>
      </c>
      <c r="W72" s="2">
        <v>75464.999999999825</v>
      </c>
      <c r="X72" s="2">
        <v>75475.829999999827</v>
      </c>
      <c r="Y72" s="2">
        <v>75485.599999999831</v>
      </c>
      <c r="Z72" s="2">
        <v>75491.739999999831</v>
      </c>
      <c r="AA72" s="2">
        <v>75504.109999999826</v>
      </c>
      <c r="AB72" s="2">
        <v>75520.00999999982</v>
      </c>
      <c r="AC72" s="2">
        <v>75520.00999999982</v>
      </c>
      <c r="AD72" s="2">
        <v>75535.39999999982</v>
      </c>
      <c r="AE72" s="2">
        <v>75551.489999999816</v>
      </c>
      <c r="AF72" s="3">
        <v>75573.159999999814</v>
      </c>
      <c r="AG72" s="51">
        <f t="shared" si="2"/>
        <v>75573.159999999814</v>
      </c>
      <c r="AH72" s="44">
        <v>0</v>
      </c>
    </row>
    <row r="73" spans="1:34" x14ac:dyDescent="0.35">
      <c r="A73" s="33" t="s">
        <v>79</v>
      </c>
      <c r="B73" s="10">
        <v>78160.289999999848</v>
      </c>
      <c r="C73" s="2">
        <v>78160.289999999848</v>
      </c>
      <c r="D73" s="2">
        <v>78160.289999999848</v>
      </c>
      <c r="E73" s="2">
        <v>78160.289999999848</v>
      </c>
      <c r="F73" s="2">
        <v>78160.289999999848</v>
      </c>
      <c r="G73" s="2">
        <v>78160.289999999848</v>
      </c>
      <c r="H73" s="2">
        <v>78160.289999999848</v>
      </c>
      <c r="I73" s="2">
        <v>78160.289999999848</v>
      </c>
      <c r="J73" s="2">
        <v>78160.289999999848</v>
      </c>
      <c r="K73" s="2">
        <v>78160.289999999848</v>
      </c>
      <c r="L73" s="2">
        <v>78160.289999999848</v>
      </c>
      <c r="M73" s="2">
        <v>78160.289999999848</v>
      </c>
      <c r="N73" s="2">
        <v>78160.289999999848</v>
      </c>
      <c r="O73" s="2">
        <v>78160.289999999848</v>
      </c>
      <c r="P73" s="2">
        <v>78160.289999999848</v>
      </c>
      <c r="Q73" s="2">
        <v>78160.289999999848</v>
      </c>
      <c r="R73" s="2">
        <v>78160.289999999848</v>
      </c>
      <c r="S73" s="2">
        <v>78160.289999999848</v>
      </c>
      <c r="T73" s="2">
        <v>78160.289999999848</v>
      </c>
      <c r="U73" s="2">
        <v>78160.289999999848</v>
      </c>
      <c r="V73" s="2">
        <v>78160.289999999848</v>
      </c>
      <c r="W73" s="2">
        <v>78160.289999999848</v>
      </c>
      <c r="X73" s="2">
        <v>78160.289999999848</v>
      </c>
      <c r="Y73" s="2">
        <v>78160.289999999848</v>
      </c>
      <c r="Z73" s="2">
        <v>78160.289999999848</v>
      </c>
      <c r="AA73" s="2">
        <v>78160.289999999848</v>
      </c>
      <c r="AB73" s="2">
        <v>78160.289999999848</v>
      </c>
      <c r="AC73" s="2">
        <v>78160.289999999848</v>
      </c>
      <c r="AD73" s="2">
        <v>78160.289999999848</v>
      </c>
      <c r="AE73" s="2">
        <v>78160.289999999848</v>
      </c>
      <c r="AF73" s="3">
        <v>78161.259999999849</v>
      </c>
      <c r="AG73" s="51">
        <f t="shared" si="2"/>
        <v>78161.259999999849</v>
      </c>
      <c r="AH73" s="44">
        <v>0</v>
      </c>
    </row>
    <row r="74" spans="1:34" x14ac:dyDescent="0.35">
      <c r="A74" s="33" t="s">
        <v>80</v>
      </c>
      <c r="B74" s="10">
        <v>82285.920000000013</v>
      </c>
      <c r="C74" s="2">
        <v>82307.210000000006</v>
      </c>
      <c r="D74" s="2">
        <v>82326.450000000012</v>
      </c>
      <c r="E74" s="2">
        <v>82348.330000000016</v>
      </c>
      <c r="F74" s="2">
        <v>82371.060000000012</v>
      </c>
      <c r="G74" s="2">
        <v>82392.660000000018</v>
      </c>
      <c r="H74" s="2">
        <v>82405.930000000022</v>
      </c>
      <c r="I74" s="2">
        <v>82417.10000000002</v>
      </c>
      <c r="J74" s="2">
        <v>82429.670000000027</v>
      </c>
      <c r="K74" s="2">
        <v>82443.730000000025</v>
      </c>
      <c r="L74" s="2">
        <v>82456.510000000024</v>
      </c>
      <c r="M74" s="2">
        <v>82463.700000000026</v>
      </c>
      <c r="N74" s="2">
        <v>82481.320000000022</v>
      </c>
      <c r="O74" s="2">
        <v>82498.500000000015</v>
      </c>
      <c r="P74" s="2">
        <v>82504.580000000016</v>
      </c>
      <c r="Q74" s="2">
        <v>82505.400000000023</v>
      </c>
      <c r="R74" s="2">
        <v>82515.700000000026</v>
      </c>
      <c r="S74" s="2">
        <v>82527.680000000022</v>
      </c>
      <c r="T74" s="2">
        <v>82549.420000000027</v>
      </c>
      <c r="U74" s="2">
        <v>82566.740000000034</v>
      </c>
      <c r="V74" s="2">
        <v>82576.930000000037</v>
      </c>
      <c r="W74" s="2">
        <v>82591.47000000003</v>
      </c>
      <c r="X74" s="2">
        <v>82608.120000000024</v>
      </c>
      <c r="Y74" s="2">
        <v>82629.99000000002</v>
      </c>
      <c r="Z74" s="2">
        <v>82651.770000000019</v>
      </c>
      <c r="AA74" s="2">
        <v>82672.840000000026</v>
      </c>
      <c r="AB74" s="2">
        <v>82690.550000000032</v>
      </c>
      <c r="AC74" s="2">
        <v>82712.010000000038</v>
      </c>
      <c r="AD74" s="2">
        <v>82733.73000000004</v>
      </c>
      <c r="AE74" s="2">
        <v>82755.120000000039</v>
      </c>
      <c r="AF74" s="3">
        <v>82776.670000000042</v>
      </c>
      <c r="AG74" s="51">
        <f t="shared" si="2"/>
        <v>82776.670000000042</v>
      </c>
      <c r="AH74" s="44">
        <v>0</v>
      </c>
    </row>
    <row r="75" spans="1:34" x14ac:dyDescent="0.35">
      <c r="A75" s="33" t="s">
        <v>81</v>
      </c>
      <c r="B75" s="10">
        <v>81143.389999999927</v>
      </c>
      <c r="C75" s="2">
        <v>81155.68999999993</v>
      </c>
      <c r="D75" s="2">
        <v>81176.339999999924</v>
      </c>
      <c r="E75" s="2">
        <v>81187.369999999923</v>
      </c>
      <c r="F75" s="2">
        <v>81207.959999999919</v>
      </c>
      <c r="G75" s="2">
        <v>81228.919999999925</v>
      </c>
      <c r="H75" s="2">
        <v>81249.359999999928</v>
      </c>
      <c r="I75" s="2">
        <v>81266.279999999926</v>
      </c>
      <c r="J75" s="2">
        <v>81286.81999999992</v>
      </c>
      <c r="K75" s="2">
        <v>81306.099999999919</v>
      </c>
      <c r="L75" s="2">
        <v>81327.669999999925</v>
      </c>
      <c r="M75" s="2">
        <v>81347.489999999932</v>
      </c>
      <c r="N75" s="2">
        <v>81369.18999999993</v>
      </c>
      <c r="O75" s="2">
        <v>81390.309999999925</v>
      </c>
      <c r="P75" s="2">
        <v>81405.719999999928</v>
      </c>
      <c r="Q75" s="2">
        <v>81424.79999999993</v>
      </c>
      <c r="R75" s="2">
        <v>81446.68999999993</v>
      </c>
      <c r="S75" s="2">
        <v>81465.989999999932</v>
      </c>
      <c r="T75" s="2">
        <v>81465.989999999932</v>
      </c>
      <c r="U75" s="2">
        <v>81478.419999999925</v>
      </c>
      <c r="V75" s="2">
        <v>81497.67999999992</v>
      </c>
      <c r="W75" s="2">
        <v>81518.899999999921</v>
      </c>
      <c r="X75" s="2">
        <v>81539.479999999923</v>
      </c>
      <c r="Y75" s="2">
        <v>81561.609999999928</v>
      </c>
      <c r="Z75" s="2">
        <v>81579.149999999921</v>
      </c>
      <c r="AA75" s="2">
        <v>81586.779999999926</v>
      </c>
      <c r="AB75" s="2">
        <v>81597.809999999925</v>
      </c>
      <c r="AC75" s="2">
        <v>81614.829999999929</v>
      </c>
      <c r="AD75" s="2">
        <v>81636.099999999933</v>
      </c>
      <c r="AE75" s="2">
        <v>81655.619999999937</v>
      </c>
      <c r="AF75" s="3">
        <v>81677.41999999994</v>
      </c>
      <c r="AG75" s="51">
        <f t="shared" si="2"/>
        <v>81677.41999999994</v>
      </c>
      <c r="AH75" s="44">
        <v>0</v>
      </c>
    </row>
    <row r="76" spans="1:34" x14ac:dyDescent="0.35">
      <c r="A76" s="33" t="s">
        <v>82</v>
      </c>
      <c r="B76" s="10">
        <v>81049.61000000019</v>
      </c>
      <c r="C76" s="2">
        <v>81071.460000000196</v>
      </c>
      <c r="D76" s="2">
        <v>81086.540000000197</v>
      </c>
      <c r="E76" s="2">
        <v>81086.540000000197</v>
      </c>
      <c r="F76" s="2">
        <v>81098.260000000198</v>
      </c>
      <c r="G76" s="2">
        <v>81116.960000000196</v>
      </c>
      <c r="H76" s="2">
        <v>81137.900000000198</v>
      </c>
      <c r="I76" s="2">
        <v>81159.750000000204</v>
      </c>
      <c r="J76" s="2">
        <v>81180.860000000204</v>
      </c>
      <c r="K76" s="2">
        <v>81196.810000000201</v>
      </c>
      <c r="L76" s="2">
        <v>81217.860000000204</v>
      </c>
      <c r="M76" s="2">
        <v>81239.050000000207</v>
      </c>
      <c r="N76" s="2">
        <v>81256.270000000208</v>
      </c>
      <c r="O76" s="2">
        <v>81277.570000000211</v>
      </c>
      <c r="P76" s="2">
        <v>81298.670000000217</v>
      </c>
      <c r="Q76" s="2">
        <v>81317.610000000219</v>
      </c>
      <c r="R76" s="2">
        <v>81334.210000000225</v>
      </c>
      <c r="S76" s="2">
        <v>81352.380000000223</v>
      </c>
      <c r="T76" s="2">
        <v>81363.150000000227</v>
      </c>
      <c r="U76" s="2">
        <v>81383.230000000229</v>
      </c>
      <c r="V76" s="2">
        <v>81404.620000000228</v>
      </c>
      <c r="W76" s="2">
        <v>81425.730000000229</v>
      </c>
      <c r="X76" s="2">
        <v>81447.070000000225</v>
      </c>
      <c r="Y76" s="2">
        <v>81468.540000000226</v>
      </c>
      <c r="Z76" s="2">
        <v>81489.820000000225</v>
      </c>
      <c r="AA76" s="2">
        <v>81509.050000000221</v>
      </c>
      <c r="AB76" s="2">
        <v>81526.820000000225</v>
      </c>
      <c r="AC76" s="2">
        <v>81538.490000000224</v>
      </c>
      <c r="AD76" s="2">
        <v>81555.970000000219</v>
      </c>
      <c r="AE76" s="2">
        <v>81567.880000000223</v>
      </c>
      <c r="AF76" s="3">
        <v>81580.390000000218</v>
      </c>
      <c r="AG76" s="51">
        <f t="shared" si="2"/>
        <v>81580.390000000218</v>
      </c>
      <c r="AH76" s="44">
        <v>0</v>
      </c>
    </row>
    <row r="77" spans="1:34" x14ac:dyDescent="0.35">
      <c r="A77" s="33" t="s">
        <v>83</v>
      </c>
      <c r="B77" s="10">
        <v>81054.499999999956</v>
      </c>
      <c r="C77" s="2">
        <v>81073.319999999963</v>
      </c>
      <c r="D77" s="2">
        <v>81080.76999999996</v>
      </c>
      <c r="E77" s="2">
        <v>81097.799999999959</v>
      </c>
      <c r="F77" s="2">
        <v>81101.829999999958</v>
      </c>
      <c r="G77" s="2">
        <v>81104.559999999954</v>
      </c>
      <c r="H77" s="2">
        <v>81121.689999999959</v>
      </c>
      <c r="I77" s="2">
        <v>81137.429999999964</v>
      </c>
      <c r="J77" s="2">
        <v>81158.799999999959</v>
      </c>
      <c r="K77" s="2">
        <v>81175.459999999963</v>
      </c>
      <c r="L77" s="2">
        <v>81190.569999999963</v>
      </c>
      <c r="M77" s="2">
        <v>81210.989999999962</v>
      </c>
      <c r="N77" s="2">
        <v>81232.479999999967</v>
      </c>
      <c r="O77" s="2">
        <v>81254.189999999973</v>
      </c>
      <c r="P77" s="2">
        <v>81276.39999999998</v>
      </c>
      <c r="Q77" s="2">
        <v>81293.269999999975</v>
      </c>
      <c r="R77" s="2">
        <v>81313.619999999981</v>
      </c>
      <c r="S77" s="2">
        <v>81333.049999999974</v>
      </c>
      <c r="T77" s="2">
        <v>81351.519999999975</v>
      </c>
      <c r="U77" s="2">
        <v>81365.319999999978</v>
      </c>
      <c r="V77" s="2">
        <v>81384.119999999981</v>
      </c>
      <c r="W77" s="2">
        <v>81405.629999999976</v>
      </c>
      <c r="X77" s="2">
        <v>81427.13999999997</v>
      </c>
      <c r="Y77" s="2">
        <v>81448.369999999966</v>
      </c>
      <c r="Z77" s="2">
        <v>81462.369999999966</v>
      </c>
      <c r="AA77" s="2">
        <v>81481.189999999973</v>
      </c>
      <c r="AB77" s="2">
        <v>81491.519999999975</v>
      </c>
      <c r="AC77" s="2">
        <v>81513.269999999975</v>
      </c>
      <c r="AD77" s="2">
        <v>81532.88999999997</v>
      </c>
      <c r="AE77" s="2">
        <v>81553.88999999997</v>
      </c>
      <c r="AF77" s="3">
        <v>81553.909999999974</v>
      </c>
      <c r="AG77" s="51">
        <f t="shared" si="2"/>
        <v>81553.909999999974</v>
      </c>
      <c r="AH77" s="44">
        <v>0</v>
      </c>
    </row>
    <row r="78" spans="1:34" x14ac:dyDescent="0.35">
      <c r="A78" s="33" t="s">
        <v>84</v>
      </c>
      <c r="B78" s="10">
        <v>83105.509999999951</v>
      </c>
      <c r="C78" s="2">
        <v>83127.089999999953</v>
      </c>
      <c r="D78" s="2">
        <v>83148.699999999953</v>
      </c>
      <c r="E78" s="2">
        <v>83165.629999999946</v>
      </c>
      <c r="F78" s="2">
        <v>83166.66999999994</v>
      </c>
      <c r="G78" s="2">
        <v>83181.549999999945</v>
      </c>
      <c r="H78" s="2">
        <v>83204.189999999944</v>
      </c>
      <c r="I78" s="2">
        <v>83216.949999999939</v>
      </c>
      <c r="J78" s="2">
        <v>83217.929999999935</v>
      </c>
      <c r="K78" s="2">
        <v>83235.959999999934</v>
      </c>
      <c r="L78" s="2">
        <v>83243.119999999937</v>
      </c>
      <c r="M78" s="2">
        <v>83262.309999999939</v>
      </c>
      <c r="N78" s="2">
        <v>83284.129999999946</v>
      </c>
      <c r="O78" s="2">
        <v>83305.78999999995</v>
      </c>
      <c r="P78" s="2">
        <v>83322.689999999944</v>
      </c>
      <c r="Q78" s="2">
        <v>83343.469999999943</v>
      </c>
      <c r="R78" s="2">
        <v>83362.519999999946</v>
      </c>
      <c r="S78" s="2">
        <v>83382.78999999995</v>
      </c>
      <c r="T78" s="2">
        <v>83404.049999999945</v>
      </c>
      <c r="U78" s="2">
        <v>83420.409999999945</v>
      </c>
      <c r="V78" s="2">
        <v>83424.319999999949</v>
      </c>
      <c r="W78" s="2">
        <v>83424.319999999949</v>
      </c>
      <c r="X78" s="2">
        <v>83424.319999999949</v>
      </c>
      <c r="Y78" s="2">
        <v>83424.459999999948</v>
      </c>
      <c r="Z78" s="2">
        <v>83443.339999999953</v>
      </c>
      <c r="AA78" s="2">
        <v>83458.569999999949</v>
      </c>
      <c r="AB78" s="2">
        <v>83476.53999999995</v>
      </c>
      <c r="AC78" s="2">
        <v>83481.859999999957</v>
      </c>
      <c r="AD78" s="2">
        <v>83502.40999999996</v>
      </c>
      <c r="AE78" s="2">
        <v>83512.979999999967</v>
      </c>
      <c r="AF78" s="3">
        <v>83533.469999999972</v>
      </c>
      <c r="AG78" s="51">
        <f t="shared" si="2"/>
        <v>83533.469999999972</v>
      </c>
      <c r="AH78" s="44">
        <v>0</v>
      </c>
    </row>
    <row r="79" spans="1:34" x14ac:dyDescent="0.35">
      <c r="A79" s="33" t="s">
        <v>85</v>
      </c>
      <c r="B79" s="10">
        <v>82985.309999999852</v>
      </c>
      <c r="C79" s="2">
        <v>83006.469999999856</v>
      </c>
      <c r="D79" s="2">
        <v>83028.219999999856</v>
      </c>
      <c r="E79" s="2">
        <v>83045.069999999861</v>
      </c>
      <c r="F79" s="2">
        <v>83066.339999999866</v>
      </c>
      <c r="G79" s="2">
        <v>83087.049999999872</v>
      </c>
      <c r="H79" s="2">
        <v>83087.769999999873</v>
      </c>
      <c r="I79" s="2">
        <v>83107.739999999874</v>
      </c>
      <c r="J79" s="2">
        <v>83129.35999999987</v>
      </c>
      <c r="K79" s="2">
        <v>83150.569999999876</v>
      </c>
      <c r="L79" s="2">
        <v>83171.629999999874</v>
      </c>
      <c r="M79" s="2">
        <v>83192.709999999875</v>
      </c>
      <c r="N79" s="2">
        <v>83210.899999999878</v>
      </c>
      <c r="O79" s="2">
        <v>83226.759999999878</v>
      </c>
      <c r="P79" s="2">
        <v>83238.669999999882</v>
      </c>
      <c r="Q79" s="2">
        <v>83256.629999999888</v>
      </c>
      <c r="R79" s="2">
        <v>83267.449999999895</v>
      </c>
      <c r="S79" s="2">
        <v>83288.809999999896</v>
      </c>
      <c r="T79" s="2">
        <v>83310.0799999999</v>
      </c>
      <c r="U79" s="2">
        <v>83331.299999999901</v>
      </c>
      <c r="V79" s="2">
        <v>83353.029999999897</v>
      </c>
      <c r="W79" s="2">
        <v>83373.5799999999</v>
      </c>
      <c r="X79" s="2">
        <v>83395.129999999903</v>
      </c>
      <c r="Y79" s="2">
        <v>83416.44999999991</v>
      </c>
      <c r="Z79" s="2">
        <v>83437.959999999905</v>
      </c>
      <c r="AA79" s="2">
        <v>83459.569999999905</v>
      </c>
      <c r="AB79" s="2">
        <v>83473.269999999902</v>
      </c>
      <c r="AC79" s="2">
        <v>83483.719999999899</v>
      </c>
      <c r="AD79" s="2">
        <v>83504.919999999896</v>
      </c>
      <c r="AE79" s="2">
        <v>83525.319999999891</v>
      </c>
      <c r="AF79" s="3">
        <v>83546.719999999885</v>
      </c>
      <c r="AG79" s="51">
        <f t="shared" si="2"/>
        <v>83546.719999999885</v>
      </c>
      <c r="AH79" s="44">
        <v>0</v>
      </c>
    </row>
    <row r="80" spans="1:34" x14ac:dyDescent="0.35">
      <c r="A80" s="33" t="s">
        <v>86</v>
      </c>
      <c r="B80" s="10">
        <v>81581.12999999983</v>
      </c>
      <c r="C80" s="2">
        <v>81602.739999999831</v>
      </c>
      <c r="D80" s="2">
        <v>81622.159999999829</v>
      </c>
      <c r="E80" s="2">
        <v>81638.709999999832</v>
      </c>
      <c r="F80" s="2">
        <v>81660.099999999831</v>
      </c>
      <c r="G80" s="2">
        <v>81681.519999999829</v>
      </c>
      <c r="H80" s="2">
        <v>81696.779999999824</v>
      </c>
      <c r="I80" s="2">
        <v>81717.089999999822</v>
      </c>
      <c r="J80" s="2">
        <v>81733.109999999826</v>
      </c>
      <c r="K80" s="2">
        <v>81737.309999999823</v>
      </c>
      <c r="L80" s="2">
        <v>81737.309999999823</v>
      </c>
      <c r="M80" s="2">
        <v>81748.619999999821</v>
      </c>
      <c r="N80" s="2">
        <v>81767.889999999825</v>
      </c>
      <c r="O80" s="2">
        <v>81789.329999999827</v>
      </c>
      <c r="P80" s="2">
        <v>81803.369999999821</v>
      </c>
      <c r="Q80" s="2">
        <v>81822.109999999826</v>
      </c>
      <c r="R80" s="2">
        <v>81833.969999999827</v>
      </c>
      <c r="S80" s="2">
        <v>81837.549999999828</v>
      </c>
      <c r="T80" s="2">
        <v>81850.739999999831</v>
      </c>
      <c r="U80" s="2">
        <v>81855.329999999827</v>
      </c>
      <c r="V80" s="2">
        <v>81875.37999999983</v>
      </c>
      <c r="W80" s="2">
        <v>81891.889999999825</v>
      </c>
      <c r="X80" s="2">
        <v>81913.889999999825</v>
      </c>
      <c r="Y80" s="2">
        <v>81935.339999999822</v>
      </c>
      <c r="Z80" s="2">
        <v>81957.469999999827</v>
      </c>
      <c r="AA80" s="2">
        <v>81974.119999999821</v>
      </c>
      <c r="AB80" s="2">
        <v>81981.789999999819</v>
      </c>
      <c r="AC80" s="2">
        <v>82002.959999999817</v>
      </c>
      <c r="AD80" s="2">
        <v>82024.409999999814</v>
      </c>
      <c r="AE80" s="2">
        <v>82038.679999999818</v>
      </c>
      <c r="AF80" s="3">
        <v>82059.799999999814</v>
      </c>
      <c r="AG80" s="51">
        <f t="shared" si="2"/>
        <v>82059.799999999814</v>
      </c>
      <c r="AH80" s="44">
        <v>0</v>
      </c>
    </row>
    <row r="81" spans="1:34" x14ac:dyDescent="0.35">
      <c r="A81" s="33" t="s">
        <v>87</v>
      </c>
      <c r="B81" s="10">
        <v>81454.920000000071</v>
      </c>
      <c r="C81" s="2">
        <v>81470.670000000071</v>
      </c>
      <c r="D81" s="2">
        <v>81491.840000000069</v>
      </c>
      <c r="E81" s="2">
        <v>81511.590000000069</v>
      </c>
      <c r="F81" s="2">
        <v>81534.040000000066</v>
      </c>
      <c r="G81" s="2">
        <v>81555.710000000065</v>
      </c>
      <c r="H81" s="2">
        <v>81575.350000000064</v>
      </c>
      <c r="I81" s="2">
        <v>81583.45000000007</v>
      </c>
      <c r="J81" s="2">
        <v>81590.150000000067</v>
      </c>
      <c r="K81" s="2">
        <v>81608.970000000074</v>
      </c>
      <c r="L81" s="2">
        <v>81627.830000000075</v>
      </c>
      <c r="M81" s="2">
        <v>81643.470000000074</v>
      </c>
      <c r="N81" s="2">
        <v>81662.32000000008</v>
      </c>
      <c r="O81" s="2">
        <v>81680.170000000086</v>
      </c>
      <c r="P81" s="2">
        <v>81688.080000000089</v>
      </c>
      <c r="Q81" s="2">
        <v>81688.080000000089</v>
      </c>
      <c r="R81" s="2">
        <v>81702.170000000086</v>
      </c>
      <c r="S81" s="2">
        <v>81716.700000000084</v>
      </c>
      <c r="T81" s="2">
        <v>81726.810000000085</v>
      </c>
      <c r="U81" s="2">
        <v>81738.830000000089</v>
      </c>
      <c r="V81" s="2">
        <v>81738.830000000089</v>
      </c>
      <c r="W81" s="2">
        <v>81738.830000000089</v>
      </c>
      <c r="X81" s="2">
        <v>81745.740000000093</v>
      </c>
      <c r="Y81" s="2">
        <v>81752.340000000098</v>
      </c>
      <c r="Z81" s="2">
        <v>81771.990000000093</v>
      </c>
      <c r="AA81" s="2">
        <v>81785.5600000001</v>
      </c>
      <c r="AB81" s="2">
        <v>81805.440000000104</v>
      </c>
      <c r="AC81" s="2">
        <v>81826.250000000102</v>
      </c>
      <c r="AD81" s="2">
        <v>81845.980000000098</v>
      </c>
      <c r="AE81" s="2">
        <v>81867.290000000095</v>
      </c>
      <c r="AF81" s="3">
        <v>81888.500000000102</v>
      </c>
      <c r="AG81" s="51">
        <f t="shared" si="2"/>
        <v>81888.500000000102</v>
      </c>
      <c r="AH81" s="44">
        <v>0</v>
      </c>
    </row>
    <row r="82" spans="1:34" x14ac:dyDescent="0.35">
      <c r="A82" s="33" t="s">
        <v>88</v>
      </c>
      <c r="B82" s="10">
        <v>81515.579999999958</v>
      </c>
      <c r="C82" s="2">
        <v>81532.209999999963</v>
      </c>
      <c r="D82" s="2">
        <v>81553.589999999967</v>
      </c>
      <c r="E82" s="2">
        <v>81574.489999999962</v>
      </c>
      <c r="F82" s="2">
        <v>81588.709999999963</v>
      </c>
      <c r="G82" s="2">
        <v>81608.90999999996</v>
      </c>
      <c r="H82" s="2">
        <v>81624.119999999966</v>
      </c>
      <c r="I82" s="2">
        <v>81645.209999999963</v>
      </c>
      <c r="J82" s="2">
        <v>81664.339999999967</v>
      </c>
      <c r="K82" s="2">
        <v>81685.319999999963</v>
      </c>
      <c r="L82" s="2">
        <v>81707.02999999997</v>
      </c>
      <c r="M82" s="2">
        <v>81724.929999999964</v>
      </c>
      <c r="N82" s="2">
        <v>81741.40999999996</v>
      </c>
      <c r="O82" s="2">
        <v>81743.879999999961</v>
      </c>
      <c r="P82" s="2">
        <v>81763.679999999964</v>
      </c>
      <c r="Q82" s="2">
        <v>81763.679999999964</v>
      </c>
      <c r="R82" s="2">
        <v>81763.679999999964</v>
      </c>
      <c r="S82" s="2">
        <v>81763.679999999964</v>
      </c>
      <c r="T82" s="2">
        <v>81763.679999999964</v>
      </c>
      <c r="U82" s="2">
        <v>81763.679999999964</v>
      </c>
      <c r="V82" s="2">
        <v>81763.679999999964</v>
      </c>
      <c r="W82" s="2">
        <v>81764.429999999964</v>
      </c>
      <c r="X82" s="2">
        <v>81778.65999999996</v>
      </c>
      <c r="Y82" s="2">
        <v>81797.079999999958</v>
      </c>
      <c r="Z82" s="2">
        <v>81817.039999999964</v>
      </c>
      <c r="AA82" s="2">
        <v>81838.359999999971</v>
      </c>
      <c r="AB82" s="2">
        <v>81838.379999999976</v>
      </c>
      <c r="AC82" s="2">
        <v>81838.379999999976</v>
      </c>
      <c r="AD82" s="2">
        <v>81854.469999999972</v>
      </c>
      <c r="AE82" s="2">
        <v>81875.309999999969</v>
      </c>
      <c r="AF82" s="3">
        <v>81896.709999999963</v>
      </c>
      <c r="AG82" s="51">
        <f t="shared" si="2"/>
        <v>81896.709999999963</v>
      </c>
      <c r="AH82" s="44">
        <v>0</v>
      </c>
    </row>
    <row r="83" spans="1:34" x14ac:dyDescent="0.35">
      <c r="A83" s="33" t="s">
        <v>89</v>
      </c>
      <c r="B83" s="10">
        <v>81334.809999999721</v>
      </c>
      <c r="C83" s="2">
        <v>81356.629999999728</v>
      </c>
      <c r="D83" s="2">
        <v>81372.009999999733</v>
      </c>
      <c r="E83" s="2">
        <v>81392.589999999735</v>
      </c>
      <c r="F83" s="2">
        <v>81414.259999999733</v>
      </c>
      <c r="G83" s="2">
        <v>81435.719999999739</v>
      </c>
      <c r="H83" s="2">
        <v>81452.089999999735</v>
      </c>
      <c r="I83" s="2">
        <v>81473.609999999739</v>
      </c>
      <c r="J83" s="2">
        <v>81494.609999999739</v>
      </c>
      <c r="K83" s="2">
        <v>81506.609999999739</v>
      </c>
      <c r="L83" s="2">
        <v>81524.589999999735</v>
      </c>
      <c r="M83" s="2">
        <v>81546.409999999742</v>
      </c>
      <c r="N83" s="2">
        <v>81565.779999999737</v>
      </c>
      <c r="O83" s="2">
        <v>81578.449999999735</v>
      </c>
      <c r="P83" s="2">
        <v>81588.539999999732</v>
      </c>
      <c r="Q83" s="2">
        <v>81598.059999999736</v>
      </c>
      <c r="R83" s="2">
        <v>81617.849999999729</v>
      </c>
      <c r="S83" s="2">
        <v>81637.369999999733</v>
      </c>
      <c r="T83" s="2">
        <v>81657.759999999733</v>
      </c>
      <c r="U83" s="2">
        <v>81678.019999999728</v>
      </c>
      <c r="V83" s="2">
        <v>81699.769999999728</v>
      </c>
      <c r="W83" s="2">
        <v>81716.789999999732</v>
      </c>
      <c r="X83" s="2">
        <v>81726.859999999739</v>
      </c>
      <c r="Y83" s="2">
        <v>81726.859999999739</v>
      </c>
      <c r="Z83" s="2">
        <v>81748.139999999737</v>
      </c>
      <c r="AA83" s="2">
        <v>81769.979999999734</v>
      </c>
      <c r="AB83" s="2">
        <v>81783.07999999974</v>
      </c>
      <c r="AC83" s="2">
        <v>81803.479999999734</v>
      </c>
      <c r="AD83" s="2">
        <v>81819.43999999974</v>
      </c>
      <c r="AE83" s="2">
        <v>81841.099999999744</v>
      </c>
      <c r="AF83" s="3">
        <v>81862.489999999743</v>
      </c>
      <c r="AG83" s="51">
        <f t="shared" si="2"/>
        <v>81862.489999999743</v>
      </c>
      <c r="AH83" s="44">
        <v>0</v>
      </c>
    </row>
    <row r="84" spans="1:34" x14ac:dyDescent="0.35">
      <c r="A84" s="33" t="s">
        <v>90</v>
      </c>
      <c r="B84" s="10">
        <v>83014.180000000022</v>
      </c>
      <c r="C84" s="2">
        <v>83035.820000000022</v>
      </c>
      <c r="D84" s="2">
        <v>83057.230000000025</v>
      </c>
      <c r="E84" s="2">
        <v>83077.020000000019</v>
      </c>
      <c r="F84" s="2">
        <v>83097.000000000015</v>
      </c>
      <c r="G84" s="2">
        <v>83105.960000000021</v>
      </c>
      <c r="H84" s="2">
        <v>83106.200000000026</v>
      </c>
      <c r="I84" s="2">
        <v>83121.210000000021</v>
      </c>
      <c r="J84" s="2">
        <v>83127.860000000015</v>
      </c>
      <c r="K84" s="2">
        <v>83146.720000000016</v>
      </c>
      <c r="L84" s="2">
        <v>83164.960000000021</v>
      </c>
      <c r="M84" s="2">
        <v>83183.720000000016</v>
      </c>
      <c r="N84" s="2">
        <v>83204.190000000017</v>
      </c>
      <c r="O84" s="2">
        <v>83204.190000000017</v>
      </c>
      <c r="P84" s="2">
        <v>83204.190000000017</v>
      </c>
      <c r="Q84" s="2">
        <v>83218.650000000023</v>
      </c>
      <c r="R84" s="2">
        <v>83239.920000000027</v>
      </c>
      <c r="S84" s="2">
        <v>83261.140000000029</v>
      </c>
      <c r="T84" s="2">
        <v>83283.030000000028</v>
      </c>
      <c r="U84" s="2">
        <v>83288.390000000029</v>
      </c>
      <c r="V84" s="2">
        <v>83310.11000000003</v>
      </c>
      <c r="W84" s="2">
        <v>83330.430000000037</v>
      </c>
      <c r="X84" s="2">
        <v>83351.23000000004</v>
      </c>
      <c r="Y84" s="2">
        <v>83368.860000000044</v>
      </c>
      <c r="Z84" s="2">
        <v>83388.48000000004</v>
      </c>
      <c r="AA84" s="2">
        <v>83406.350000000035</v>
      </c>
      <c r="AB84" s="2">
        <v>83417.400000000038</v>
      </c>
      <c r="AC84" s="2">
        <v>83438.220000000045</v>
      </c>
      <c r="AD84" s="2">
        <v>83460.050000000047</v>
      </c>
      <c r="AE84" s="2">
        <v>83471.550000000047</v>
      </c>
      <c r="AF84" s="3">
        <v>83493.570000000051</v>
      </c>
      <c r="AG84" s="51">
        <f t="shared" si="2"/>
        <v>83493.570000000051</v>
      </c>
      <c r="AH84" s="44">
        <v>0</v>
      </c>
    </row>
    <row r="85" spans="1:34" x14ac:dyDescent="0.35">
      <c r="A85" s="33" t="s">
        <v>91</v>
      </c>
      <c r="B85" s="10">
        <v>83393.089999999764</v>
      </c>
      <c r="C85" s="2">
        <v>83408.06999999976</v>
      </c>
      <c r="D85" s="2">
        <v>83423.529999999766</v>
      </c>
      <c r="E85" s="2">
        <v>83428.099999999773</v>
      </c>
      <c r="F85" s="2">
        <v>83449.319999999774</v>
      </c>
      <c r="G85" s="2">
        <v>83465.539999999775</v>
      </c>
      <c r="H85" s="2">
        <v>83484.639999999781</v>
      </c>
      <c r="I85" s="2">
        <v>83502.91999999978</v>
      </c>
      <c r="J85" s="2">
        <v>83517.259999999776</v>
      </c>
      <c r="K85" s="2">
        <v>83538.689999999769</v>
      </c>
      <c r="L85" s="2">
        <v>83552.309999999765</v>
      </c>
      <c r="M85" s="2">
        <v>83560.449999999764</v>
      </c>
      <c r="N85" s="2">
        <v>83566.599999999758</v>
      </c>
      <c r="O85" s="2">
        <v>83573.769999999757</v>
      </c>
      <c r="P85" s="2">
        <v>83591.06999999976</v>
      </c>
      <c r="Q85" s="2">
        <v>83609.009999999762</v>
      </c>
      <c r="R85" s="2">
        <v>83611.659999999756</v>
      </c>
      <c r="S85" s="2">
        <v>83624.669999999751</v>
      </c>
      <c r="T85" s="2">
        <v>83645.989999999758</v>
      </c>
      <c r="U85" s="2">
        <v>83667.619999999763</v>
      </c>
      <c r="V85" s="2">
        <v>83689.499999999767</v>
      </c>
      <c r="W85" s="2">
        <v>83705.939999999769</v>
      </c>
      <c r="X85" s="2">
        <v>83709.699999999764</v>
      </c>
      <c r="Y85" s="2">
        <v>83719.579999999769</v>
      </c>
      <c r="Z85" s="2">
        <v>83726.989999999772</v>
      </c>
      <c r="AA85" s="2">
        <v>83727.909999999771</v>
      </c>
      <c r="AB85" s="2">
        <v>83742.869999999777</v>
      </c>
      <c r="AC85" s="2">
        <v>83764.269999999771</v>
      </c>
      <c r="AD85" s="2">
        <v>83769.669999999765</v>
      </c>
      <c r="AE85" s="2">
        <v>83790.81999999976</v>
      </c>
      <c r="AF85" s="3">
        <v>83812.079999999754</v>
      </c>
      <c r="AG85" s="51">
        <f t="shared" si="2"/>
        <v>83812.079999999754</v>
      </c>
      <c r="AH85" s="44">
        <v>0</v>
      </c>
    </row>
    <row r="86" spans="1:34" x14ac:dyDescent="0.35">
      <c r="A86" s="33" t="s">
        <v>92</v>
      </c>
      <c r="B86" s="10">
        <v>82603.060000000143</v>
      </c>
      <c r="C86" s="2">
        <v>82618.01000000014</v>
      </c>
      <c r="D86" s="2">
        <v>82618.01000000014</v>
      </c>
      <c r="E86" s="2">
        <v>82618.01000000014</v>
      </c>
      <c r="F86" s="2">
        <v>82626.40000000014</v>
      </c>
      <c r="G86" s="2">
        <v>82637.480000000141</v>
      </c>
      <c r="H86" s="2">
        <v>82657.520000000135</v>
      </c>
      <c r="I86" s="2">
        <v>82676.520000000135</v>
      </c>
      <c r="J86" s="2">
        <v>82689.450000000128</v>
      </c>
      <c r="K86" s="2">
        <v>82710.850000000122</v>
      </c>
      <c r="L86" s="2">
        <v>82732.360000000117</v>
      </c>
      <c r="M86" s="2">
        <v>82747.66000000012</v>
      </c>
      <c r="N86" s="2">
        <v>82766.130000000121</v>
      </c>
      <c r="O86" s="2">
        <v>82782.120000000126</v>
      </c>
      <c r="P86" s="2">
        <v>82803.02000000012</v>
      </c>
      <c r="Q86" s="2">
        <v>82820.280000000115</v>
      </c>
      <c r="R86" s="2">
        <v>82835.820000000109</v>
      </c>
      <c r="S86" s="2">
        <v>82847.210000000108</v>
      </c>
      <c r="T86" s="2">
        <v>82847.570000000109</v>
      </c>
      <c r="U86" s="2">
        <v>82861.000000000102</v>
      </c>
      <c r="V86" s="2">
        <v>82870.610000000102</v>
      </c>
      <c r="W86" s="2">
        <v>82875.030000000101</v>
      </c>
      <c r="X86" s="2">
        <v>82896.320000000094</v>
      </c>
      <c r="Y86" s="2">
        <v>82917.530000000101</v>
      </c>
      <c r="Z86" s="2">
        <v>82939.000000000102</v>
      </c>
      <c r="AA86" s="2">
        <v>82960.760000000097</v>
      </c>
      <c r="AB86" s="2">
        <v>82981.720000000103</v>
      </c>
      <c r="AC86" s="2">
        <v>83003.090000000098</v>
      </c>
      <c r="AD86" s="2">
        <v>83023.540000000095</v>
      </c>
      <c r="AE86" s="2">
        <v>83034.200000000099</v>
      </c>
      <c r="AF86" s="3">
        <v>83051.000000000102</v>
      </c>
      <c r="AG86" s="51">
        <f t="shared" si="2"/>
        <v>83051.000000000102</v>
      </c>
      <c r="AH86" s="44">
        <v>0</v>
      </c>
    </row>
    <row r="87" spans="1:34" x14ac:dyDescent="0.35">
      <c r="A87" s="33" t="s">
        <v>93</v>
      </c>
      <c r="B87" s="10">
        <v>76303.759999999878</v>
      </c>
      <c r="C87" s="2">
        <v>76325.389999999883</v>
      </c>
      <c r="D87" s="2">
        <v>76335.999999999884</v>
      </c>
      <c r="E87" s="2">
        <v>76348.769999999888</v>
      </c>
      <c r="F87" s="2">
        <v>76370.299999999886</v>
      </c>
      <c r="G87" s="2">
        <v>76386.809999999881</v>
      </c>
      <c r="H87" s="2">
        <v>76404.329999999885</v>
      </c>
      <c r="I87" s="2">
        <v>76425.45999999989</v>
      </c>
      <c r="J87" s="2">
        <v>76446.249999999884</v>
      </c>
      <c r="K87" s="2">
        <v>76466.70999999989</v>
      </c>
      <c r="L87" s="2">
        <v>76484.199999999895</v>
      </c>
      <c r="M87" s="2">
        <v>76486.1899999999</v>
      </c>
      <c r="N87" s="2">
        <v>76505.819999999905</v>
      </c>
      <c r="O87" s="2">
        <v>76526.5799999999</v>
      </c>
      <c r="P87" s="2">
        <v>76548.449999999895</v>
      </c>
      <c r="Q87" s="2">
        <v>76552.409999999902</v>
      </c>
      <c r="R87" s="2">
        <v>76571.719999999899</v>
      </c>
      <c r="S87" s="2">
        <v>76592.779999999897</v>
      </c>
      <c r="T87" s="2">
        <v>76614.449999999895</v>
      </c>
      <c r="U87" s="2">
        <v>76627.069999999891</v>
      </c>
      <c r="V87" s="2">
        <v>76646.569999999891</v>
      </c>
      <c r="W87" s="2">
        <v>76668.419999999896</v>
      </c>
      <c r="X87" s="2">
        <v>76682.1899999999</v>
      </c>
      <c r="Y87" s="2">
        <v>76703.359999999899</v>
      </c>
      <c r="Z87" s="2">
        <v>76722.919999999896</v>
      </c>
      <c r="AA87" s="2">
        <v>76722.919999999896</v>
      </c>
      <c r="AB87" s="2">
        <v>76722.919999999896</v>
      </c>
      <c r="AC87" s="2">
        <v>76722.919999999896</v>
      </c>
      <c r="AD87" s="2">
        <v>76722.919999999896</v>
      </c>
      <c r="AE87" s="2">
        <v>76722.919999999896</v>
      </c>
      <c r="AF87" s="3">
        <v>76722.919999999896</v>
      </c>
      <c r="AG87" s="51">
        <f t="shared" si="2"/>
        <v>76722.919999999896</v>
      </c>
      <c r="AH87" s="44">
        <v>0</v>
      </c>
    </row>
    <row r="88" spans="1:34" x14ac:dyDescent="0.35">
      <c r="A88" s="33" t="s">
        <v>94</v>
      </c>
      <c r="B88" s="10">
        <v>84544.080000000045</v>
      </c>
      <c r="C88" s="2">
        <v>84556.970000000045</v>
      </c>
      <c r="D88" s="2">
        <v>84569.370000000039</v>
      </c>
      <c r="E88" s="2">
        <v>84590.540000000037</v>
      </c>
      <c r="F88" s="2">
        <v>84602.860000000044</v>
      </c>
      <c r="G88" s="2">
        <v>84621.200000000041</v>
      </c>
      <c r="H88" s="2">
        <v>84626.650000000038</v>
      </c>
      <c r="I88" s="2">
        <v>84642.020000000033</v>
      </c>
      <c r="J88" s="2">
        <v>84652.910000000033</v>
      </c>
      <c r="K88" s="2">
        <v>84673.790000000037</v>
      </c>
      <c r="L88" s="2">
        <v>84689.710000000036</v>
      </c>
      <c r="M88" s="2">
        <v>84710.320000000036</v>
      </c>
      <c r="N88" s="2">
        <v>84726.870000000039</v>
      </c>
      <c r="O88" s="2">
        <v>84737.150000000038</v>
      </c>
      <c r="P88" s="2">
        <v>84748.260000000038</v>
      </c>
      <c r="Q88" s="2">
        <v>84767.330000000045</v>
      </c>
      <c r="R88" s="2">
        <v>84787.640000000043</v>
      </c>
      <c r="S88" s="2">
        <v>84788.910000000047</v>
      </c>
      <c r="T88" s="2">
        <v>84805.570000000051</v>
      </c>
      <c r="U88" s="2">
        <v>84826.360000000044</v>
      </c>
      <c r="V88" s="2">
        <v>84846.890000000043</v>
      </c>
      <c r="W88" s="2">
        <v>84850.98000000004</v>
      </c>
      <c r="X88" s="2">
        <v>84861.910000000033</v>
      </c>
      <c r="Y88" s="2">
        <v>84878.500000000029</v>
      </c>
      <c r="Z88" s="2">
        <v>84896.900000000023</v>
      </c>
      <c r="AA88" s="2">
        <v>84906.86000000003</v>
      </c>
      <c r="AB88" s="2">
        <v>84921.100000000035</v>
      </c>
      <c r="AC88" s="2">
        <v>84937.350000000035</v>
      </c>
      <c r="AD88" s="2">
        <v>84957.910000000033</v>
      </c>
      <c r="AE88" s="2">
        <v>84971.920000000027</v>
      </c>
      <c r="AF88" s="3">
        <v>84991.22000000003</v>
      </c>
      <c r="AG88" s="51">
        <f t="shared" si="2"/>
        <v>84991.22000000003</v>
      </c>
      <c r="AH88" s="44">
        <v>0</v>
      </c>
    </row>
    <row r="89" spans="1:34" x14ac:dyDescent="0.35">
      <c r="A89" s="33" t="s">
        <v>95</v>
      </c>
      <c r="B89" s="10">
        <v>80352.319999999818</v>
      </c>
      <c r="C89" s="2">
        <v>80358.25999999982</v>
      </c>
      <c r="D89" s="2">
        <v>80377.929999999818</v>
      </c>
      <c r="E89" s="2">
        <v>80398.249999999825</v>
      </c>
      <c r="F89" s="2">
        <v>80419.139999999825</v>
      </c>
      <c r="G89" s="2">
        <v>80439.989999999831</v>
      </c>
      <c r="H89" s="2">
        <v>80458.819999999832</v>
      </c>
      <c r="I89" s="2">
        <v>80476.849999999831</v>
      </c>
      <c r="J89" s="2">
        <v>80497.449999999837</v>
      </c>
      <c r="K89" s="2">
        <v>80501.179999999833</v>
      </c>
      <c r="L89" s="2">
        <v>80517.809999999838</v>
      </c>
      <c r="M89" s="2">
        <v>80529.309999999838</v>
      </c>
      <c r="N89" s="2">
        <v>80547.679999999833</v>
      </c>
      <c r="O89" s="2">
        <v>80567.539999999834</v>
      </c>
      <c r="P89" s="2">
        <v>80585.029999999839</v>
      </c>
      <c r="Q89" s="2">
        <v>80605.549999999843</v>
      </c>
      <c r="R89" s="2">
        <v>80605.849999999846</v>
      </c>
      <c r="S89" s="2">
        <v>80625.919999999853</v>
      </c>
      <c r="T89" s="2">
        <v>80646.889999999854</v>
      </c>
      <c r="U89" s="2">
        <v>80656.199999999852</v>
      </c>
      <c r="V89" s="2">
        <v>80656.199999999852</v>
      </c>
      <c r="W89" s="2">
        <v>80674.129999999845</v>
      </c>
      <c r="X89" s="2">
        <v>80684.779999999839</v>
      </c>
      <c r="Y89" s="2">
        <v>80689.989999999845</v>
      </c>
      <c r="Z89" s="2">
        <v>80704.319999999847</v>
      </c>
      <c r="AA89" s="2">
        <v>80725.379999999845</v>
      </c>
      <c r="AB89" s="2">
        <v>80746.139999999839</v>
      </c>
      <c r="AC89" s="2">
        <v>80767.319999999832</v>
      </c>
      <c r="AD89" s="2">
        <v>80781.799999999828</v>
      </c>
      <c r="AE89" s="2">
        <v>80803.259999999835</v>
      </c>
      <c r="AF89" s="3">
        <v>80820.269999999829</v>
      </c>
      <c r="AG89" s="51">
        <f t="shared" si="2"/>
        <v>80820.269999999829</v>
      </c>
      <c r="AH89" s="44">
        <v>0</v>
      </c>
    </row>
    <row r="90" spans="1:34" x14ac:dyDescent="0.35">
      <c r="A90" s="33" t="s">
        <v>96</v>
      </c>
      <c r="B90" s="10">
        <v>82069.809999999852</v>
      </c>
      <c r="C90" s="2">
        <v>82082.419999999853</v>
      </c>
      <c r="D90" s="2">
        <v>82103.359999999855</v>
      </c>
      <c r="E90" s="2">
        <v>82124.719999999856</v>
      </c>
      <c r="F90" s="2">
        <v>82145.199999999852</v>
      </c>
      <c r="G90" s="2">
        <v>82164.469999999856</v>
      </c>
      <c r="H90" s="2">
        <v>82182.039999999863</v>
      </c>
      <c r="I90" s="2">
        <v>82199.869999999864</v>
      </c>
      <c r="J90" s="2">
        <v>82211.589999999866</v>
      </c>
      <c r="K90" s="2">
        <v>82229.869999999864</v>
      </c>
      <c r="L90" s="2">
        <v>82243.809999999867</v>
      </c>
      <c r="M90" s="2">
        <v>82261.899999999863</v>
      </c>
      <c r="N90" s="2">
        <v>82273.34999999986</v>
      </c>
      <c r="O90" s="2">
        <v>82287.84999999986</v>
      </c>
      <c r="P90" s="2">
        <v>82304.899999999863</v>
      </c>
      <c r="Q90" s="2">
        <v>82326.139999999868</v>
      </c>
      <c r="R90" s="2">
        <v>82347.779999999868</v>
      </c>
      <c r="S90" s="2">
        <v>82369.269999999873</v>
      </c>
      <c r="T90" s="2">
        <v>82385.809999999867</v>
      </c>
      <c r="U90" s="2">
        <v>82404.259999999864</v>
      </c>
      <c r="V90" s="2">
        <v>82425.449999999866</v>
      </c>
      <c r="W90" s="2">
        <v>82436.679999999862</v>
      </c>
      <c r="X90" s="2">
        <v>82456.959999999861</v>
      </c>
      <c r="Y90" s="2">
        <v>82473.729999999865</v>
      </c>
      <c r="Z90" s="2">
        <v>82495.299999999872</v>
      </c>
      <c r="AA90" s="2">
        <v>82510.759999999878</v>
      </c>
      <c r="AB90" s="2">
        <v>82531.299999999872</v>
      </c>
      <c r="AC90" s="2">
        <v>82552.549999999872</v>
      </c>
      <c r="AD90" s="2">
        <v>82573.189999999871</v>
      </c>
      <c r="AE90" s="2">
        <v>82588.239999999874</v>
      </c>
      <c r="AF90" s="3">
        <v>82606.35999999987</v>
      </c>
      <c r="AG90" s="51">
        <f t="shared" si="2"/>
        <v>82606.35999999987</v>
      </c>
      <c r="AH90" s="44">
        <v>0</v>
      </c>
    </row>
    <row r="91" spans="1:34" x14ac:dyDescent="0.35">
      <c r="A91" s="33" t="s">
        <v>97</v>
      </c>
      <c r="B91" s="10">
        <v>83079.870000000039</v>
      </c>
      <c r="C91" s="2">
        <v>83094.470000000045</v>
      </c>
      <c r="D91" s="2">
        <v>83110.270000000048</v>
      </c>
      <c r="E91" s="2">
        <v>83122.100000000049</v>
      </c>
      <c r="F91" s="2">
        <v>83122.100000000049</v>
      </c>
      <c r="G91" s="2">
        <v>83122.100000000049</v>
      </c>
      <c r="H91" s="2">
        <v>83132.400000000052</v>
      </c>
      <c r="I91" s="2">
        <v>83154.140000000058</v>
      </c>
      <c r="J91" s="2">
        <v>83175.790000000052</v>
      </c>
      <c r="K91" s="2">
        <v>83181.990000000049</v>
      </c>
      <c r="L91" s="2">
        <v>83199.480000000054</v>
      </c>
      <c r="M91" s="2">
        <v>83203.240000000049</v>
      </c>
      <c r="N91" s="2">
        <v>83205.160000000047</v>
      </c>
      <c r="O91" s="2">
        <v>83205.850000000049</v>
      </c>
      <c r="P91" s="2">
        <v>83208.770000000048</v>
      </c>
      <c r="Q91" s="2">
        <v>83220.800000000047</v>
      </c>
      <c r="R91" s="2">
        <v>83238.760000000053</v>
      </c>
      <c r="S91" s="2">
        <v>83260.680000000051</v>
      </c>
      <c r="T91" s="2">
        <v>83282.080000000045</v>
      </c>
      <c r="U91" s="2">
        <v>83295.190000000046</v>
      </c>
      <c r="V91" s="2">
        <v>83312.990000000049</v>
      </c>
      <c r="W91" s="2">
        <v>83333.490000000049</v>
      </c>
      <c r="X91" s="2">
        <v>83345.980000000054</v>
      </c>
      <c r="Y91" s="2">
        <v>83366.500000000058</v>
      </c>
      <c r="Z91" s="2">
        <v>83387.110000000059</v>
      </c>
      <c r="AA91" s="2">
        <v>83406.340000000055</v>
      </c>
      <c r="AB91" s="2">
        <v>83427.610000000059</v>
      </c>
      <c r="AC91" s="2">
        <v>83446.470000000059</v>
      </c>
      <c r="AD91" s="2">
        <v>83466.960000000065</v>
      </c>
      <c r="AE91" s="2">
        <v>83486.670000000071</v>
      </c>
      <c r="AF91" s="3">
        <v>83507.120000000068</v>
      </c>
      <c r="AG91" s="51">
        <f t="shared" si="2"/>
        <v>83507.120000000068</v>
      </c>
      <c r="AH91" s="44">
        <v>0</v>
      </c>
    </row>
    <row r="92" spans="1:34" x14ac:dyDescent="0.35">
      <c r="A92" s="33" t="s">
        <v>98</v>
      </c>
      <c r="B92" s="10">
        <v>81800.860000000059</v>
      </c>
      <c r="C92" s="2">
        <v>81821.950000000055</v>
      </c>
      <c r="D92" s="2">
        <v>81837.910000000062</v>
      </c>
      <c r="E92" s="2">
        <v>81859.910000000062</v>
      </c>
      <c r="F92" s="2">
        <v>81881.850000000064</v>
      </c>
      <c r="G92" s="2">
        <v>81904.400000000067</v>
      </c>
      <c r="H92" s="2">
        <v>81925.360000000073</v>
      </c>
      <c r="I92" s="2">
        <v>81947.240000000078</v>
      </c>
      <c r="J92" s="2">
        <v>81952.080000000075</v>
      </c>
      <c r="K92" s="2">
        <v>81962.270000000077</v>
      </c>
      <c r="L92" s="2">
        <v>81964.740000000078</v>
      </c>
      <c r="M92" s="2">
        <v>81964.740000000078</v>
      </c>
      <c r="N92" s="2">
        <v>81964.740000000078</v>
      </c>
      <c r="O92" s="2">
        <v>81971.200000000084</v>
      </c>
      <c r="P92" s="2">
        <v>81991.710000000079</v>
      </c>
      <c r="Q92" s="2">
        <v>82010.170000000086</v>
      </c>
      <c r="R92" s="2">
        <v>82027.32000000008</v>
      </c>
      <c r="S92" s="2">
        <v>82047.120000000083</v>
      </c>
      <c r="T92" s="2">
        <v>82061.850000000079</v>
      </c>
      <c r="U92" s="2">
        <v>82075.880000000077</v>
      </c>
      <c r="V92" s="2">
        <v>82097.370000000083</v>
      </c>
      <c r="W92" s="2">
        <v>82108.700000000084</v>
      </c>
      <c r="X92" s="2">
        <v>82129.720000000088</v>
      </c>
      <c r="Y92" s="2">
        <v>82146.55000000009</v>
      </c>
      <c r="Z92" s="2">
        <v>82153.170000000086</v>
      </c>
      <c r="AA92" s="2">
        <v>82167.530000000086</v>
      </c>
      <c r="AB92" s="2">
        <v>82172.770000000091</v>
      </c>
      <c r="AC92" s="2">
        <v>82186.760000000097</v>
      </c>
      <c r="AD92" s="2">
        <v>82208.680000000095</v>
      </c>
      <c r="AE92" s="2">
        <v>82219.650000000096</v>
      </c>
      <c r="AF92" s="3">
        <v>82241.3100000001</v>
      </c>
      <c r="AG92" s="51">
        <f t="shared" si="2"/>
        <v>82241.3100000001</v>
      </c>
      <c r="AH92" s="44">
        <v>0</v>
      </c>
    </row>
    <row r="93" spans="1:34" x14ac:dyDescent="0.35">
      <c r="A93" s="33" t="s">
        <v>99</v>
      </c>
      <c r="B93" s="10">
        <v>79142.230000000141</v>
      </c>
      <c r="C93" s="2">
        <v>79156.040000000139</v>
      </c>
      <c r="D93" s="2">
        <v>79172.480000000141</v>
      </c>
      <c r="E93" s="2">
        <v>79176.050000000148</v>
      </c>
      <c r="F93" s="2">
        <v>79197.070000000153</v>
      </c>
      <c r="G93" s="2">
        <v>79217.840000000157</v>
      </c>
      <c r="H93" s="2">
        <v>79239.440000000162</v>
      </c>
      <c r="I93" s="2">
        <v>79261.130000000165</v>
      </c>
      <c r="J93" s="2">
        <v>79269.680000000168</v>
      </c>
      <c r="K93" s="2">
        <v>79275.460000000166</v>
      </c>
      <c r="L93" s="2">
        <v>79294.970000000161</v>
      </c>
      <c r="M93" s="2">
        <v>79311.300000000163</v>
      </c>
      <c r="N93" s="2">
        <v>79325.640000000159</v>
      </c>
      <c r="O93" s="2">
        <v>79341.640000000159</v>
      </c>
      <c r="P93" s="2">
        <v>79356.700000000157</v>
      </c>
      <c r="Q93" s="2">
        <v>79374.040000000154</v>
      </c>
      <c r="R93" s="2">
        <v>79395.620000000155</v>
      </c>
      <c r="S93" s="2">
        <v>79416.800000000148</v>
      </c>
      <c r="T93" s="2">
        <v>79438.070000000153</v>
      </c>
      <c r="U93" s="2">
        <v>79446.77000000015</v>
      </c>
      <c r="V93" s="2">
        <v>79446.77000000015</v>
      </c>
      <c r="W93" s="2">
        <v>79446.77000000015</v>
      </c>
      <c r="X93" s="2">
        <v>79446.77000000015</v>
      </c>
      <c r="Y93" s="2">
        <v>79446.920000000144</v>
      </c>
      <c r="Z93" s="2">
        <v>79462.430000000139</v>
      </c>
      <c r="AA93" s="2">
        <v>79465.01000000014</v>
      </c>
      <c r="AB93" s="2">
        <v>79465.01000000014</v>
      </c>
      <c r="AC93" s="2">
        <v>79465.01000000014</v>
      </c>
      <c r="AD93" s="2">
        <v>79465.01000000014</v>
      </c>
      <c r="AE93" s="2">
        <v>79465.01000000014</v>
      </c>
      <c r="AF93" s="3">
        <v>79465.01000000014</v>
      </c>
      <c r="AG93" s="51">
        <f t="shared" si="2"/>
        <v>79465.01000000014</v>
      </c>
      <c r="AH93" s="44">
        <v>0</v>
      </c>
    </row>
    <row r="94" spans="1:34" x14ac:dyDescent="0.35">
      <c r="A94" s="33" t="s">
        <v>100</v>
      </c>
      <c r="B94" s="10">
        <v>80313.33</v>
      </c>
      <c r="C94" s="2">
        <v>80320.63</v>
      </c>
      <c r="D94" s="2">
        <v>80338.44</v>
      </c>
      <c r="E94" s="2">
        <v>80353.150000000009</v>
      </c>
      <c r="F94" s="2">
        <v>80373.110000000015</v>
      </c>
      <c r="G94" s="2">
        <v>80393.85000000002</v>
      </c>
      <c r="H94" s="2">
        <v>80412.830000000016</v>
      </c>
      <c r="I94" s="2">
        <v>80419.920000000013</v>
      </c>
      <c r="J94" s="2">
        <v>80437.330000000016</v>
      </c>
      <c r="K94" s="2">
        <v>80456.110000000015</v>
      </c>
      <c r="L94" s="2">
        <v>80476.970000000016</v>
      </c>
      <c r="M94" s="2">
        <v>80497.37000000001</v>
      </c>
      <c r="N94" s="2">
        <v>80519.310000000012</v>
      </c>
      <c r="O94" s="2">
        <v>80524.98000000001</v>
      </c>
      <c r="P94" s="2">
        <v>80539.170000000013</v>
      </c>
      <c r="Q94" s="2">
        <v>80559.650000000009</v>
      </c>
      <c r="R94" s="2">
        <v>80580.890000000014</v>
      </c>
      <c r="S94" s="2">
        <v>80602.12000000001</v>
      </c>
      <c r="T94" s="2">
        <v>80623.080000000016</v>
      </c>
      <c r="U94" s="2">
        <v>80644.270000000019</v>
      </c>
      <c r="V94" s="2">
        <v>80665.050000000017</v>
      </c>
      <c r="W94" s="2">
        <v>80685.070000000022</v>
      </c>
      <c r="X94" s="2">
        <v>80703.810000000027</v>
      </c>
      <c r="Y94" s="2">
        <v>80725.590000000026</v>
      </c>
      <c r="Z94" s="2">
        <v>80737.520000000019</v>
      </c>
      <c r="AA94" s="2">
        <v>80758.580000000016</v>
      </c>
      <c r="AB94" s="2">
        <v>80770.74000000002</v>
      </c>
      <c r="AC94" s="2">
        <v>80780.210000000021</v>
      </c>
      <c r="AD94" s="2">
        <v>80797.090000000026</v>
      </c>
      <c r="AE94" s="2">
        <v>80818.550000000032</v>
      </c>
      <c r="AF94" s="3">
        <v>80839.670000000027</v>
      </c>
      <c r="AG94" s="51">
        <f t="shared" si="2"/>
        <v>80839.670000000027</v>
      </c>
      <c r="AH94" s="44">
        <v>0</v>
      </c>
    </row>
    <row r="95" spans="1:34" x14ac:dyDescent="0.35">
      <c r="A95" s="33" t="s">
        <v>101</v>
      </c>
      <c r="B95" s="10">
        <v>80900.629999999903</v>
      </c>
      <c r="C95" s="2">
        <v>80913.19999999991</v>
      </c>
      <c r="D95" s="2">
        <v>80931.019999999917</v>
      </c>
      <c r="E95" s="2">
        <v>80952.19999999991</v>
      </c>
      <c r="F95" s="2">
        <v>80973.549999999916</v>
      </c>
      <c r="G95" s="2">
        <v>80994.999999999913</v>
      </c>
      <c r="H95" s="2">
        <v>81011.329999999914</v>
      </c>
      <c r="I95" s="2">
        <v>81032.06999999992</v>
      </c>
      <c r="J95" s="2">
        <v>81032.629999999917</v>
      </c>
      <c r="K95" s="2">
        <v>81032.629999999917</v>
      </c>
      <c r="L95" s="2">
        <v>81040.639999999912</v>
      </c>
      <c r="M95" s="2">
        <v>81061.249999999913</v>
      </c>
      <c r="N95" s="2">
        <v>81065.169999999911</v>
      </c>
      <c r="O95" s="2">
        <v>81085.769999999917</v>
      </c>
      <c r="P95" s="2">
        <v>81107.119999999923</v>
      </c>
      <c r="Q95" s="2">
        <v>81116.969999999928</v>
      </c>
      <c r="R95" s="2">
        <v>81132.239999999932</v>
      </c>
      <c r="S95" s="2">
        <v>81153.569999999934</v>
      </c>
      <c r="T95" s="2">
        <v>81175.019999999931</v>
      </c>
      <c r="U95" s="2">
        <v>81196.399999999936</v>
      </c>
      <c r="V95" s="2">
        <v>81217.999999999942</v>
      </c>
      <c r="W95" s="2">
        <v>81237.91999999994</v>
      </c>
      <c r="X95" s="2">
        <v>81251.029999999941</v>
      </c>
      <c r="Y95" s="2">
        <v>81256.129999999946</v>
      </c>
      <c r="Z95" s="2">
        <v>81260.709999999948</v>
      </c>
      <c r="AA95" s="2">
        <v>81267.719999999943</v>
      </c>
      <c r="AB95" s="2">
        <v>81279.439999999944</v>
      </c>
      <c r="AC95" s="2">
        <v>81290.929999999949</v>
      </c>
      <c r="AD95" s="2">
        <v>81297.869999999952</v>
      </c>
      <c r="AE95" s="2">
        <v>81315.619999999952</v>
      </c>
      <c r="AF95" s="3">
        <v>81324.579999999958</v>
      </c>
      <c r="AG95" s="51">
        <f t="shared" si="2"/>
        <v>81324.579999999958</v>
      </c>
      <c r="AH95" s="44">
        <v>0</v>
      </c>
    </row>
    <row r="96" spans="1:34" x14ac:dyDescent="0.35">
      <c r="A96" s="33" t="s">
        <v>102</v>
      </c>
      <c r="B96" s="10">
        <v>81417.250000000218</v>
      </c>
      <c r="C96" s="2">
        <v>81439.380000000223</v>
      </c>
      <c r="D96" s="2">
        <v>81460.740000000224</v>
      </c>
      <c r="E96" s="2">
        <v>81482.030000000217</v>
      </c>
      <c r="F96" s="2">
        <v>81503.590000000215</v>
      </c>
      <c r="G96" s="2">
        <v>81519.140000000218</v>
      </c>
      <c r="H96" s="2">
        <v>81540.570000000211</v>
      </c>
      <c r="I96" s="2">
        <v>81553.330000000205</v>
      </c>
      <c r="J96" s="2">
        <v>81568.790000000212</v>
      </c>
      <c r="K96" s="2">
        <v>81590.130000000208</v>
      </c>
      <c r="L96" s="2">
        <v>81611.390000000203</v>
      </c>
      <c r="M96" s="2">
        <v>81630.790000000197</v>
      </c>
      <c r="N96" s="2">
        <v>81651.000000000204</v>
      </c>
      <c r="O96" s="2">
        <v>81670.140000000203</v>
      </c>
      <c r="P96" s="2">
        <v>81691.740000000209</v>
      </c>
      <c r="Q96" s="2">
        <v>81712.900000000212</v>
      </c>
      <c r="R96" s="2">
        <v>81734.440000000206</v>
      </c>
      <c r="S96" s="2">
        <v>81754.510000000213</v>
      </c>
      <c r="T96" s="2">
        <v>81760.070000000211</v>
      </c>
      <c r="U96" s="2">
        <v>81777.980000000214</v>
      </c>
      <c r="V96" s="2">
        <v>81794.450000000215</v>
      </c>
      <c r="W96" s="2">
        <v>81806.920000000217</v>
      </c>
      <c r="X96" s="2">
        <v>81828.320000000211</v>
      </c>
      <c r="Y96" s="2">
        <v>81849.96000000021</v>
      </c>
      <c r="Z96" s="2">
        <v>81871.720000000205</v>
      </c>
      <c r="AA96" s="2">
        <v>81893.220000000205</v>
      </c>
      <c r="AB96" s="2">
        <v>81914.530000000203</v>
      </c>
      <c r="AC96" s="2">
        <v>81936.250000000204</v>
      </c>
      <c r="AD96" s="2">
        <v>81954.2300000002</v>
      </c>
      <c r="AE96" s="2">
        <v>81975.460000000196</v>
      </c>
      <c r="AF96" s="3">
        <v>81996.820000000196</v>
      </c>
      <c r="AG96" s="51">
        <f t="shared" si="2"/>
        <v>81996.820000000196</v>
      </c>
      <c r="AH96" s="44">
        <v>0</v>
      </c>
    </row>
    <row r="97" spans="1:34" x14ac:dyDescent="0.35">
      <c r="A97" s="33" t="s">
        <v>103</v>
      </c>
      <c r="B97" s="10">
        <v>82113.929999999804</v>
      </c>
      <c r="C97" s="2">
        <v>82135.599999999802</v>
      </c>
      <c r="D97" s="2">
        <v>82154.759999999806</v>
      </c>
      <c r="E97" s="2">
        <v>82176.209999999803</v>
      </c>
      <c r="F97" s="2">
        <v>82197.0199999998</v>
      </c>
      <c r="G97" s="2">
        <v>82219.6599999998</v>
      </c>
      <c r="H97" s="2">
        <v>82235.029999999795</v>
      </c>
      <c r="I97" s="2">
        <v>82237.329999999798</v>
      </c>
      <c r="J97" s="2">
        <v>82237.329999999798</v>
      </c>
      <c r="K97" s="2">
        <v>82252.749999999796</v>
      </c>
      <c r="L97" s="2">
        <v>82267.169999999795</v>
      </c>
      <c r="M97" s="2">
        <v>82286.359999999797</v>
      </c>
      <c r="N97" s="2">
        <v>82306.979999999792</v>
      </c>
      <c r="O97" s="2">
        <v>82328.139999999796</v>
      </c>
      <c r="P97" s="2">
        <v>82349.629999999801</v>
      </c>
      <c r="Q97" s="2">
        <v>82370.989999999802</v>
      </c>
      <c r="R97" s="2">
        <v>82390.189999999799</v>
      </c>
      <c r="S97" s="2">
        <v>82410.619999999792</v>
      </c>
      <c r="T97" s="2">
        <v>82421.509999999791</v>
      </c>
      <c r="U97" s="2">
        <v>82433.409999999785</v>
      </c>
      <c r="V97" s="2">
        <v>82454.089999999778</v>
      </c>
      <c r="W97" s="2">
        <v>82475.769999999771</v>
      </c>
      <c r="X97" s="2">
        <v>82494.359999999768</v>
      </c>
      <c r="Y97" s="2">
        <v>82515.849999999773</v>
      </c>
      <c r="Z97" s="2">
        <v>82537.599999999773</v>
      </c>
      <c r="AA97" s="2">
        <v>82559.089999999778</v>
      </c>
      <c r="AB97" s="2">
        <v>82579.509999999776</v>
      </c>
      <c r="AC97" s="2">
        <v>82600.249999999782</v>
      </c>
      <c r="AD97" s="2">
        <v>82620.799999999785</v>
      </c>
      <c r="AE97" s="2">
        <v>82641.599999999788</v>
      </c>
      <c r="AF97" s="3">
        <v>82654.889999999781</v>
      </c>
      <c r="AG97" s="51">
        <f t="shared" si="2"/>
        <v>82654.889999999781</v>
      </c>
      <c r="AH97" s="44">
        <v>0</v>
      </c>
    </row>
    <row r="98" spans="1:34" x14ac:dyDescent="0.35">
      <c r="A98" s="33" t="s">
        <v>104</v>
      </c>
      <c r="B98" s="10">
        <v>80060.490000000209</v>
      </c>
      <c r="C98" s="2">
        <v>80081.490000000209</v>
      </c>
      <c r="D98" s="2">
        <v>80102.900000000212</v>
      </c>
      <c r="E98" s="2">
        <v>80117.46000000021</v>
      </c>
      <c r="F98" s="2">
        <v>80138.360000000204</v>
      </c>
      <c r="G98" s="2">
        <v>80159.21000000021</v>
      </c>
      <c r="H98" s="2">
        <v>80176.930000000211</v>
      </c>
      <c r="I98" s="2">
        <v>80198.170000000217</v>
      </c>
      <c r="J98" s="2">
        <v>80211.300000000221</v>
      </c>
      <c r="K98" s="2">
        <v>80229.520000000222</v>
      </c>
      <c r="L98" s="2">
        <v>80250.670000000217</v>
      </c>
      <c r="M98" s="2">
        <v>80271.810000000216</v>
      </c>
      <c r="N98" s="2">
        <v>80293.730000000214</v>
      </c>
      <c r="O98" s="2">
        <v>80312.480000000214</v>
      </c>
      <c r="P98" s="2">
        <v>80328.700000000215</v>
      </c>
      <c r="Q98" s="2">
        <v>80347.700000000215</v>
      </c>
      <c r="R98" s="2">
        <v>80369.560000000216</v>
      </c>
      <c r="S98" s="2">
        <v>80390.780000000217</v>
      </c>
      <c r="T98" s="2">
        <v>80412.170000000217</v>
      </c>
      <c r="U98" s="2">
        <v>80431.060000000216</v>
      </c>
      <c r="V98" s="2">
        <v>80452.60000000021</v>
      </c>
      <c r="W98" s="2">
        <v>80462.390000000203</v>
      </c>
      <c r="X98" s="2">
        <v>80475.260000000198</v>
      </c>
      <c r="Y98" s="2">
        <v>80496.520000000193</v>
      </c>
      <c r="Z98" s="2">
        <v>80518.260000000198</v>
      </c>
      <c r="AA98" s="2">
        <v>80540.560000000201</v>
      </c>
      <c r="AB98" s="2">
        <v>80562.130000000208</v>
      </c>
      <c r="AC98" s="2">
        <v>80584.080000000205</v>
      </c>
      <c r="AD98" s="2">
        <v>80597.120000000199</v>
      </c>
      <c r="AE98" s="2">
        <v>80618.800000000192</v>
      </c>
      <c r="AF98" s="3">
        <v>80640.600000000195</v>
      </c>
      <c r="AG98" s="51">
        <f t="shared" si="2"/>
        <v>80640.600000000195</v>
      </c>
      <c r="AH98" s="44">
        <v>0</v>
      </c>
    </row>
    <row r="99" spans="1:34" x14ac:dyDescent="0.35">
      <c r="A99" s="33" t="s">
        <v>105</v>
      </c>
      <c r="B99" s="10">
        <v>79804.419999999984</v>
      </c>
      <c r="C99" s="2">
        <v>79816.459999999977</v>
      </c>
      <c r="D99" s="2">
        <v>79830.089999999982</v>
      </c>
      <c r="E99" s="2">
        <v>79840.179999999978</v>
      </c>
      <c r="F99" s="2">
        <v>79852.339999999982</v>
      </c>
      <c r="G99" s="2">
        <v>79874.059999999983</v>
      </c>
      <c r="H99" s="2">
        <v>79894.659999999989</v>
      </c>
      <c r="I99" s="2">
        <v>79914.929999999993</v>
      </c>
      <c r="J99" s="2">
        <v>79921.929999999993</v>
      </c>
      <c r="K99" s="2">
        <v>79924.179999999993</v>
      </c>
      <c r="L99" s="2">
        <v>79935.75</v>
      </c>
      <c r="M99" s="2">
        <v>79957.5</v>
      </c>
      <c r="N99" s="2">
        <v>79978.52</v>
      </c>
      <c r="O99" s="2">
        <v>79994.760000000009</v>
      </c>
      <c r="P99" s="2">
        <v>80015.560000000012</v>
      </c>
      <c r="Q99" s="2">
        <v>80036.850000000006</v>
      </c>
      <c r="R99" s="2">
        <v>80044.88</v>
      </c>
      <c r="S99" s="2">
        <v>80053.840000000011</v>
      </c>
      <c r="T99" s="2">
        <v>80075.530000000013</v>
      </c>
      <c r="U99" s="2">
        <v>80096.670000000013</v>
      </c>
      <c r="V99" s="2">
        <v>80118.460000000006</v>
      </c>
      <c r="W99" s="2">
        <v>80140.3</v>
      </c>
      <c r="X99" s="2">
        <v>80161.3</v>
      </c>
      <c r="Y99" s="2">
        <v>80182.3</v>
      </c>
      <c r="Z99" s="2">
        <v>80203.740000000005</v>
      </c>
      <c r="AA99" s="2">
        <v>80224.87000000001</v>
      </c>
      <c r="AB99" s="2">
        <v>80246.440000000017</v>
      </c>
      <c r="AC99" s="2">
        <v>80266.610000000015</v>
      </c>
      <c r="AD99" s="2">
        <v>80287.970000000016</v>
      </c>
      <c r="AE99" s="2">
        <v>80307.840000000011</v>
      </c>
      <c r="AF99" s="3">
        <v>80323.38</v>
      </c>
      <c r="AG99" s="51">
        <f t="shared" si="2"/>
        <v>80323.38</v>
      </c>
      <c r="AH99" s="44">
        <v>0</v>
      </c>
    </row>
    <row r="100" spans="1:34" x14ac:dyDescent="0.35">
      <c r="A100" s="33" t="s">
        <v>106</v>
      </c>
      <c r="B100" s="10">
        <v>77495.540000000081</v>
      </c>
      <c r="C100" s="2">
        <v>77516.990000000078</v>
      </c>
      <c r="D100" s="2">
        <v>77533.720000000074</v>
      </c>
      <c r="E100" s="2">
        <v>77549.080000000075</v>
      </c>
      <c r="F100" s="2">
        <v>77568.140000000072</v>
      </c>
      <c r="G100" s="2">
        <v>77585.820000000065</v>
      </c>
      <c r="H100" s="2">
        <v>77590.460000000065</v>
      </c>
      <c r="I100" s="2">
        <v>77611.56000000007</v>
      </c>
      <c r="J100" s="2">
        <v>77630.110000000073</v>
      </c>
      <c r="K100" s="2">
        <v>77648.370000000068</v>
      </c>
      <c r="L100" s="2">
        <v>77669.740000000063</v>
      </c>
      <c r="M100" s="2">
        <v>77690.840000000069</v>
      </c>
      <c r="N100" s="2">
        <v>77712.470000000074</v>
      </c>
      <c r="O100" s="2">
        <v>77722.880000000077</v>
      </c>
      <c r="P100" s="2">
        <v>77738.460000000079</v>
      </c>
      <c r="Q100" s="2">
        <v>77756.770000000077</v>
      </c>
      <c r="R100" s="2">
        <v>77778.490000000078</v>
      </c>
      <c r="S100" s="2">
        <v>77799.270000000077</v>
      </c>
      <c r="T100" s="2">
        <v>77819.330000000075</v>
      </c>
      <c r="U100" s="2">
        <v>77841.530000000072</v>
      </c>
      <c r="V100" s="2">
        <v>77862.860000000073</v>
      </c>
      <c r="W100" s="2">
        <v>77883.420000000071</v>
      </c>
      <c r="X100" s="2">
        <v>77884.140000000072</v>
      </c>
      <c r="Y100" s="2">
        <v>77887.770000000077</v>
      </c>
      <c r="Z100" s="2">
        <v>77897.750000000073</v>
      </c>
      <c r="AA100" s="2">
        <v>77906.340000000069</v>
      </c>
      <c r="AB100" s="2">
        <v>77926.350000000064</v>
      </c>
      <c r="AC100" s="2">
        <v>77943.470000000059</v>
      </c>
      <c r="AD100" s="2">
        <v>77959.770000000062</v>
      </c>
      <c r="AE100" s="2">
        <v>77981.100000000064</v>
      </c>
      <c r="AF100" s="3">
        <v>78002.20000000007</v>
      </c>
      <c r="AG100" s="51">
        <f t="shared" ref="AG100:AG106" si="3">MAX(B100:AF100)</f>
        <v>78002.20000000007</v>
      </c>
      <c r="AH100" s="44">
        <v>0</v>
      </c>
    </row>
    <row r="101" spans="1:34" x14ac:dyDescent="0.35">
      <c r="A101" s="33" t="s">
        <v>107</v>
      </c>
      <c r="B101" s="10">
        <v>80168.100000000064</v>
      </c>
      <c r="C101" s="2">
        <v>80189.780000000057</v>
      </c>
      <c r="D101" s="2">
        <v>80211.690000000061</v>
      </c>
      <c r="E101" s="2">
        <v>80233.430000000066</v>
      </c>
      <c r="F101" s="2">
        <v>80256.300000000061</v>
      </c>
      <c r="G101" s="2">
        <v>80267.230000000054</v>
      </c>
      <c r="H101" s="2">
        <v>80274.900000000052</v>
      </c>
      <c r="I101" s="2">
        <v>80291.270000000048</v>
      </c>
      <c r="J101" s="2">
        <v>80312.730000000054</v>
      </c>
      <c r="K101" s="2">
        <v>80331.650000000052</v>
      </c>
      <c r="L101" s="2">
        <v>80353.170000000056</v>
      </c>
      <c r="M101" s="2">
        <v>80371.430000000051</v>
      </c>
      <c r="N101" s="2">
        <v>80393.110000000044</v>
      </c>
      <c r="O101" s="2">
        <v>80406.670000000042</v>
      </c>
      <c r="P101" s="2">
        <v>80423.810000000041</v>
      </c>
      <c r="Q101" s="2">
        <v>80432.400000000038</v>
      </c>
      <c r="R101" s="2">
        <v>80454.410000000033</v>
      </c>
      <c r="S101" s="2">
        <v>80475.700000000026</v>
      </c>
      <c r="T101" s="2">
        <v>80497.560000000027</v>
      </c>
      <c r="U101" s="2">
        <v>80518.010000000024</v>
      </c>
      <c r="V101" s="2">
        <v>80535.050000000017</v>
      </c>
      <c r="W101" s="2">
        <v>80556.160000000018</v>
      </c>
      <c r="X101" s="2">
        <v>80565.74000000002</v>
      </c>
      <c r="Y101" s="2">
        <v>80584.480000000025</v>
      </c>
      <c r="Z101" s="2">
        <v>80598.560000000027</v>
      </c>
      <c r="AA101" s="2">
        <v>80617.980000000025</v>
      </c>
      <c r="AB101" s="2">
        <v>80635.86000000003</v>
      </c>
      <c r="AC101" s="2">
        <v>80657.710000000036</v>
      </c>
      <c r="AD101" s="2">
        <v>80675.040000000037</v>
      </c>
      <c r="AE101" s="2">
        <v>80689.670000000042</v>
      </c>
      <c r="AF101" s="3">
        <v>80703.820000000036</v>
      </c>
      <c r="AG101" s="51">
        <f t="shared" si="3"/>
        <v>80703.820000000036</v>
      </c>
      <c r="AH101" s="44">
        <v>0</v>
      </c>
    </row>
    <row r="102" spans="1:34" x14ac:dyDescent="0.35">
      <c r="A102" s="33" t="s">
        <v>108</v>
      </c>
      <c r="B102" s="10">
        <v>80654.879999999874</v>
      </c>
      <c r="C102" s="2">
        <v>80673.889999999868</v>
      </c>
      <c r="D102" s="2">
        <v>80692.939999999871</v>
      </c>
      <c r="E102" s="2">
        <v>80713.659999999873</v>
      </c>
      <c r="F102" s="2">
        <v>80735.589999999866</v>
      </c>
      <c r="G102" s="2">
        <v>80754.549999999872</v>
      </c>
      <c r="H102" s="2">
        <v>80775.71999999987</v>
      </c>
      <c r="I102" s="2">
        <v>80784.909999999873</v>
      </c>
      <c r="J102" s="2">
        <v>80796.699999999866</v>
      </c>
      <c r="K102" s="2">
        <v>80813.769999999873</v>
      </c>
      <c r="L102" s="2">
        <v>80827.779999999868</v>
      </c>
      <c r="M102" s="2">
        <v>80840.449999999866</v>
      </c>
      <c r="N102" s="2">
        <v>80862.009999999864</v>
      </c>
      <c r="O102" s="2">
        <v>80872.319999999861</v>
      </c>
      <c r="P102" s="2">
        <v>80893.329999999856</v>
      </c>
      <c r="Q102" s="2">
        <v>80913.669999999853</v>
      </c>
      <c r="R102" s="2">
        <v>80930.48999999986</v>
      </c>
      <c r="S102" s="2">
        <v>80945.84999999986</v>
      </c>
      <c r="T102" s="2">
        <v>80958.159999999858</v>
      </c>
      <c r="U102" s="2">
        <v>80979.059999999852</v>
      </c>
      <c r="V102" s="2">
        <v>80992.239999999845</v>
      </c>
      <c r="W102" s="2">
        <v>81013.449999999852</v>
      </c>
      <c r="X102" s="2">
        <v>81033.779999999853</v>
      </c>
      <c r="Y102" s="2">
        <v>81053.969999999856</v>
      </c>
      <c r="Z102" s="2">
        <v>81054.429999999862</v>
      </c>
      <c r="AA102" s="2">
        <v>81054.429999999862</v>
      </c>
      <c r="AB102" s="2">
        <v>81070.159999999858</v>
      </c>
      <c r="AC102" s="2">
        <v>81091.529999999853</v>
      </c>
      <c r="AD102" s="2">
        <v>81108.73999999986</v>
      </c>
      <c r="AE102" s="2">
        <v>81128.459999999861</v>
      </c>
      <c r="AF102" s="3">
        <v>81150.029999999868</v>
      </c>
      <c r="AG102" s="51">
        <f t="shared" si="3"/>
        <v>81150.029999999868</v>
      </c>
      <c r="AH102" s="44">
        <v>0</v>
      </c>
    </row>
    <row r="103" spans="1:34" x14ac:dyDescent="0.35">
      <c r="A103" s="33" t="s">
        <v>109</v>
      </c>
      <c r="B103" s="10">
        <v>79650.34000000004</v>
      </c>
      <c r="C103" s="2">
        <v>79668.990000000034</v>
      </c>
      <c r="D103" s="2">
        <v>79686.600000000035</v>
      </c>
      <c r="E103" s="2">
        <v>79702.020000000033</v>
      </c>
      <c r="F103" s="2">
        <v>79722.950000000026</v>
      </c>
      <c r="G103" s="2">
        <v>79733.830000000031</v>
      </c>
      <c r="H103" s="2">
        <v>79747.570000000036</v>
      </c>
      <c r="I103" s="2">
        <v>79769.060000000041</v>
      </c>
      <c r="J103" s="2">
        <v>79788.320000000036</v>
      </c>
      <c r="K103" s="2">
        <v>79790.59000000004</v>
      </c>
      <c r="L103" s="2">
        <v>79808.670000000042</v>
      </c>
      <c r="M103" s="2">
        <v>79825.080000000045</v>
      </c>
      <c r="N103" s="2">
        <v>79844.48000000004</v>
      </c>
      <c r="O103" s="2">
        <v>79844.710000000036</v>
      </c>
      <c r="P103" s="2">
        <v>79853.400000000038</v>
      </c>
      <c r="Q103" s="2">
        <v>79856.140000000043</v>
      </c>
      <c r="R103" s="2">
        <v>79860.21000000005</v>
      </c>
      <c r="S103" s="2">
        <v>79881.930000000051</v>
      </c>
      <c r="T103" s="2">
        <v>79903.450000000055</v>
      </c>
      <c r="U103" s="2">
        <v>79918.520000000062</v>
      </c>
      <c r="V103" s="2">
        <v>79930.210000000065</v>
      </c>
      <c r="W103" s="2">
        <v>79952.040000000066</v>
      </c>
      <c r="X103" s="2">
        <v>79972.910000000062</v>
      </c>
      <c r="Y103" s="2">
        <v>79992.460000000065</v>
      </c>
      <c r="Z103" s="2">
        <v>80008.790000000066</v>
      </c>
      <c r="AA103" s="2">
        <v>80016.270000000062</v>
      </c>
      <c r="AB103" s="2">
        <v>80034.060000000056</v>
      </c>
      <c r="AC103" s="2">
        <v>80050.280000000057</v>
      </c>
      <c r="AD103" s="2">
        <v>80071.360000000059</v>
      </c>
      <c r="AE103" s="2">
        <v>80092.490000000063</v>
      </c>
      <c r="AF103" s="3">
        <v>80109.940000000061</v>
      </c>
      <c r="AG103" s="51">
        <f t="shared" si="3"/>
        <v>80109.940000000061</v>
      </c>
      <c r="AH103" s="44">
        <v>0</v>
      </c>
    </row>
    <row r="104" spans="1:34" x14ac:dyDescent="0.35">
      <c r="A104" s="33" t="s">
        <v>110</v>
      </c>
      <c r="B104" s="10">
        <v>81127.620000000141</v>
      </c>
      <c r="C104" s="2">
        <v>81144.610000000146</v>
      </c>
      <c r="D104" s="2">
        <v>81155.40000000014</v>
      </c>
      <c r="E104" s="2">
        <v>81167.300000000134</v>
      </c>
      <c r="F104" s="2">
        <v>81184.76000000014</v>
      </c>
      <c r="G104" s="2">
        <v>81205.910000000134</v>
      </c>
      <c r="H104" s="2">
        <v>81219.090000000127</v>
      </c>
      <c r="I104" s="2">
        <v>81240.170000000129</v>
      </c>
      <c r="J104" s="2">
        <v>81254.03000000013</v>
      </c>
      <c r="K104" s="2">
        <v>81268.180000000124</v>
      </c>
      <c r="L104" s="2">
        <v>81283.16000000012</v>
      </c>
      <c r="M104" s="2">
        <v>81288.600000000122</v>
      </c>
      <c r="N104" s="2">
        <v>81301.210000000123</v>
      </c>
      <c r="O104" s="2">
        <v>81305.810000000129</v>
      </c>
      <c r="P104" s="2">
        <v>81313.800000000134</v>
      </c>
      <c r="Q104" s="2">
        <v>81319.880000000136</v>
      </c>
      <c r="R104" s="2">
        <v>81333.930000000139</v>
      </c>
      <c r="S104" s="2">
        <v>81348.230000000141</v>
      </c>
      <c r="T104" s="2">
        <v>81351.670000000144</v>
      </c>
      <c r="U104" s="2">
        <v>81372.610000000146</v>
      </c>
      <c r="V104" s="2">
        <v>81383.590000000142</v>
      </c>
      <c r="W104" s="2">
        <v>81383.590000000142</v>
      </c>
      <c r="X104" s="2">
        <v>81383.590000000142</v>
      </c>
      <c r="Y104" s="2">
        <v>81383.590000000142</v>
      </c>
      <c r="Z104" s="2">
        <v>81394.970000000147</v>
      </c>
      <c r="AA104" s="2">
        <v>81415.790000000154</v>
      </c>
      <c r="AB104" s="2">
        <v>81437.370000000155</v>
      </c>
      <c r="AC104" s="2">
        <v>81457.820000000153</v>
      </c>
      <c r="AD104" s="2">
        <v>81470.52000000015</v>
      </c>
      <c r="AE104" s="2">
        <v>81490.470000000147</v>
      </c>
      <c r="AF104" s="3">
        <v>81511.730000000141</v>
      </c>
      <c r="AG104" s="51">
        <f t="shared" si="3"/>
        <v>81511.730000000141</v>
      </c>
      <c r="AH104" s="44">
        <v>0</v>
      </c>
    </row>
    <row r="105" spans="1:34" x14ac:dyDescent="0.35">
      <c r="A105" s="33" t="s">
        <v>111</v>
      </c>
      <c r="B105" s="10">
        <v>73080.689999999988</v>
      </c>
      <c r="C105" s="2">
        <v>73096.219999999987</v>
      </c>
      <c r="D105" s="2">
        <v>73117.349999999991</v>
      </c>
      <c r="E105" s="2">
        <v>73137.81</v>
      </c>
      <c r="F105" s="2">
        <v>73151.14</v>
      </c>
      <c r="G105" s="2">
        <v>73172.19</v>
      </c>
      <c r="H105" s="2">
        <v>73191.86</v>
      </c>
      <c r="I105" s="2">
        <v>73211.360000000001</v>
      </c>
      <c r="J105" s="2">
        <v>73226.990000000005</v>
      </c>
      <c r="K105" s="2">
        <v>73248.320000000007</v>
      </c>
      <c r="L105" s="2">
        <v>73265.47</v>
      </c>
      <c r="M105" s="2">
        <v>73281</v>
      </c>
      <c r="N105" s="2">
        <v>73301.52</v>
      </c>
      <c r="O105" s="2">
        <v>73313.570000000007</v>
      </c>
      <c r="P105" s="2">
        <v>73333.340000000011</v>
      </c>
      <c r="Q105" s="2">
        <v>73349.890000000014</v>
      </c>
      <c r="R105" s="2">
        <v>73364.330000000016</v>
      </c>
      <c r="S105" s="2">
        <v>73385.940000000017</v>
      </c>
      <c r="T105" s="2">
        <v>73407.300000000017</v>
      </c>
      <c r="U105" s="2">
        <v>73428.570000000022</v>
      </c>
      <c r="V105" s="2">
        <v>73450.170000000027</v>
      </c>
      <c r="W105" s="2">
        <v>73471.750000000029</v>
      </c>
      <c r="X105" s="2">
        <v>73490.630000000034</v>
      </c>
      <c r="Y105" s="2">
        <v>73511.150000000038</v>
      </c>
      <c r="Z105" s="2">
        <v>73532.190000000031</v>
      </c>
      <c r="AA105" s="2">
        <v>73543.380000000034</v>
      </c>
      <c r="AB105" s="2">
        <v>73556.040000000037</v>
      </c>
      <c r="AC105" s="2">
        <v>73577.570000000036</v>
      </c>
      <c r="AD105" s="2">
        <v>73598.550000000032</v>
      </c>
      <c r="AE105" s="2">
        <v>73617.060000000027</v>
      </c>
      <c r="AF105" s="3">
        <v>73638.11000000003</v>
      </c>
      <c r="AG105" s="51">
        <f t="shared" si="3"/>
        <v>73638.11000000003</v>
      </c>
      <c r="AH105" s="44">
        <v>0</v>
      </c>
    </row>
    <row r="106" spans="1:34" ht="15" thickBot="1" x14ac:dyDescent="0.4">
      <c r="A106" s="34" t="s">
        <v>112</v>
      </c>
      <c r="B106" s="11">
        <v>80181.909999999916</v>
      </c>
      <c r="C106" s="4">
        <v>80203.119999999923</v>
      </c>
      <c r="D106" s="4">
        <v>80225.059999999925</v>
      </c>
      <c r="E106" s="4">
        <v>80246.56999999992</v>
      </c>
      <c r="F106" s="4">
        <v>80259.119999999923</v>
      </c>
      <c r="G106" s="4">
        <v>80261.479999999923</v>
      </c>
      <c r="H106" s="4">
        <v>80276.379999999917</v>
      </c>
      <c r="I106" s="4">
        <v>80298.249999999913</v>
      </c>
      <c r="J106" s="4">
        <v>80319.789999999906</v>
      </c>
      <c r="K106" s="4">
        <v>80341.709999999905</v>
      </c>
      <c r="L106" s="4">
        <v>80363.279999999912</v>
      </c>
      <c r="M106" s="4">
        <v>80384.55999999991</v>
      </c>
      <c r="N106" s="4">
        <v>80406.219999999914</v>
      </c>
      <c r="O106" s="4">
        <v>80427.989999999918</v>
      </c>
      <c r="P106" s="4">
        <v>80447.469999999914</v>
      </c>
      <c r="Q106" s="4">
        <v>80467.829999999914</v>
      </c>
      <c r="R106" s="4">
        <v>80489.419999999911</v>
      </c>
      <c r="S106" s="4">
        <v>80510.749999999913</v>
      </c>
      <c r="T106" s="4">
        <v>80531.80999999991</v>
      </c>
      <c r="U106" s="4">
        <v>80553.439999999915</v>
      </c>
      <c r="V106" s="4">
        <v>80575.019999999917</v>
      </c>
      <c r="W106" s="4">
        <v>80595.579999999914</v>
      </c>
      <c r="X106" s="4">
        <v>80616.139999999912</v>
      </c>
      <c r="Y106" s="4">
        <v>80638.109999999913</v>
      </c>
      <c r="Z106" s="4">
        <v>80659.629999999917</v>
      </c>
      <c r="AA106" s="4">
        <v>80681.169999999911</v>
      </c>
      <c r="AB106" s="4">
        <v>80702.459999999905</v>
      </c>
      <c r="AC106" s="4">
        <v>80724.289999999906</v>
      </c>
      <c r="AD106" s="4">
        <v>80742.919999999911</v>
      </c>
      <c r="AE106" s="4">
        <v>80763.319999999905</v>
      </c>
      <c r="AF106" s="5">
        <v>80774.519999999902</v>
      </c>
      <c r="AG106" s="52">
        <f t="shared" si="3"/>
        <v>80774.519999999902</v>
      </c>
      <c r="AH106" s="44">
        <v>0</v>
      </c>
    </row>
    <row r="107" spans="1:34" ht="15" thickBot="1" x14ac:dyDescent="0.4">
      <c r="AH107" s="44">
        <v>0</v>
      </c>
    </row>
    <row r="108" spans="1:34" ht="15" thickBot="1" x14ac:dyDescent="0.4">
      <c r="A108" s="21" t="s">
        <v>348</v>
      </c>
      <c r="B108" s="47">
        <v>45292</v>
      </c>
      <c r="C108" s="46">
        <v>45293</v>
      </c>
      <c r="D108" s="46">
        <v>45294</v>
      </c>
      <c r="E108" s="46">
        <v>45295</v>
      </c>
      <c r="F108" s="46">
        <v>45296</v>
      </c>
      <c r="G108" s="46">
        <v>45297</v>
      </c>
      <c r="H108" s="46">
        <v>45298</v>
      </c>
      <c r="I108" s="46">
        <v>45299</v>
      </c>
      <c r="J108" s="46">
        <v>45300</v>
      </c>
      <c r="K108" s="46">
        <v>45301</v>
      </c>
      <c r="L108" s="46">
        <v>45302</v>
      </c>
      <c r="M108" s="46">
        <v>45303</v>
      </c>
      <c r="N108" s="46">
        <v>45304</v>
      </c>
      <c r="O108" s="46">
        <v>45305</v>
      </c>
      <c r="P108" s="46">
        <v>45306</v>
      </c>
      <c r="Q108" s="46">
        <v>45307</v>
      </c>
      <c r="R108" s="46">
        <v>45308</v>
      </c>
      <c r="S108" s="46">
        <v>45309</v>
      </c>
      <c r="T108" s="46">
        <v>45310</v>
      </c>
      <c r="U108" s="46">
        <v>45311</v>
      </c>
      <c r="V108" s="46">
        <v>45312</v>
      </c>
      <c r="W108" s="46">
        <v>45313</v>
      </c>
      <c r="X108" s="46">
        <v>45314</v>
      </c>
      <c r="Y108" s="46">
        <v>45315</v>
      </c>
      <c r="Z108" s="46">
        <v>45316</v>
      </c>
      <c r="AA108" s="46">
        <v>45317</v>
      </c>
      <c r="AB108" s="46">
        <v>45318</v>
      </c>
      <c r="AC108" s="46">
        <v>45319</v>
      </c>
      <c r="AD108" s="46">
        <v>45320</v>
      </c>
      <c r="AE108" s="46">
        <v>45321</v>
      </c>
      <c r="AF108" s="49">
        <v>45322</v>
      </c>
      <c r="AG108" s="12" t="s">
        <v>305</v>
      </c>
      <c r="AH108" s="44" t="s">
        <v>305</v>
      </c>
    </row>
    <row r="109" spans="1:34" ht="15" thickTop="1" x14ac:dyDescent="0.35">
      <c r="A109" s="35" t="s">
        <v>113</v>
      </c>
      <c r="B109" s="18">
        <v>36872.609999999986</v>
      </c>
      <c r="C109" s="14">
        <v>36888.219999999987</v>
      </c>
      <c r="D109" s="14">
        <v>36902.659999999989</v>
      </c>
      <c r="E109" s="14">
        <v>36913.399999999987</v>
      </c>
      <c r="F109" s="14">
        <v>36933.039999999986</v>
      </c>
      <c r="G109" s="14">
        <v>36933.629999999983</v>
      </c>
      <c r="H109" s="14">
        <v>36933.629999999983</v>
      </c>
      <c r="I109" s="14">
        <v>36933.629999999983</v>
      </c>
      <c r="J109" s="14">
        <v>36941.589999999982</v>
      </c>
      <c r="K109" s="14">
        <v>36960.049999999981</v>
      </c>
      <c r="L109" s="14">
        <v>36981.609999999979</v>
      </c>
      <c r="M109" s="14">
        <v>37000.469999999979</v>
      </c>
      <c r="N109" s="14">
        <v>37021.089999999982</v>
      </c>
      <c r="O109" s="14">
        <v>37039.569999999985</v>
      </c>
      <c r="P109" s="14">
        <v>37060.539999999986</v>
      </c>
      <c r="Q109" s="14">
        <v>37081.919999999984</v>
      </c>
      <c r="R109" s="14">
        <v>37103.579999999987</v>
      </c>
      <c r="S109" s="14">
        <v>37125.299999999988</v>
      </c>
      <c r="T109" s="14">
        <v>37142.369999999988</v>
      </c>
      <c r="U109" s="14">
        <v>37163.359999999986</v>
      </c>
      <c r="V109" s="14">
        <v>37184.819999999985</v>
      </c>
      <c r="W109" s="14">
        <v>37205.089999999982</v>
      </c>
      <c r="X109" s="14">
        <v>37220.339999999982</v>
      </c>
      <c r="Y109" s="14">
        <v>37241.769999999982</v>
      </c>
      <c r="Z109" s="14">
        <v>37262.739999999983</v>
      </c>
      <c r="AA109" s="14">
        <v>37277.219999999987</v>
      </c>
      <c r="AB109" s="14">
        <v>37298.639999999985</v>
      </c>
      <c r="AC109" s="14">
        <v>37319.769999999982</v>
      </c>
      <c r="AD109" s="14">
        <v>37340.949999999983</v>
      </c>
      <c r="AE109" s="14">
        <v>37363.039999999979</v>
      </c>
      <c r="AF109" s="22">
        <v>37384.809999999976</v>
      </c>
      <c r="AG109" s="51">
        <f t="shared" ref="AG109:AG124" si="4">MAX(B109:AF109)</f>
        <v>37384.809999999976</v>
      </c>
      <c r="AH109" s="44">
        <v>0</v>
      </c>
    </row>
    <row r="110" spans="1:34" x14ac:dyDescent="0.35">
      <c r="A110" s="26" t="s">
        <v>114</v>
      </c>
      <c r="B110" s="19">
        <v>36871.990000000005</v>
      </c>
      <c r="C110" s="2">
        <v>36883.110000000008</v>
      </c>
      <c r="D110" s="2">
        <v>36904.720000000008</v>
      </c>
      <c r="E110" s="2">
        <v>36920.760000000009</v>
      </c>
      <c r="F110" s="2">
        <v>36922.600000000006</v>
      </c>
      <c r="G110" s="2">
        <v>36927.110000000008</v>
      </c>
      <c r="H110" s="2">
        <v>36949.330000000009</v>
      </c>
      <c r="I110" s="2">
        <v>36970.98000000001</v>
      </c>
      <c r="J110" s="2">
        <v>36992.360000000008</v>
      </c>
      <c r="K110" s="2">
        <v>37013.560000000005</v>
      </c>
      <c r="L110" s="2">
        <v>37033.930000000008</v>
      </c>
      <c r="M110" s="2">
        <v>37040.69000000001</v>
      </c>
      <c r="N110" s="2">
        <v>37062.060000000012</v>
      </c>
      <c r="O110" s="2">
        <v>37083.400000000009</v>
      </c>
      <c r="P110" s="2">
        <v>37104.30000000001</v>
      </c>
      <c r="Q110" s="2">
        <v>37125.350000000013</v>
      </c>
      <c r="R110" s="2">
        <v>37147.160000000011</v>
      </c>
      <c r="S110" s="2">
        <v>37160.210000000014</v>
      </c>
      <c r="T110" s="2">
        <v>37180.190000000017</v>
      </c>
      <c r="U110" s="2">
        <v>37189.74000000002</v>
      </c>
      <c r="V110" s="2">
        <v>37211.24000000002</v>
      </c>
      <c r="W110" s="2">
        <v>37226.210000000021</v>
      </c>
      <c r="X110" s="2">
        <v>37245.060000000019</v>
      </c>
      <c r="Y110" s="2">
        <v>37266.910000000018</v>
      </c>
      <c r="Z110" s="2">
        <v>37277.210000000021</v>
      </c>
      <c r="AA110" s="2">
        <v>37297.950000000019</v>
      </c>
      <c r="AB110" s="2">
        <v>37319.160000000018</v>
      </c>
      <c r="AC110" s="2">
        <v>37334.450000000019</v>
      </c>
      <c r="AD110" s="2">
        <v>37356.300000000017</v>
      </c>
      <c r="AE110" s="2">
        <v>37365.700000000019</v>
      </c>
      <c r="AF110" s="7">
        <v>37384.130000000019</v>
      </c>
      <c r="AG110" s="51">
        <f t="shared" si="4"/>
        <v>37384.130000000019</v>
      </c>
      <c r="AH110" s="44">
        <v>0</v>
      </c>
    </row>
    <row r="111" spans="1:34" x14ac:dyDescent="0.35">
      <c r="A111" s="26" t="s">
        <v>115</v>
      </c>
      <c r="B111" s="19">
        <v>32873.449999999997</v>
      </c>
      <c r="C111" s="2">
        <v>32894.939999999995</v>
      </c>
      <c r="D111" s="2">
        <v>32916.409999999996</v>
      </c>
      <c r="E111" s="2">
        <v>32938.079999999994</v>
      </c>
      <c r="F111" s="2">
        <v>32959.409999999996</v>
      </c>
      <c r="G111" s="2">
        <v>32979.939999999995</v>
      </c>
      <c r="H111" s="2">
        <v>33001.56</v>
      </c>
      <c r="I111" s="2">
        <v>33016.909999999996</v>
      </c>
      <c r="J111" s="2">
        <v>33033.78</v>
      </c>
      <c r="K111" s="2">
        <v>33055.61</v>
      </c>
      <c r="L111" s="2">
        <v>33076.86</v>
      </c>
      <c r="M111" s="2">
        <v>33096.99</v>
      </c>
      <c r="N111" s="2">
        <v>33117.659999999996</v>
      </c>
      <c r="O111" s="2">
        <v>33139.21</v>
      </c>
      <c r="P111" s="2">
        <v>33149.519999999997</v>
      </c>
      <c r="Q111" s="2">
        <v>33170.189999999995</v>
      </c>
      <c r="R111" s="2">
        <v>33178.289999999994</v>
      </c>
      <c r="S111" s="2">
        <v>33189.769999999997</v>
      </c>
      <c r="T111" s="2">
        <v>33211.53</v>
      </c>
      <c r="U111" s="2">
        <v>33232.449999999997</v>
      </c>
      <c r="V111" s="2">
        <v>33253.159999999996</v>
      </c>
      <c r="W111" s="2">
        <v>33275.329999999994</v>
      </c>
      <c r="X111" s="2">
        <v>33291.089999999997</v>
      </c>
      <c r="Y111" s="2">
        <v>33312.429999999993</v>
      </c>
      <c r="Z111" s="2">
        <v>33333.51999999999</v>
      </c>
      <c r="AA111" s="2">
        <v>33353.469999999987</v>
      </c>
      <c r="AB111" s="2">
        <v>33375.049999999988</v>
      </c>
      <c r="AC111" s="2">
        <v>33396.119999999988</v>
      </c>
      <c r="AD111" s="2">
        <v>33417.19999999999</v>
      </c>
      <c r="AE111" s="2">
        <v>33437.30999999999</v>
      </c>
      <c r="AF111" s="7">
        <v>33451.959999999992</v>
      </c>
      <c r="AG111" s="51">
        <f t="shared" si="4"/>
        <v>33451.959999999992</v>
      </c>
      <c r="AH111" s="44">
        <v>0</v>
      </c>
    </row>
    <row r="112" spans="1:34" x14ac:dyDescent="0.35">
      <c r="A112" s="26" t="s">
        <v>116</v>
      </c>
      <c r="B112" s="19">
        <v>32238.359999999921</v>
      </c>
      <c r="C112" s="2">
        <v>32259.879999999921</v>
      </c>
      <c r="D112" s="2">
        <v>32282.01999999992</v>
      </c>
      <c r="E112" s="2">
        <v>32303.579999999922</v>
      </c>
      <c r="F112" s="2">
        <v>32324.969999999921</v>
      </c>
      <c r="G112" s="2">
        <v>32346.099999999922</v>
      </c>
      <c r="H112" s="2">
        <v>32368.219999999921</v>
      </c>
      <c r="I112" s="2">
        <v>32375.17999999992</v>
      </c>
      <c r="J112" s="2">
        <v>32387.22999999992</v>
      </c>
      <c r="K112" s="2">
        <v>32408.51999999992</v>
      </c>
      <c r="L112" s="2">
        <v>32429.669999999922</v>
      </c>
      <c r="M112" s="2">
        <v>32448.669999999922</v>
      </c>
      <c r="N112" s="2">
        <v>32469.899999999921</v>
      </c>
      <c r="O112" s="2">
        <v>32491.379999999921</v>
      </c>
      <c r="P112" s="2">
        <v>32513.439999999922</v>
      </c>
      <c r="Q112" s="2">
        <v>32534.239999999922</v>
      </c>
      <c r="R112" s="2">
        <v>32555.919999999922</v>
      </c>
      <c r="S112" s="2">
        <v>32577.67999999992</v>
      </c>
      <c r="T112" s="2">
        <v>32599.24999999992</v>
      </c>
      <c r="U112" s="2">
        <v>32618.01999999992</v>
      </c>
      <c r="V112" s="2">
        <v>32639.489999999922</v>
      </c>
      <c r="W112" s="2">
        <v>32661.42999999992</v>
      </c>
      <c r="X112" s="2">
        <v>32680.739999999922</v>
      </c>
      <c r="Y112" s="2">
        <v>32700.899999999921</v>
      </c>
      <c r="Z112" s="2">
        <v>32721.689999999922</v>
      </c>
      <c r="AA112" s="2">
        <v>32738.669999999922</v>
      </c>
      <c r="AB112" s="2">
        <v>32754.099999999922</v>
      </c>
      <c r="AC112" s="2">
        <v>32766.759999999922</v>
      </c>
      <c r="AD112" s="2">
        <v>32787.969999999921</v>
      </c>
      <c r="AE112" s="2">
        <v>32799.049999999923</v>
      </c>
      <c r="AF112" s="7">
        <v>32820.769999999924</v>
      </c>
      <c r="AG112" s="51">
        <f t="shared" si="4"/>
        <v>32820.769999999924</v>
      </c>
      <c r="AH112" s="44">
        <v>0</v>
      </c>
    </row>
    <row r="113" spans="1:34" x14ac:dyDescent="0.35">
      <c r="A113" s="26" t="s">
        <v>117</v>
      </c>
      <c r="B113" s="19">
        <v>31673.939999999959</v>
      </c>
      <c r="C113" s="2">
        <v>31685.42999999996</v>
      </c>
      <c r="D113" s="2">
        <v>31693.579999999962</v>
      </c>
      <c r="E113" s="2">
        <v>31715.42999999996</v>
      </c>
      <c r="F113" s="2">
        <v>31736.329999999962</v>
      </c>
      <c r="G113" s="2">
        <v>31757.829999999962</v>
      </c>
      <c r="H113" s="2">
        <v>31779.709999999963</v>
      </c>
      <c r="I113" s="2">
        <v>31801.279999999962</v>
      </c>
      <c r="J113" s="2">
        <v>31806.699999999961</v>
      </c>
      <c r="K113" s="2">
        <v>31816.289999999961</v>
      </c>
      <c r="L113" s="2">
        <v>31827.759999999962</v>
      </c>
      <c r="M113" s="2">
        <v>31836.039999999961</v>
      </c>
      <c r="N113" s="2">
        <v>31836.039999999961</v>
      </c>
      <c r="O113" s="2">
        <v>31836.039999999961</v>
      </c>
      <c r="P113" s="2">
        <v>31836.039999999961</v>
      </c>
      <c r="Q113" s="2">
        <v>31836.039999999961</v>
      </c>
      <c r="R113" s="2">
        <v>31836.039999999961</v>
      </c>
      <c r="S113" s="2">
        <v>31836.039999999961</v>
      </c>
      <c r="T113" s="2">
        <v>31836.039999999961</v>
      </c>
      <c r="U113" s="2">
        <v>31836.039999999961</v>
      </c>
      <c r="V113" s="2">
        <v>31836.039999999961</v>
      </c>
      <c r="W113" s="2">
        <v>31836.039999999961</v>
      </c>
      <c r="X113" s="2">
        <v>31836.039999999961</v>
      </c>
      <c r="Y113" s="2">
        <v>31836.039999999961</v>
      </c>
      <c r="Z113" s="2">
        <v>31836.039999999961</v>
      </c>
      <c r="AA113" s="2">
        <v>31836.039999999961</v>
      </c>
      <c r="AB113" s="2">
        <v>31836.039999999961</v>
      </c>
      <c r="AC113" s="2">
        <v>31836.039999999961</v>
      </c>
      <c r="AD113" s="2">
        <v>31836.039999999961</v>
      </c>
      <c r="AE113" s="2">
        <v>31836.039999999961</v>
      </c>
      <c r="AF113" s="7">
        <v>31838.039999999961</v>
      </c>
      <c r="AG113" s="51">
        <f t="shared" si="4"/>
        <v>31838.039999999961</v>
      </c>
      <c r="AH113" s="44">
        <v>0</v>
      </c>
    </row>
    <row r="114" spans="1:34" x14ac:dyDescent="0.35">
      <c r="A114" s="26" t="s">
        <v>118</v>
      </c>
      <c r="B114" s="19">
        <v>23117.240000000027</v>
      </c>
      <c r="C114" s="2">
        <v>23138.250000000025</v>
      </c>
      <c r="D114" s="2">
        <v>23159.140000000025</v>
      </c>
      <c r="E114" s="2">
        <v>23178.250000000025</v>
      </c>
      <c r="F114" s="2">
        <v>23192.520000000026</v>
      </c>
      <c r="G114" s="2">
        <v>23213.660000000025</v>
      </c>
      <c r="H114" s="2">
        <v>23234.730000000025</v>
      </c>
      <c r="I114" s="2">
        <v>23255.530000000024</v>
      </c>
      <c r="J114" s="2">
        <v>23273.160000000025</v>
      </c>
      <c r="K114" s="2">
        <v>23278.200000000026</v>
      </c>
      <c r="L114" s="2">
        <v>23278.200000000026</v>
      </c>
      <c r="M114" s="2">
        <v>23278.200000000026</v>
      </c>
      <c r="N114" s="2">
        <v>23278.200000000026</v>
      </c>
      <c r="O114" s="2">
        <v>23291.090000000026</v>
      </c>
      <c r="P114" s="2">
        <v>23312.760000000024</v>
      </c>
      <c r="Q114" s="2">
        <v>23333.620000000024</v>
      </c>
      <c r="R114" s="2">
        <v>23354.770000000026</v>
      </c>
      <c r="S114" s="2">
        <v>23375.970000000027</v>
      </c>
      <c r="T114" s="2">
        <v>23397.640000000025</v>
      </c>
      <c r="U114" s="2">
        <v>23414.510000000024</v>
      </c>
      <c r="V114" s="2">
        <v>23416.560000000023</v>
      </c>
      <c r="W114" s="2">
        <v>23427.110000000022</v>
      </c>
      <c r="X114" s="2">
        <v>23446.780000000021</v>
      </c>
      <c r="Y114" s="2">
        <v>23468.200000000019</v>
      </c>
      <c r="Z114" s="2">
        <v>23479.76000000002</v>
      </c>
      <c r="AA114" s="2">
        <v>23498.380000000019</v>
      </c>
      <c r="AB114" s="2">
        <v>23519.720000000019</v>
      </c>
      <c r="AC114" s="2">
        <v>23541.380000000019</v>
      </c>
      <c r="AD114" s="2">
        <v>23561.410000000018</v>
      </c>
      <c r="AE114" s="2">
        <v>23578.74000000002</v>
      </c>
      <c r="AF114" s="7">
        <v>23579.460000000021</v>
      </c>
      <c r="AG114" s="51">
        <f t="shared" si="4"/>
        <v>23579.460000000021</v>
      </c>
      <c r="AH114" s="44">
        <v>0</v>
      </c>
    </row>
    <row r="115" spans="1:34" x14ac:dyDescent="0.35">
      <c r="A115" s="26" t="s">
        <v>119</v>
      </c>
      <c r="B115" s="19">
        <v>22060.299999999981</v>
      </c>
      <c r="C115" s="2">
        <v>22081.629999999983</v>
      </c>
      <c r="D115" s="2">
        <v>22103.279999999984</v>
      </c>
      <c r="E115" s="2">
        <v>22124.659999999985</v>
      </c>
      <c r="F115" s="2">
        <v>22145.539999999986</v>
      </c>
      <c r="G115" s="2">
        <v>22164.679999999986</v>
      </c>
      <c r="H115" s="2">
        <v>22179.649999999987</v>
      </c>
      <c r="I115" s="2">
        <v>22190.299999999988</v>
      </c>
      <c r="J115" s="2">
        <v>22209.529999999988</v>
      </c>
      <c r="K115" s="2">
        <v>22230.76999999999</v>
      </c>
      <c r="L115" s="2">
        <v>22252.409999999989</v>
      </c>
      <c r="M115" s="2">
        <v>22268.569999999989</v>
      </c>
      <c r="N115" s="2">
        <v>22289.899999999991</v>
      </c>
      <c r="O115" s="2">
        <v>22311.26999999999</v>
      </c>
      <c r="P115" s="2">
        <v>22331.55999999999</v>
      </c>
      <c r="Q115" s="2">
        <v>22331.55999999999</v>
      </c>
      <c r="R115" s="2">
        <v>22347.94999999999</v>
      </c>
      <c r="S115" s="2">
        <v>22369.579999999991</v>
      </c>
      <c r="T115" s="2">
        <v>22391.399999999991</v>
      </c>
      <c r="U115" s="2">
        <v>22412.62999999999</v>
      </c>
      <c r="V115" s="2">
        <v>22434.03999999999</v>
      </c>
      <c r="W115" s="2">
        <v>22455.26999999999</v>
      </c>
      <c r="X115" s="2">
        <v>22476.729999999989</v>
      </c>
      <c r="Y115" s="2">
        <v>22496.46999999999</v>
      </c>
      <c r="Z115" s="2">
        <v>22510.639999999989</v>
      </c>
      <c r="AA115" s="2">
        <v>22530.94999999999</v>
      </c>
      <c r="AB115" s="2">
        <v>22551.259999999991</v>
      </c>
      <c r="AC115" s="2">
        <v>22564.839999999993</v>
      </c>
      <c r="AD115" s="2">
        <v>22586.839999999993</v>
      </c>
      <c r="AE115" s="2">
        <v>22608.059999999994</v>
      </c>
      <c r="AF115" s="7">
        <v>22628.419999999995</v>
      </c>
      <c r="AG115" s="51">
        <f t="shared" si="4"/>
        <v>22628.419999999995</v>
      </c>
      <c r="AH115" s="44">
        <v>0</v>
      </c>
    </row>
    <row r="116" spans="1:34" x14ac:dyDescent="0.35">
      <c r="A116" s="26" t="s">
        <v>120</v>
      </c>
      <c r="B116" s="19">
        <v>22285.970000000023</v>
      </c>
      <c r="C116" s="2">
        <v>22285.970000000023</v>
      </c>
      <c r="D116" s="2">
        <v>22285.970000000023</v>
      </c>
      <c r="E116" s="2">
        <v>22285.970000000023</v>
      </c>
      <c r="F116" s="2">
        <v>22285.970000000023</v>
      </c>
      <c r="G116" s="2">
        <v>22294.180000000022</v>
      </c>
      <c r="H116" s="2">
        <v>22305.340000000022</v>
      </c>
      <c r="I116" s="2">
        <v>22327.090000000022</v>
      </c>
      <c r="J116" s="2">
        <v>22348.520000000022</v>
      </c>
      <c r="K116" s="2">
        <v>22369.710000000021</v>
      </c>
      <c r="L116" s="2">
        <v>22390.540000000023</v>
      </c>
      <c r="M116" s="2">
        <v>22411.600000000024</v>
      </c>
      <c r="N116" s="2">
        <v>22430.610000000022</v>
      </c>
      <c r="O116" s="2">
        <v>22443.410000000022</v>
      </c>
      <c r="P116" s="2">
        <v>22453.280000000021</v>
      </c>
      <c r="Q116" s="2">
        <v>22453.680000000022</v>
      </c>
      <c r="R116" s="2">
        <v>22453.680000000022</v>
      </c>
      <c r="S116" s="2">
        <v>22453.680000000022</v>
      </c>
      <c r="T116" s="2">
        <v>22453.680000000022</v>
      </c>
      <c r="U116" s="2">
        <v>22453.680000000022</v>
      </c>
      <c r="V116" s="2">
        <v>22453.680000000022</v>
      </c>
      <c r="W116" s="2">
        <v>22453.680000000022</v>
      </c>
      <c r="X116" s="2">
        <v>22453.680000000022</v>
      </c>
      <c r="Y116" s="2">
        <v>22453.680000000022</v>
      </c>
      <c r="Z116" s="2">
        <v>22461.950000000023</v>
      </c>
      <c r="AA116" s="2">
        <v>22482.720000000023</v>
      </c>
      <c r="AB116" s="2">
        <v>22493.320000000022</v>
      </c>
      <c r="AC116" s="2">
        <v>22512.520000000022</v>
      </c>
      <c r="AD116" s="2">
        <v>22531.550000000021</v>
      </c>
      <c r="AE116" s="2">
        <v>22551.83000000002</v>
      </c>
      <c r="AF116" s="7">
        <v>22572.49000000002</v>
      </c>
      <c r="AG116" s="51">
        <f t="shared" si="4"/>
        <v>22572.49000000002</v>
      </c>
      <c r="AH116" s="44">
        <v>0</v>
      </c>
    </row>
    <row r="117" spans="1:34" x14ac:dyDescent="0.35">
      <c r="A117" s="26" t="s">
        <v>121</v>
      </c>
      <c r="B117" s="19">
        <v>21553.069999999985</v>
      </c>
      <c r="C117" s="2">
        <v>21569.809999999987</v>
      </c>
      <c r="D117" s="2">
        <v>21579.979999999985</v>
      </c>
      <c r="E117" s="2">
        <v>21595.579999999984</v>
      </c>
      <c r="F117" s="2">
        <v>21611.219999999983</v>
      </c>
      <c r="G117" s="2">
        <v>21631.049999999985</v>
      </c>
      <c r="H117" s="2">
        <v>21652.249999999985</v>
      </c>
      <c r="I117" s="2">
        <v>21673.929999999986</v>
      </c>
      <c r="J117" s="2">
        <v>21694.389999999985</v>
      </c>
      <c r="K117" s="2">
        <v>21715.119999999984</v>
      </c>
      <c r="L117" s="2">
        <v>21736.829999999984</v>
      </c>
      <c r="M117" s="2">
        <v>21757.189999999984</v>
      </c>
      <c r="N117" s="2">
        <v>21778.709999999985</v>
      </c>
      <c r="O117" s="2">
        <v>21797.439999999984</v>
      </c>
      <c r="P117" s="2">
        <v>21819.169999999984</v>
      </c>
      <c r="Q117" s="2">
        <v>21840.399999999983</v>
      </c>
      <c r="R117" s="2">
        <v>21861.339999999982</v>
      </c>
      <c r="S117" s="2">
        <v>21879.239999999983</v>
      </c>
      <c r="T117" s="2">
        <v>21900.589999999982</v>
      </c>
      <c r="U117" s="2">
        <v>21922.289999999983</v>
      </c>
      <c r="V117" s="2">
        <v>21943.159999999982</v>
      </c>
      <c r="W117" s="2">
        <v>21964.979999999981</v>
      </c>
      <c r="X117" s="2">
        <v>21986.389999999981</v>
      </c>
      <c r="Y117" s="2">
        <v>22007.859999999982</v>
      </c>
      <c r="Z117" s="2">
        <v>22028.649999999983</v>
      </c>
      <c r="AA117" s="2">
        <v>22048.939999999984</v>
      </c>
      <c r="AB117" s="2">
        <v>22069.519999999986</v>
      </c>
      <c r="AC117" s="2">
        <v>22082.389999999985</v>
      </c>
      <c r="AD117" s="2">
        <v>22082.389999999985</v>
      </c>
      <c r="AE117" s="2">
        <v>22104.029999999984</v>
      </c>
      <c r="AF117" s="7">
        <v>22124.989999999983</v>
      </c>
      <c r="AG117" s="51">
        <f t="shared" si="4"/>
        <v>22124.989999999983</v>
      </c>
      <c r="AH117" s="44">
        <v>0</v>
      </c>
    </row>
    <row r="118" spans="1:34" x14ac:dyDescent="0.35">
      <c r="A118" s="26" t="s">
        <v>122</v>
      </c>
      <c r="B118" s="19">
        <v>3103.3</v>
      </c>
      <c r="C118" s="2">
        <v>3124.79</v>
      </c>
      <c r="D118" s="2">
        <v>3146.36</v>
      </c>
      <c r="E118" s="2">
        <v>3168.02</v>
      </c>
      <c r="F118" s="2">
        <v>3185.32</v>
      </c>
      <c r="G118" s="2">
        <v>3206.6600000000003</v>
      </c>
      <c r="H118" s="2">
        <v>3227.38</v>
      </c>
      <c r="I118" s="2">
        <v>3248.98</v>
      </c>
      <c r="J118" s="2">
        <v>3270.46</v>
      </c>
      <c r="K118" s="2">
        <v>3290.89</v>
      </c>
      <c r="L118" s="2">
        <v>3312.4</v>
      </c>
      <c r="M118" s="2">
        <v>3333.71</v>
      </c>
      <c r="N118" s="2">
        <v>3355.06</v>
      </c>
      <c r="O118" s="2">
        <v>3373.44</v>
      </c>
      <c r="P118" s="2">
        <v>3376.61</v>
      </c>
      <c r="Q118" s="2">
        <v>3395.69</v>
      </c>
      <c r="R118" s="2">
        <v>3417.2200000000003</v>
      </c>
      <c r="S118" s="2">
        <v>3438.92</v>
      </c>
      <c r="T118" s="2">
        <v>3459.82</v>
      </c>
      <c r="U118" s="2">
        <v>3480.5800000000004</v>
      </c>
      <c r="V118" s="2">
        <v>3501.8</v>
      </c>
      <c r="W118" s="2">
        <v>3523.6000000000004</v>
      </c>
      <c r="X118" s="2">
        <v>3544.8600000000006</v>
      </c>
      <c r="Y118" s="2">
        <v>3565.9700000000007</v>
      </c>
      <c r="Z118" s="2">
        <v>3587.1300000000006</v>
      </c>
      <c r="AA118" s="2">
        <v>3608.5800000000004</v>
      </c>
      <c r="AB118" s="2">
        <v>3630.2400000000002</v>
      </c>
      <c r="AC118" s="2">
        <v>3651.65</v>
      </c>
      <c r="AD118" s="2">
        <v>3673.82</v>
      </c>
      <c r="AE118" s="2">
        <v>3686.6800000000003</v>
      </c>
      <c r="AF118" s="7">
        <v>3703.6600000000003</v>
      </c>
      <c r="AG118" s="51">
        <f t="shared" si="4"/>
        <v>3703.6600000000003</v>
      </c>
      <c r="AH118" s="44">
        <v>0</v>
      </c>
    </row>
    <row r="119" spans="1:34" x14ac:dyDescent="0.35">
      <c r="A119" s="26" t="s">
        <v>123</v>
      </c>
      <c r="B119" s="19">
        <v>3430.6899999999996</v>
      </c>
      <c r="C119" s="2">
        <v>3449.8799999999997</v>
      </c>
      <c r="D119" s="2">
        <v>3471.5299999999997</v>
      </c>
      <c r="E119" s="2">
        <v>3483.93</v>
      </c>
      <c r="F119" s="2">
        <v>3504.5699999999997</v>
      </c>
      <c r="G119" s="2">
        <v>3525.4799999999996</v>
      </c>
      <c r="H119" s="2">
        <v>3547.4799999999996</v>
      </c>
      <c r="I119" s="2">
        <v>3569.2899999999995</v>
      </c>
      <c r="J119" s="2">
        <v>3590.8099999999995</v>
      </c>
      <c r="K119" s="2">
        <v>3612.2199999999993</v>
      </c>
      <c r="L119" s="2">
        <v>3633.5399999999995</v>
      </c>
      <c r="M119" s="2">
        <v>3638.4699999999993</v>
      </c>
      <c r="N119" s="2">
        <v>3659.2699999999995</v>
      </c>
      <c r="O119" s="2">
        <v>3680.4799999999996</v>
      </c>
      <c r="P119" s="2">
        <v>3699.9499999999994</v>
      </c>
      <c r="Q119" s="2">
        <v>3709.2699999999995</v>
      </c>
      <c r="R119" s="2">
        <v>3723.2299999999996</v>
      </c>
      <c r="S119" s="2">
        <v>3744.3299999999995</v>
      </c>
      <c r="T119" s="2">
        <v>3765.2999999999993</v>
      </c>
      <c r="U119" s="2">
        <v>3786.2099999999991</v>
      </c>
      <c r="V119" s="2">
        <v>3807.4699999999993</v>
      </c>
      <c r="W119" s="2">
        <v>3829.1199999999994</v>
      </c>
      <c r="X119" s="2">
        <v>3850.3199999999993</v>
      </c>
      <c r="Y119" s="2">
        <v>3871.8599999999992</v>
      </c>
      <c r="Z119" s="2">
        <v>3893.4499999999994</v>
      </c>
      <c r="AA119" s="2">
        <v>3915.0999999999995</v>
      </c>
      <c r="AB119" s="2">
        <v>3936.7599999999993</v>
      </c>
      <c r="AC119" s="2">
        <v>3958.2399999999993</v>
      </c>
      <c r="AD119" s="2">
        <v>3980.0799999999995</v>
      </c>
      <c r="AE119" s="2">
        <v>3999.3499999999995</v>
      </c>
      <c r="AF119" s="7">
        <v>4018.9699999999993</v>
      </c>
      <c r="AG119" s="51">
        <f t="shared" si="4"/>
        <v>4018.9699999999993</v>
      </c>
      <c r="AH119" s="44">
        <v>0</v>
      </c>
    </row>
    <row r="120" spans="1:34" x14ac:dyDescent="0.35">
      <c r="A120" s="26" t="s">
        <v>124</v>
      </c>
      <c r="B120" s="19">
        <v>3089.8900000000012</v>
      </c>
      <c r="C120" s="2">
        <v>3110.9500000000012</v>
      </c>
      <c r="D120" s="2">
        <v>3128.3500000000013</v>
      </c>
      <c r="E120" s="2">
        <v>3149.7000000000012</v>
      </c>
      <c r="F120" s="2">
        <v>3170.670000000001</v>
      </c>
      <c r="G120" s="2">
        <v>3191.4600000000009</v>
      </c>
      <c r="H120" s="2">
        <v>3205.400000000001</v>
      </c>
      <c r="I120" s="2">
        <v>3221.7500000000009</v>
      </c>
      <c r="J120" s="2">
        <v>3243.0100000000011</v>
      </c>
      <c r="K120" s="2">
        <v>3264.440000000001</v>
      </c>
      <c r="L120" s="2">
        <v>3285.2000000000012</v>
      </c>
      <c r="M120" s="2">
        <v>3305.940000000001</v>
      </c>
      <c r="N120" s="2">
        <v>3327.5400000000009</v>
      </c>
      <c r="O120" s="2">
        <v>3348.6600000000008</v>
      </c>
      <c r="P120" s="2">
        <v>3367.7300000000009</v>
      </c>
      <c r="Q120" s="2">
        <v>3386.7100000000009</v>
      </c>
      <c r="R120" s="2">
        <v>3408.4800000000009</v>
      </c>
      <c r="S120" s="2">
        <v>3430.5500000000011</v>
      </c>
      <c r="T120" s="2">
        <v>3452.3500000000013</v>
      </c>
      <c r="U120" s="2">
        <v>3473.1200000000013</v>
      </c>
      <c r="V120" s="2">
        <v>3494.1000000000013</v>
      </c>
      <c r="W120" s="2">
        <v>3516.0000000000014</v>
      </c>
      <c r="X120" s="2">
        <v>3536.9400000000014</v>
      </c>
      <c r="Y120" s="2">
        <v>3558.3400000000015</v>
      </c>
      <c r="Z120" s="2">
        <v>3580.2200000000016</v>
      </c>
      <c r="AA120" s="2">
        <v>3593.7700000000018</v>
      </c>
      <c r="AB120" s="2">
        <v>3614.2400000000016</v>
      </c>
      <c r="AC120" s="2">
        <v>3635.5600000000018</v>
      </c>
      <c r="AD120" s="2">
        <v>3656.4200000000019</v>
      </c>
      <c r="AE120" s="2">
        <v>3660.9600000000019</v>
      </c>
      <c r="AF120" s="7">
        <v>3677.4900000000021</v>
      </c>
      <c r="AG120" s="51">
        <f t="shared" si="4"/>
        <v>3677.4900000000021</v>
      </c>
      <c r="AH120" s="44">
        <v>0</v>
      </c>
    </row>
    <row r="121" spans="1:34" x14ac:dyDescent="0.35">
      <c r="A121" s="26" t="s">
        <v>125</v>
      </c>
      <c r="B121" s="19">
        <v>1254.3600000000004</v>
      </c>
      <c r="C121" s="2">
        <v>1273.2200000000003</v>
      </c>
      <c r="D121" s="2">
        <v>1294.7000000000003</v>
      </c>
      <c r="E121" s="2">
        <v>1305.3900000000003</v>
      </c>
      <c r="F121" s="2">
        <v>1326.1600000000003</v>
      </c>
      <c r="G121" s="2">
        <v>1347.6200000000003</v>
      </c>
      <c r="H121" s="2">
        <v>1369.5500000000004</v>
      </c>
      <c r="I121" s="2">
        <v>1391.3700000000003</v>
      </c>
      <c r="J121" s="2">
        <v>1412.8700000000003</v>
      </c>
      <c r="K121" s="2">
        <v>1434.2800000000004</v>
      </c>
      <c r="L121" s="2">
        <v>1455.3400000000004</v>
      </c>
      <c r="M121" s="2">
        <v>1476.0100000000004</v>
      </c>
      <c r="N121" s="2">
        <v>1497.4500000000005</v>
      </c>
      <c r="O121" s="2">
        <v>1518.9100000000005</v>
      </c>
      <c r="P121" s="2">
        <v>1540.6700000000005</v>
      </c>
      <c r="Q121" s="2">
        <v>1560.8400000000006</v>
      </c>
      <c r="R121" s="2">
        <v>1582.3700000000006</v>
      </c>
      <c r="S121" s="2">
        <v>1603.9500000000005</v>
      </c>
      <c r="T121" s="2">
        <v>1625.5800000000006</v>
      </c>
      <c r="U121" s="2">
        <v>1646.8400000000006</v>
      </c>
      <c r="V121" s="2">
        <v>1661.0100000000007</v>
      </c>
      <c r="W121" s="2">
        <v>1682.2200000000007</v>
      </c>
      <c r="X121" s="2">
        <v>1702.8300000000006</v>
      </c>
      <c r="Y121" s="2">
        <v>1724.6000000000006</v>
      </c>
      <c r="Z121" s="2">
        <v>1734.1400000000006</v>
      </c>
      <c r="AA121" s="2">
        <v>1752.6400000000006</v>
      </c>
      <c r="AB121" s="2">
        <v>1774.0800000000006</v>
      </c>
      <c r="AC121" s="2">
        <v>1795.5600000000006</v>
      </c>
      <c r="AD121" s="2">
        <v>1817.4900000000007</v>
      </c>
      <c r="AE121" s="2">
        <v>1839.1300000000008</v>
      </c>
      <c r="AF121" s="7">
        <v>1860.4600000000007</v>
      </c>
      <c r="AG121" s="51">
        <f t="shared" si="4"/>
        <v>1860.4600000000007</v>
      </c>
      <c r="AH121" s="44">
        <v>0</v>
      </c>
    </row>
    <row r="122" spans="1:34" x14ac:dyDescent="0.35">
      <c r="A122" s="26" t="s">
        <v>126</v>
      </c>
      <c r="B122" s="19">
        <v>2308.6499999999992</v>
      </c>
      <c r="C122" s="2">
        <v>2325.5199999999991</v>
      </c>
      <c r="D122" s="2">
        <v>2347.349999999999</v>
      </c>
      <c r="E122" s="2">
        <v>2367.4099999999989</v>
      </c>
      <c r="F122" s="2">
        <v>2372.2599999999989</v>
      </c>
      <c r="G122" s="2">
        <v>2389.369999999999</v>
      </c>
      <c r="H122" s="2">
        <v>2411.5399999999991</v>
      </c>
      <c r="I122" s="2">
        <v>2433.0299999999988</v>
      </c>
      <c r="J122" s="2">
        <v>2454.639999999999</v>
      </c>
      <c r="K122" s="2">
        <v>2476.2799999999988</v>
      </c>
      <c r="L122" s="2">
        <v>2496.9199999999987</v>
      </c>
      <c r="M122" s="2">
        <v>2518.1299999999987</v>
      </c>
      <c r="N122" s="2">
        <v>2539.8399999999988</v>
      </c>
      <c r="O122" s="2">
        <v>2561.3099999999986</v>
      </c>
      <c r="P122" s="2">
        <v>2582.4899999999984</v>
      </c>
      <c r="Q122" s="2">
        <v>2602.4399999999982</v>
      </c>
      <c r="R122" s="2">
        <v>2624.0799999999981</v>
      </c>
      <c r="S122" s="2">
        <v>2645.199999999998</v>
      </c>
      <c r="T122" s="2">
        <v>2666.8699999999981</v>
      </c>
      <c r="U122" s="2">
        <v>2688.3699999999981</v>
      </c>
      <c r="V122" s="2">
        <v>2708.9799999999982</v>
      </c>
      <c r="W122" s="2">
        <v>2730.9199999999983</v>
      </c>
      <c r="X122" s="2">
        <v>2752.4399999999982</v>
      </c>
      <c r="Y122" s="2">
        <v>2774.1899999999982</v>
      </c>
      <c r="Z122" s="2">
        <v>2795.2799999999984</v>
      </c>
      <c r="AA122" s="2">
        <v>2817.2699999999982</v>
      </c>
      <c r="AB122" s="2">
        <v>2838.5299999999984</v>
      </c>
      <c r="AC122" s="2">
        <v>2859.8699999999985</v>
      </c>
      <c r="AD122" s="2">
        <v>2881.8199999999983</v>
      </c>
      <c r="AE122" s="2">
        <v>2903.4899999999984</v>
      </c>
      <c r="AF122" s="7">
        <v>2920.4299999999985</v>
      </c>
      <c r="AG122" s="51">
        <f t="shared" si="4"/>
        <v>2920.4299999999985</v>
      </c>
      <c r="AH122" s="44">
        <v>0</v>
      </c>
    </row>
    <row r="123" spans="1:34" x14ac:dyDescent="0.35">
      <c r="A123" s="26" t="s">
        <v>127</v>
      </c>
      <c r="B123" s="19">
        <v>2585.7600000000011</v>
      </c>
      <c r="C123" s="2">
        <v>2585.7600000000011</v>
      </c>
      <c r="D123" s="2">
        <v>2599.130000000001</v>
      </c>
      <c r="E123" s="2">
        <v>2620.0100000000011</v>
      </c>
      <c r="F123" s="2">
        <v>2641.2500000000009</v>
      </c>
      <c r="G123" s="2">
        <v>2662.9500000000007</v>
      </c>
      <c r="H123" s="2">
        <v>2683.7500000000009</v>
      </c>
      <c r="I123" s="2">
        <v>2705.0400000000009</v>
      </c>
      <c r="J123" s="2">
        <v>2725.4900000000007</v>
      </c>
      <c r="K123" s="2">
        <v>2745.0900000000006</v>
      </c>
      <c r="L123" s="2">
        <v>2765.9900000000007</v>
      </c>
      <c r="M123" s="2">
        <v>2787.1300000000006</v>
      </c>
      <c r="N123" s="2">
        <v>2807.9600000000005</v>
      </c>
      <c r="O123" s="2">
        <v>2828.6100000000006</v>
      </c>
      <c r="P123" s="2">
        <v>2850.3400000000006</v>
      </c>
      <c r="Q123" s="2">
        <v>2871.7800000000007</v>
      </c>
      <c r="R123" s="2">
        <v>2893.4100000000008</v>
      </c>
      <c r="S123" s="2">
        <v>2914.2000000000007</v>
      </c>
      <c r="T123" s="2">
        <v>2934.8900000000008</v>
      </c>
      <c r="U123" s="2">
        <v>2956.5900000000006</v>
      </c>
      <c r="V123" s="2">
        <v>2976.8400000000006</v>
      </c>
      <c r="W123" s="2">
        <v>2998.2700000000004</v>
      </c>
      <c r="X123" s="2">
        <v>3019.1300000000006</v>
      </c>
      <c r="Y123" s="2">
        <v>3039.8600000000006</v>
      </c>
      <c r="Z123" s="2">
        <v>3061.1200000000008</v>
      </c>
      <c r="AA123" s="2">
        <v>3081.2600000000007</v>
      </c>
      <c r="AB123" s="2">
        <v>3094.3200000000006</v>
      </c>
      <c r="AC123" s="2">
        <v>3111.9200000000005</v>
      </c>
      <c r="AD123" s="2">
        <v>3133.1700000000005</v>
      </c>
      <c r="AE123" s="2">
        <v>3154.5400000000004</v>
      </c>
      <c r="AF123" s="7">
        <v>3175.9800000000005</v>
      </c>
      <c r="AG123" s="51">
        <f t="shared" si="4"/>
        <v>3175.9800000000005</v>
      </c>
      <c r="AH123" s="44">
        <v>0</v>
      </c>
    </row>
    <row r="124" spans="1:34" ht="15" thickBot="1" x14ac:dyDescent="0.4">
      <c r="A124" s="36" t="s">
        <v>128</v>
      </c>
      <c r="B124" s="20">
        <v>2460.8799999999987</v>
      </c>
      <c r="C124" s="4">
        <v>2481.8399999999988</v>
      </c>
      <c r="D124" s="4">
        <v>2504.0299999999988</v>
      </c>
      <c r="E124" s="4">
        <v>2521.4799999999987</v>
      </c>
      <c r="F124" s="4">
        <v>2542.6899999999987</v>
      </c>
      <c r="G124" s="4">
        <v>2564.7099999999987</v>
      </c>
      <c r="H124" s="4">
        <v>2586.2799999999988</v>
      </c>
      <c r="I124" s="4">
        <v>2608.4099999999989</v>
      </c>
      <c r="J124" s="4">
        <v>2630.1799999999989</v>
      </c>
      <c r="K124" s="4">
        <v>2639.7499999999991</v>
      </c>
      <c r="L124" s="4">
        <v>2661.3799999999992</v>
      </c>
      <c r="M124" s="4">
        <v>2682.5499999999993</v>
      </c>
      <c r="N124" s="4">
        <v>2703.2999999999993</v>
      </c>
      <c r="O124" s="4">
        <v>2724.3999999999992</v>
      </c>
      <c r="P124" s="4">
        <v>2742.9199999999992</v>
      </c>
      <c r="Q124" s="4">
        <v>2762.2799999999993</v>
      </c>
      <c r="R124" s="4">
        <v>2779.4199999999992</v>
      </c>
      <c r="S124" s="4">
        <v>2797.8999999999992</v>
      </c>
      <c r="T124" s="4">
        <v>2818.6999999999994</v>
      </c>
      <c r="U124" s="4">
        <v>2839.7599999999993</v>
      </c>
      <c r="V124" s="4">
        <v>2860.3599999999992</v>
      </c>
      <c r="W124" s="4">
        <v>2880.7799999999993</v>
      </c>
      <c r="X124" s="4">
        <v>2901.7599999999993</v>
      </c>
      <c r="Y124" s="4">
        <v>2923.3799999999992</v>
      </c>
      <c r="Z124" s="4">
        <v>2945.4899999999993</v>
      </c>
      <c r="AA124" s="4">
        <v>2952.5299999999993</v>
      </c>
      <c r="AB124" s="4">
        <v>2972.3099999999995</v>
      </c>
      <c r="AC124" s="4">
        <v>2993.9699999999993</v>
      </c>
      <c r="AD124" s="4">
        <v>3015.8699999999994</v>
      </c>
      <c r="AE124" s="4">
        <v>3037.8799999999997</v>
      </c>
      <c r="AF124" s="8">
        <v>3052.3699999999994</v>
      </c>
      <c r="AG124" s="52">
        <f t="shared" si="4"/>
        <v>3052.3699999999994</v>
      </c>
      <c r="AH124" s="44">
        <v>0</v>
      </c>
    </row>
    <row r="125" spans="1:34" ht="15" thickBot="1" x14ac:dyDescent="0.4">
      <c r="AH125" s="44">
        <v>0</v>
      </c>
    </row>
    <row r="126" spans="1:34" ht="15" thickBot="1" x14ac:dyDescent="0.4">
      <c r="A126" s="41" t="s">
        <v>349</v>
      </c>
      <c r="B126" s="47">
        <v>45292</v>
      </c>
      <c r="C126" s="46">
        <v>45293</v>
      </c>
      <c r="D126" s="46">
        <v>45294</v>
      </c>
      <c r="E126" s="46">
        <v>45295</v>
      </c>
      <c r="F126" s="46">
        <v>45296</v>
      </c>
      <c r="G126" s="46">
        <v>45297</v>
      </c>
      <c r="H126" s="46">
        <v>45298</v>
      </c>
      <c r="I126" s="46">
        <v>45299</v>
      </c>
      <c r="J126" s="46">
        <v>45300</v>
      </c>
      <c r="K126" s="46">
        <v>45301</v>
      </c>
      <c r="L126" s="46">
        <v>45302</v>
      </c>
      <c r="M126" s="46">
        <v>45303</v>
      </c>
      <c r="N126" s="46">
        <v>45304</v>
      </c>
      <c r="O126" s="46">
        <v>45305</v>
      </c>
      <c r="P126" s="46">
        <v>45306</v>
      </c>
      <c r="Q126" s="46">
        <v>45307</v>
      </c>
      <c r="R126" s="46">
        <v>45308</v>
      </c>
      <c r="S126" s="46">
        <v>45309</v>
      </c>
      <c r="T126" s="46">
        <v>45310</v>
      </c>
      <c r="U126" s="46">
        <v>45311</v>
      </c>
      <c r="V126" s="46">
        <v>45312</v>
      </c>
      <c r="W126" s="46">
        <v>45313</v>
      </c>
      <c r="X126" s="46">
        <v>45314</v>
      </c>
      <c r="Y126" s="46">
        <v>45315</v>
      </c>
      <c r="Z126" s="46">
        <v>45316</v>
      </c>
      <c r="AA126" s="46">
        <v>45317</v>
      </c>
      <c r="AB126" s="46">
        <v>45318</v>
      </c>
      <c r="AC126" s="46">
        <v>45319</v>
      </c>
      <c r="AD126" s="46">
        <v>45320</v>
      </c>
      <c r="AE126" s="46">
        <v>45321</v>
      </c>
      <c r="AF126" s="46">
        <v>45322</v>
      </c>
      <c r="AG126" s="42" t="s">
        <v>305</v>
      </c>
      <c r="AH126" s="44" t="s">
        <v>305</v>
      </c>
    </row>
    <row r="127" spans="1:34" ht="15" thickTop="1" x14ac:dyDescent="0.35">
      <c r="A127" s="26" t="s">
        <v>304</v>
      </c>
      <c r="B127" s="19">
        <v>110918</v>
      </c>
      <c r="C127" s="2">
        <v>110918</v>
      </c>
      <c r="D127" s="2">
        <v>110918</v>
      </c>
      <c r="E127" s="2">
        <v>110918</v>
      </c>
      <c r="F127" s="2">
        <v>110918</v>
      </c>
      <c r="G127" s="2">
        <v>110971.8</v>
      </c>
      <c r="H127" s="2">
        <v>110978.2</v>
      </c>
      <c r="I127" s="2">
        <v>110978.2</v>
      </c>
      <c r="J127" s="2">
        <v>110978.2</v>
      </c>
      <c r="K127" s="2">
        <v>110978.2</v>
      </c>
      <c r="L127" s="2">
        <v>110978.2</v>
      </c>
      <c r="M127" s="2">
        <v>110978.2</v>
      </c>
      <c r="N127" s="2">
        <v>110978.2</v>
      </c>
      <c r="O127" s="2">
        <v>111068.2</v>
      </c>
      <c r="P127" s="2">
        <v>111080.2</v>
      </c>
      <c r="Q127" s="2">
        <v>111083.8</v>
      </c>
      <c r="R127" s="2">
        <v>111089.47</v>
      </c>
      <c r="S127" s="2">
        <v>111096.39</v>
      </c>
      <c r="T127" s="2">
        <v>111096.39</v>
      </c>
      <c r="U127" s="2">
        <v>111096.39</v>
      </c>
      <c r="V127" s="2">
        <v>111104.09</v>
      </c>
      <c r="W127" s="2">
        <v>111104.09</v>
      </c>
      <c r="X127" s="2">
        <v>111104.09</v>
      </c>
      <c r="Y127" s="2">
        <v>111104.09</v>
      </c>
      <c r="Z127" s="2">
        <v>111109.53</v>
      </c>
      <c r="AA127" s="2">
        <v>111109.53</v>
      </c>
      <c r="AB127" s="2">
        <v>111109.53</v>
      </c>
      <c r="AC127" s="2">
        <v>111134.13</v>
      </c>
      <c r="AD127" s="2">
        <v>111158</v>
      </c>
      <c r="AE127" s="2">
        <v>111168</v>
      </c>
      <c r="AF127" s="7">
        <v>111170</v>
      </c>
      <c r="AG127" s="54">
        <f>MAX(B127:AF127)</f>
        <v>111170</v>
      </c>
      <c r="AH127" s="44">
        <v>0</v>
      </c>
    </row>
    <row r="128" spans="1:34" x14ac:dyDescent="0.35">
      <c r="A128" s="40" t="s">
        <v>297</v>
      </c>
      <c r="B128" s="18">
        <v>87111</v>
      </c>
      <c r="C128" s="14">
        <v>87111</v>
      </c>
      <c r="D128" s="14">
        <v>87111</v>
      </c>
      <c r="E128" s="14">
        <v>87111</v>
      </c>
      <c r="F128" s="14">
        <v>87111</v>
      </c>
      <c r="G128" s="14">
        <v>87111</v>
      </c>
      <c r="H128" s="14">
        <v>87111</v>
      </c>
      <c r="I128" s="14">
        <v>87111</v>
      </c>
      <c r="J128" s="14">
        <v>87111</v>
      </c>
      <c r="K128" s="14">
        <v>87111</v>
      </c>
      <c r="L128" s="14">
        <v>87111</v>
      </c>
      <c r="M128" s="14">
        <v>87111</v>
      </c>
      <c r="N128" s="14">
        <v>87111</v>
      </c>
      <c r="O128" s="14">
        <v>87482</v>
      </c>
      <c r="P128" s="14">
        <v>87482</v>
      </c>
      <c r="Q128" s="14">
        <v>87482</v>
      </c>
      <c r="R128" s="14">
        <v>87482</v>
      </c>
      <c r="S128" s="14">
        <v>87482</v>
      </c>
      <c r="T128" s="14">
        <v>87482</v>
      </c>
      <c r="U128" s="14">
        <v>87482</v>
      </c>
      <c r="V128" s="14">
        <v>87482</v>
      </c>
      <c r="W128" s="14">
        <v>87482</v>
      </c>
      <c r="X128" s="14">
        <v>87482</v>
      </c>
      <c r="Y128" s="14">
        <v>87482</v>
      </c>
      <c r="Z128" s="14">
        <v>87482</v>
      </c>
      <c r="AA128" s="14">
        <v>87482</v>
      </c>
      <c r="AB128" s="14">
        <v>87482</v>
      </c>
      <c r="AC128" s="14">
        <v>87482</v>
      </c>
      <c r="AD128" s="14">
        <v>87482</v>
      </c>
      <c r="AE128" s="14">
        <v>87482</v>
      </c>
      <c r="AF128" s="22">
        <v>87482</v>
      </c>
      <c r="AG128" s="53">
        <f t="shared" ref="AG128:AG163" si="5">MAX(B128:AF128)</f>
        <v>87482</v>
      </c>
      <c r="AH128" s="44">
        <v>0</v>
      </c>
    </row>
    <row r="129" spans="1:34" x14ac:dyDescent="0.35">
      <c r="A129" s="27" t="s">
        <v>271</v>
      </c>
      <c r="B129" s="19">
        <v>103989.51999999999</v>
      </c>
      <c r="C129" s="2">
        <v>103997.18</v>
      </c>
      <c r="D129" s="2">
        <v>103997.18</v>
      </c>
      <c r="E129" s="2">
        <v>103997.18</v>
      </c>
      <c r="F129" s="2">
        <v>103997.18</v>
      </c>
      <c r="G129" s="2">
        <v>103997.18</v>
      </c>
      <c r="H129" s="2">
        <v>103997.18</v>
      </c>
      <c r="I129" s="2">
        <v>103997.18</v>
      </c>
      <c r="J129" s="2">
        <v>103997.18</v>
      </c>
      <c r="K129" s="2">
        <v>103997.18</v>
      </c>
      <c r="L129" s="2">
        <v>103997.18</v>
      </c>
      <c r="M129" s="2">
        <v>103997.18</v>
      </c>
      <c r="N129" s="2">
        <v>103997.18</v>
      </c>
      <c r="O129" s="2">
        <v>104067.2</v>
      </c>
      <c r="P129" s="2">
        <v>104067.2</v>
      </c>
      <c r="Q129" s="2">
        <v>104067.2</v>
      </c>
      <c r="R129" s="2">
        <v>104067.2</v>
      </c>
      <c r="S129" s="2">
        <v>104067.2</v>
      </c>
      <c r="T129" s="2">
        <v>104067.2</v>
      </c>
      <c r="U129" s="2">
        <v>104067.2</v>
      </c>
      <c r="V129" s="2">
        <v>104067.2</v>
      </c>
      <c r="W129" s="2">
        <v>104067.2</v>
      </c>
      <c r="X129" s="2">
        <v>104077.44</v>
      </c>
      <c r="Y129" s="2">
        <v>104099.63</v>
      </c>
      <c r="Z129" s="2">
        <v>104116.56</v>
      </c>
      <c r="AA129" s="2">
        <v>104116.56</v>
      </c>
      <c r="AB129" s="2">
        <v>104116.56</v>
      </c>
      <c r="AC129" s="2">
        <v>104151.16</v>
      </c>
      <c r="AD129" s="2">
        <v>104151.16</v>
      </c>
      <c r="AE129" s="2">
        <v>104151.16</v>
      </c>
      <c r="AF129" s="7">
        <v>104151.16</v>
      </c>
      <c r="AG129" s="9">
        <f t="shared" si="5"/>
        <v>104151.16</v>
      </c>
      <c r="AH129" s="44">
        <v>0</v>
      </c>
    </row>
    <row r="130" spans="1:34" x14ac:dyDescent="0.35">
      <c r="A130" s="27" t="s">
        <v>274</v>
      </c>
      <c r="B130" s="19">
        <v>102388.81999999999</v>
      </c>
      <c r="C130" s="2">
        <v>102388.81999999999</v>
      </c>
      <c r="D130" s="2">
        <v>102388.81999999999</v>
      </c>
      <c r="E130" s="2">
        <v>102388.81999999999</v>
      </c>
      <c r="F130" s="2">
        <v>102388.81999999999</v>
      </c>
      <c r="G130" s="2">
        <v>102388.81999999999</v>
      </c>
      <c r="H130" s="2">
        <v>102388.81999999999</v>
      </c>
      <c r="I130" s="2">
        <v>102388.81999999999</v>
      </c>
      <c r="J130" s="2">
        <v>102388.81999999999</v>
      </c>
      <c r="K130" s="2">
        <v>102388.81999999999</v>
      </c>
      <c r="L130" s="2">
        <v>102388.81999999999</v>
      </c>
      <c r="M130" s="2">
        <v>102388.81999999999</v>
      </c>
      <c r="N130" s="2">
        <v>102388.81999999999</v>
      </c>
      <c r="O130" s="2">
        <v>102403.59999999999</v>
      </c>
      <c r="P130" s="2">
        <v>102424.9</v>
      </c>
      <c r="Q130" s="2">
        <v>102440.31</v>
      </c>
      <c r="R130" s="2">
        <v>102440.31</v>
      </c>
      <c r="S130" s="2">
        <v>102440.31</v>
      </c>
      <c r="T130" s="2">
        <v>102440.31</v>
      </c>
      <c r="U130" s="2">
        <v>102440.31</v>
      </c>
      <c r="V130" s="2">
        <v>102440.31</v>
      </c>
      <c r="W130" s="2">
        <v>102440.31</v>
      </c>
      <c r="X130" s="2">
        <v>102440.31</v>
      </c>
      <c r="Y130" s="2">
        <v>102440.31</v>
      </c>
      <c r="Z130" s="2">
        <v>102440.31</v>
      </c>
      <c r="AA130" s="2">
        <v>102440.31</v>
      </c>
      <c r="AB130" s="2">
        <v>102440.31</v>
      </c>
      <c r="AC130" s="2">
        <v>102440.31</v>
      </c>
      <c r="AD130" s="2">
        <v>102464</v>
      </c>
      <c r="AE130" s="2">
        <v>102464</v>
      </c>
      <c r="AF130" s="7">
        <v>102486</v>
      </c>
      <c r="AG130" s="9">
        <f>MAX(B130:AF130)</f>
        <v>102486</v>
      </c>
      <c r="AH130" s="44">
        <v>0</v>
      </c>
    </row>
    <row r="131" spans="1:34" x14ac:dyDescent="0.35">
      <c r="A131" s="27" t="s">
        <v>272</v>
      </c>
      <c r="B131" s="19">
        <v>102046.68999999999</v>
      </c>
      <c r="C131" s="2">
        <v>102046.68999999999</v>
      </c>
      <c r="D131" s="2">
        <v>102046.68999999999</v>
      </c>
      <c r="E131" s="2">
        <v>102046.68999999999</v>
      </c>
      <c r="F131" s="2">
        <v>102046.68999999999</v>
      </c>
      <c r="G131" s="2">
        <v>102046.68999999999</v>
      </c>
      <c r="H131" s="2">
        <v>102046.68999999999</v>
      </c>
      <c r="I131" s="2">
        <v>102046.68999999999</v>
      </c>
      <c r="J131" s="2">
        <v>102046.68999999999</v>
      </c>
      <c r="K131" s="2">
        <v>102046.68999999999</v>
      </c>
      <c r="L131" s="2">
        <v>102046.68999999999</v>
      </c>
      <c r="M131" s="2">
        <v>102046.68999999999</v>
      </c>
      <c r="N131" s="2">
        <v>102046.68999999999</v>
      </c>
      <c r="O131" s="2">
        <v>102046.68999999999</v>
      </c>
      <c r="P131" s="2">
        <v>102046.68999999999</v>
      </c>
      <c r="Q131" s="2">
        <v>102046.68999999999</v>
      </c>
      <c r="R131" s="2">
        <v>102046.68999999999</v>
      </c>
      <c r="S131" s="2">
        <v>102046.68999999999</v>
      </c>
      <c r="T131" s="2">
        <v>102046.68999999999</v>
      </c>
      <c r="U131" s="2">
        <v>102046.68999999999</v>
      </c>
      <c r="V131" s="2">
        <v>102046.68999999999</v>
      </c>
      <c r="W131" s="2">
        <v>102046.68999999999</v>
      </c>
      <c r="X131" s="2">
        <v>102046.68999999999</v>
      </c>
      <c r="Y131" s="2">
        <v>102048.18999999999</v>
      </c>
      <c r="Z131" s="2">
        <v>102048.18999999999</v>
      </c>
      <c r="AA131" s="2">
        <v>102048.18999999999</v>
      </c>
      <c r="AB131" s="2">
        <v>102048.18999999999</v>
      </c>
      <c r="AC131" s="2">
        <v>102048.18999999999</v>
      </c>
      <c r="AD131" s="2">
        <v>102048.18999999999</v>
      </c>
      <c r="AE131" s="2">
        <v>102048.18999999999</v>
      </c>
      <c r="AF131" s="2">
        <v>102048.18999999999</v>
      </c>
      <c r="AG131" s="9">
        <f t="shared" si="5"/>
        <v>102048.18999999999</v>
      </c>
      <c r="AH131" s="44">
        <v>0</v>
      </c>
    </row>
    <row r="132" spans="1:34" x14ac:dyDescent="0.35">
      <c r="A132" s="27" t="s">
        <v>285</v>
      </c>
      <c r="B132" s="19">
        <v>101476.09999999999</v>
      </c>
      <c r="C132" s="2">
        <v>101476.09999999999</v>
      </c>
      <c r="D132" s="2">
        <v>101476.09999999999</v>
      </c>
      <c r="E132" s="2">
        <v>101476.09999999999</v>
      </c>
      <c r="F132" s="2">
        <v>101476.09999999999</v>
      </c>
      <c r="G132" s="2">
        <v>101476.09999999999</v>
      </c>
      <c r="H132" s="2">
        <v>101476.09999999999</v>
      </c>
      <c r="I132" s="2">
        <v>101476.09999999999</v>
      </c>
      <c r="J132" s="2">
        <v>101476.09999999999</v>
      </c>
      <c r="K132" s="2">
        <v>101476.09999999999</v>
      </c>
      <c r="L132" s="2">
        <v>101476.09999999999</v>
      </c>
      <c r="M132" s="2">
        <v>101476.09999999999</v>
      </c>
      <c r="N132" s="2">
        <v>101476.09999999999</v>
      </c>
      <c r="O132" s="2">
        <v>101476.09999999999</v>
      </c>
      <c r="P132" s="2">
        <v>101476.09999999999</v>
      </c>
      <c r="Q132" s="2">
        <v>101476.09999999999</v>
      </c>
      <c r="R132" s="2">
        <v>101476.09999999999</v>
      </c>
      <c r="S132" s="2">
        <v>101476.09999999999</v>
      </c>
      <c r="T132" s="2">
        <v>101476.09999999999</v>
      </c>
      <c r="U132" s="2">
        <v>101476.09999999999</v>
      </c>
      <c r="V132" s="2">
        <v>101476.09999999999</v>
      </c>
      <c r="W132" s="2">
        <v>101476.09999999999</v>
      </c>
      <c r="X132" s="2">
        <v>101476.09999999999</v>
      </c>
      <c r="Y132" s="2">
        <v>101476.09999999999</v>
      </c>
      <c r="Z132" s="2">
        <v>101476.09999999999</v>
      </c>
      <c r="AA132" s="2">
        <v>101476.09999999999</v>
      </c>
      <c r="AB132" s="2">
        <v>101476.09999999999</v>
      </c>
      <c r="AC132" s="2">
        <v>101476.09999999999</v>
      </c>
      <c r="AD132" s="2">
        <v>101476.09999999999</v>
      </c>
      <c r="AE132" s="2">
        <v>101476.09999999999</v>
      </c>
      <c r="AF132" s="7">
        <v>101476.09999999999</v>
      </c>
      <c r="AG132" s="9">
        <f>MAX(B132:AF132)</f>
        <v>101476.09999999999</v>
      </c>
      <c r="AH132" s="44">
        <v>0</v>
      </c>
    </row>
    <row r="133" spans="1:34" x14ac:dyDescent="0.35">
      <c r="A133" s="27" t="s">
        <v>306</v>
      </c>
      <c r="B133" s="19">
        <v>100866.39000000003</v>
      </c>
      <c r="C133" s="2">
        <v>100866.39000000003</v>
      </c>
      <c r="D133" s="2">
        <v>100866.39000000003</v>
      </c>
      <c r="E133" s="2">
        <v>100866.39000000003</v>
      </c>
      <c r="F133" s="2">
        <v>100866.39000000003</v>
      </c>
      <c r="G133" s="2">
        <v>100866.39000000003</v>
      </c>
      <c r="H133" s="2">
        <v>100866.39000000003</v>
      </c>
      <c r="I133" s="2">
        <v>100866.39000000003</v>
      </c>
      <c r="J133" s="2">
        <v>100866.39000000003</v>
      </c>
      <c r="K133" s="2">
        <v>100866.39000000003</v>
      </c>
      <c r="L133" s="2">
        <v>100866.39000000003</v>
      </c>
      <c r="M133" s="2">
        <v>100866.39000000003</v>
      </c>
      <c r="N133" s="2">
        <v>100866.39000000003</v>
      </c>
      <c r="O133" s="2">
        <v>100866.39000000003</v>
      </c>
      <c r="P133" s="2">
        <v>100866.39000000003</v>
      </c>
      <c r="Q133" s="2">
        <v>100866.39000000003</v>
      </c>
      <c r="R133" s="2">
        <v>100866.39000000003</v>
      </c>
      <c r="S133" s="2">
        <v>100866.39000000003</v>
      </c>
      <c r="T133" s="2">
        <v>100866.39000000003</v>
      </c>
      <c r="U133" s="2">
        <v>100866.39000000003</v>
      </c>
      <c r="V133" s="2">
        <v>100866.39000000003</v>
      </c>
      <c r="W133" s="2">
        <v>100866.39000000003</v>
      </c>
      <c r="X133" s="2">
        <v>100866.39000000003</v>
      </c>
      <c r="Y133" s="2">
        <v>100866.39000000003</v>
      </c>
      <c r="Z133" s="2">
        <v>100866.39000000003</v>
      </c>
      <c r="AA133" s="2">
        <v>100866.39000000003</v>
      </c>
      <c r="AB133" s="2">
        <v>100866.39000000003</v>
      </c>
      <c r="AC133" s="2">
        <v>100866.39000000003</v>
      </c>
      <c r="AD133" s="2">
        <v>100866.39000000003</v>
      </c>
      <c r="AE133" s="2">
        <v>100866.39000000003</v>
      </c>
      <c r="AF133" s="7">
        <v>100866.39000000003</v>
      </c>
      <c r="AG133" s="9">
        <f t="shared" si="5"/>
        <v>100866.39000000003</v>
      </c>
      <c r="AH133" s="44">
        <v>0</v>
      </c>
    </row>
    <row r="134" spans="1:34" x14ac:dyDescent="0.35">
      <c r="A134" s="28" t="s">
        <v>308</v>
      </c>
      <c r="B134" s="23">
        <v>101852.22</v>
      </c>
      <c r="C134" s="24">
        <v>101852.22</v>
      </c>
      <c r="D134" s="24">
        <v>101852.22</v>
      </c>
      <c r="E134" s="24">
        <v>101852.22</v>
      </c>
      <c r="F134" s="24">
        <v>101852.22</v>
      </c>
      <c r="G134" s="24">
        <v>101852.22</v>
      </c>
      <c r="H134" s="24">
        <v>101852.22</v>
      </c>
      <c r="I134" s="24">
        <v>101852.22</v>
      </c>
      <c r="J134" s="24">
        <v>101852.22</v>
      </c>
      <c r="K134" s="24">
        <v>101852.22</v>
      </c>
      <c r="L134" s="24">
        <v>101852.22</v>
      </c>
      <c r="M134" s="24">
        <v>101852.22</v>
      </c>
      <c r="N134" s="24">
        <v>101852.22</v>
      </c>
      <c r="O134" s="24">
        <v>101852.22</v>
      </c>
      <c r="P134" s="24">
        <v>101852.22</v>
      </c>
      <c r="Q134" s="24">
        <v>101852.22</v>
      </c>
      <c r="R134" s="24">
        <v>101852.22</v>
      </c>
      <c r="S134" s="24">
        <v>101852.22</v>
      </c>
      <c r="T134" s="24">
        <v>101852.22</v>
      </c>
      <c r="U134" s="24">
        <v>101852.22</v>
      </c>
      <c r="V134" s="24">
        <v>101852.22</v>
      </c>
      <c r="W134" s="24">
        <v>101852.22</v>
      </c>
      <c r="X134" s="24">
        <v>101852.22</v>
      </c>
      <c r="Y134" s="24">
        <v>101852.22</v>
      </c>
      <c r="Z134" s="24">
        <v>101852.22</v>
      </c>
      <c r="AA134" s="24">
        <v>101852.22</v>
      </c>
      <c r="AB134" s="24">
        <v>101852.22</v>
      </c>
      <c r="AC134" s="24">
        <v>101852.22</v>
      </c>
      <c r="AD134" s="24">
        <v>101852.22</v>
      </c>
      <c r="AE134" s="24">
        <v>101852.22</v>
      </c>
      <c r="AF134" s="25">
        <v>101852.22</v>
      </c>
      <c r="AG134" s="9">
        <f t="shared" ref="AG134" si="6">MAX(B134:AF134)</f>
        <v>101852.22</v>
      </c>
      <c r="AH134" s="44">
        <v>0</v>
      </c>
    </row>
    <row r="135" spans="1:34" ht="15" thickBot="1" x14ac:dyDescent="0.4">
      <c r="A135" s="27" t="s">
        <v>307</v>
      </c>
      <c r="B135" s="19">
        <v>102275.73000000001</v>
      </c>
      <c r="C135" s="2">
        <v>102275.73000000001</v>
      </c>
      <c r="D135" s="2">
        <v>102275.73000000001</v>
      </c>
      <c r="E135" s="2">
        <v>102275.73000000001</v>
      </c>
      <c r="F135" s="2">
        <v>102275.73000000001</v>
      </c>
      <c r="G135" s="2">
        <v>102275.73000000001</v>
      </c>
      <c r="H135" s="2">
        <v>102275.73000000001</v>
      </c>
      <c r="I135" s="2">
        <v>102275.73000000001</v>
      </c>
      <c r="J135" s="2">
        <v>102275.73000000001</v>
      </c>
      <c r="K135" s="2">
        <v>102275.73000000001</v>
      </c>
      <c r="L135" s="2">
        <v>102275.73000000001</v>
      </c>
      <c r="M135" s="2">
        <v>102275.73000000001</v>
      </c>
      <c r="N135" s="2">
        <v>102275.73000000001</v>
      </c>
      <c r="O135" s="2">
        <v>102275.73000000001</v>
      </c>
      <c r="P135" s="2">
        <v>102275.73000000001</v>
      </c>
      <c r="Q135" s="2">
        <v>102275.73000000001</v>
      </c>
      <c r="R135" s="2">
        <v>102275.73000000001</v>
      </c>
      <c r="S135" s="2">
        <v>102275.73000000001</v>
      </c>
      <c r="T135" s="2">
        <v>102275.73000000001</v>
      </c>
      <c r="U135" s="2">
        <v>102275.73000000001</v>
      </c>
      <c r="V135" s="2">
        <v>102275.73000000001</v>
      </c>
      <c r="W135" s="2">
        <v>102275.73000000001</v>
      </c>
      <c r="X135" s="2">
        <v>102275.73000000001</v>
      </c>
      <c r="Y135" s="2">
        <v>102275.73000000001</v>
      </c>
      <c r="Z135" s="2">
        <v>102275.73000000001</v>
      </c>
      <c r="AA135" s="2">
        <v>102275.73000000001</v>
      </c>
      <c r="AB135" s="2">
        <v>102275.73000000001</v>
      </c>
      <c r="AC135" s="2">
        <v>102275.73000000001</v>
      </c>
      <c r="AD135" s="2">
        <v>102275.73000000001</v>
      </c>
      <c r="AE135" s="2">
        <v>102275.73000000001</v>
      </c>
      <c r="AF135" s="2">
        <v>102275.73000000001</v>
      </c>
      <c r="AG135" s="16">
        <f t="shared" si="5"/>
        <v>102275.73000000001</v>
      </c>
      <c r="AH135" s="44">
        <v>0</v>
      </c>
    </row>
    <row r="136" spans="1:34" x14ac:dyDescent="0.35">
      <c r="A136" s="29" t="s">
        <v>273</v>
      </c>
      <c r="B136" s="267">
        <v>112344.72</v>
      </c>
      <c r="C136" s="268">
        <v>112344.72</v>
      </c>
      <c r="D136" s="268">
        <v>112344.72</v>
      </c>
      <c r="E136" s="268">
        <v>112344.72</v>
      </c>
      <c r="F136" s="268">
        <v>112344.72</v>
      </c>
      <c r="G136" s="268">
        <v>112344.72</v>
      </c>
      <c r="H136" s="268">
        <v>112344.72</v>
      </c>
      <c r="I136" s="268">
        <v>112344.72</v>
      </c>
      <c r="J136" s="268">
        <v>112344.72</v>
      </c>
      <c r="K136" s="268">
        <v>112344.72</v>
      </c>
      <c r="L136" s="268">
        <v>112344.72</v>
      </c>
      <c r="M136" s="268">
        <v>112344.72</v>
      </c>
      <c r="N136" s="268">
        <v>112344.72</v>
      </c>
      <c r="O136" s="268">
        <v>112344.72</v>
      </c>
      <c r="P136" s="268">
        <v>112344.72</v>
      </c>
      <c r="Q136" s="268">
        <v>112344.72</v>
      </c>
      <c r="R136" s="268">
        <v>112344.72</v>
      </c>
      <c r="S136" s="268">
        <v>112344.72</v>
      </c>
      <c r="T136" s="268">
        <v>112344.72</v>
      </c>
      <c r="U136" s="268">
        <v>112344.72</v>
      </c>
      <c r="V136" s="268">
        <v>112344.72</v>
      </c>
      <c r="W136" s="268">
        <v>112344.72</v>
      </c>
      <c r="X136" s="268">
        <v>112344.72</v>
      </c>
      <c r="Y136" s="268">
        <v>112344.72</v>
      </c>
      <c r="Z136" s="268">
        <v>112344.72</v>
      </c>
      <c r="AA136" s="268">
        <v>112344.72</v>
      </c>
      <c r="AB136" s="268">
        <v>112344.72</v>
      </c>
      <c r="AC136" s="268">
        <v>112344.72</v>
      </c>
      <c r="AD136" s="268">
        <v>112344.72</v>
      </c>
      <c r="AE136" s="268">
        <v>112344.72</v>
      </c>
      <c r="AF136" s="269">
        <v>112344.72</v>
      </c>
      <c r="AG136" s="254">
        <f t="shared" si="5"/>
        <v>112344.72</v>
      </c>
      <c r="AH136" s="44">
        <v>0</v>
      </c>
    </row>
    <row r="137" spans="1:34" x14ac:dyDescent="0.35">
      <c r="A137" s="30" t="s">
        <v>275</v>
      </c>
      <c r="B137" s="270">
        <v>106250.8</v>
      </c>
      <c r="C137" s="271">
        <v>106250.8</v>
      </c>
      <c r="D137" s="271">
        <v>106250.8</v>
      </c>
      <c r="E137" s="271">
        <v>106250.8</v>
      </c>
      <c r="F137" s="271">
        <v>106250.8</v>
      </c>
      <c r="G137" s="271">
        <v>106250.8</v>
      </c>
      <c r="H137" s="271">
        <v>106250.8</v>
      </c>
      <c r="I137" s="271">
        <v>106250.8</v>
      </c>
      <c r="J137" s="271">
        <v>106250.8</v>
      </c>
      <c r="K137" s="271">
        <v>106250.8</v>
      </c>
      <c r="L137" s="271">
        <v>106250.8</v>
      </c>
      <c r="M137" s="271">
        <v>106250.8</v>
      </c>
      <c r="N137" s="271">
        <v>106250.8</v>
      </c>
      <c r="O137" s="271">
        <v>106250.8</v>
      </c>
      <c r="P137" s="271">
        <v>106250.8</v>
      </c>
      <c r="Q137" s="271">
        <v>106250.8</v>
      </c>
      <c r="R137" s="271">
        <v>106250.8</v>
      </c>
      <c r="S137" s="271">
        <v>106250.8</v>
      </c>
      <c r="T137" s="271">
        <v>106250.8</v>
      </c>
      <c r="U137" s="271">
        <v>106250.8</v>
      </c>
      <c r="V137" s="271">
        <v>106250.8</v>
      </c>
      <c r="W137" s="271">
        <v>106250.8</v>
      </c>
      <c r="X137" s="271">
        <v>106250.8</v>
      </c>
      <c r="Y137" s="271">
        <v>106250.8</v>
      </c>
      <c r="Z137" s="271">
        <v>106250.8</v>
      </c>
      <c r="AA137" s="271">
        <v>106250.8</v>
      </c>
      <c r="AB137" s="271">
        <v>106250.8</v>
      </c>
      <c r="AC137" s="271">
        <v>106250.8</v>
      </c>
      <c r="AD137" s="271">
        <v>106250.8</v>
      </c>
      <c r="AE137" s="271">
        <v>106250.8</v>
      </c>
      <c r="AF137" s="272">
        <v>106250.8</v>
      </c>
      <c r="AG137" s="257">
        <f t="shared" si="5"/>
        <v>106250.8</v>
      </c>
      <c r="AH137" s="44">
        <v>0</v>
      </c>
    </row>
    <row r="138" spans="1:34" x14ac:dyDescent="0.35">
      <c r="A138" s="30" t="s">
        <v>276</v>
      </c>
      <c r="B138" s="270">
        <v>440284</v>
      </c>
      <c r="C138" s="271">
        <v>440284</v>
      </c>
      <c r="D138" s="271">
        <v>440284</v>
      </c>
      <c r="E138" s="271">
        <v>440284</v>
      </c>
      <c r="F138" s="271">
        <v>440284</v>
      </c>
      <c r="G138" s="271">
        <v>440284</v>
      </c>
      <c r="H138" s="271">
        <v>440284</v>
      </c>
      <c r="I138" s="271">
        <v>440284</v>
      </c>
      <c r="J138" s="271">
        <v>440284</v>
      </c>
      <c r="K138" s="271">
        <v>440284</v>
      </c>
      <c r="L138" s="271">
        <v>440284</v>
      </c>
      <c r="M138" s="271">
        <v>440284</v>
      </c>
      <c r="N138" s="271">
        <v>440284</v>
      </c>
      <c r="O138" s="271">
        <v>440284</v>
      </c>
      <c r="P138" s="271">
        <v>440284</v>
      </c>
      <c r="Q138" s="271">
        <v>440284</v>
      </c>
      <c r="R138" s="271">
        <v>440284</v>
      </c>
      <c r="S138" s="271">
        <v>440284</v>
      </c>
      <c r="T138" s="271">
        <v>440284</v>
      </c>
      <c r="U138" s="271">
        <v>440284</v>
      </c>
      <c r="V138" s="271">
        <v>440284</v>
      </c>
      <c r="W138" s="271">
        <v>440284</v>
      </c>
      <c r="X138" s="271">
        <v>440284</v>
      </c>
      <c r="Y138" s="271">
        <v>440284</v>
      </c>
      <c r="Z138" s="271">
        <v>440284</v>
      </c>
      <c r="AA138" s="271">
        <v>440284</v>
      </c>
      <c r="AB138" s="271">
        <v>440284</v>
      </c>
      <c r="AC138" s="271">
        <v>440284</v>
      </c>
      <c r="AD138" s="271">
        <v>440284</v>
      </c>
      <c r="AE138" s="271">
        <v>440284</v>
      </c>
      <c r="AF138" s="272">
        <v>440284</v>
      </c>
      <c r="AG138" s="257">
        <f t="shared" si="5"/>
        <v>440284</v>
      </c>
      <c r="AH138" s="44">
        <v>0</v>
      </c>
    </row>
    <row r="139" spans="1:34" x14ac:dyDescent="0.35">
      <c r="A139" s="30" t="s">
        <v>277</v>
      </c>
      <c r="B139" s="270">
        <v>439431.32</v>
      </c>
      <c r="C139" s="271">
        <v>439431.32</v>
      </c>
      <c r="D139" s="271">
        <v>439431.32</v>
      </c>
      <c r="E139" s="271">
        <v>439431.32</v>
      </c>
      <c r="F139" s="271">
        <v>439431.32</v>
      </c>
      <c r="G139" s="271">
        <v>439431.32</v>
      </c>
      <c r="H139" s="271">
        <v>439431.32</v>
      </c>
      <c r="I139" s="271">
        <v>439431.32</v>
      </c>
      <c r="J139" s="271">
        <v>439431.32</v>
      </c>
      <c r="K139" s="271">
        <v>439431.32</v>
      </c>
      <c r="L139" s="271">
        <v>439431.32</v>
      </c>
      <c r="M139" s="271">
        <v>439431.32</v>
      </c>
      <c r="N139" s="271">
        <v>439431.32</v>
      </c>
      <c r="O139" s="271">
        <v>439431.32</v>
      </c>
      <c r="P139" s="271">
        <v>439431.32</v>
      </c>
      <c r="Q139" s="271">
        <v>439431.32</v>
      </c>
      <c r="R139" s="271">
        <v>439431.32</v>
      </c>
      <c r="S139" s="271">
        <v>439431.32</v>
      </c>
      <c r="T139" s="271">
        <v>439431.32</v>
      </c>
      <c r="U139" s="271">
        <v>439431.32</v>
      </c>
      <c r="V139" s="271">
        <v>439431.32</v>
      </c>
      <c r="W139" s="271">
        <v>439431.32</v>
      </c>
      <c r="X139" s="271">
        <v>439431.32</v>
      </c>
      <c r="Y139" s="271">
        <v>439431.32</v>
      </c>
      <c r="Z139" s="271">
        <v>439431.32</v>
      </c>
      <c r="AA139" s="271">
        <v>439431.32</v>
      </c>
      <c r="AB139" s="271">
        <v>439431.32</v>
      </c>
      <c r="AC139" s="271">
        <v>439431.32</v>
      </c>
      <c r="AD139" s="271">
        <v>439431.32</v>
      </c>
      <c r="AE139" s="271">
        <v>439431.32</v>
      </c>
      <c r="AF139" s="272">
        <v>439431.32</v>
      </c>
      <c r="AG139" s="257">
        <f t="shared" si="5"/>
        <v>439431.32</v>
      </c>
      <c r="AH139" s="44">
        <v>0</v>
      </c>
    </row>
    <row r="140" spans="1:34" x14ac:dyDescent="0.35">
      <c r="A140" s="30" t="s">
        <v>278</v>
      </c>
      <c r="B140" s="270">
        <v>413696</v>
      </c>
      <c r="C140" s="271">
        <v>413696</v>
      </c>
      <c r="D140" s="271">
        <v>413696</v>
      </c>
      <c r="E140" s="271">
        <v>413696</v>
      </c>
      <c r="F140" s="271">
        <v>413696</v>
      </c>
      <c r="G140" s="271">
        <v>413696</v>
      </c>
      <c r="H140" s="271">
        <v>413696</v>
      </c>
      <c r="I140" s="271">
        <v>413696</v>
      </c>
      <c r="J140" s="271">
        <v>413696</v>
      </c>
      <c r="K140" s="271">
        <v>413696</v>
      </c>
      <c r="L140" s="271">
        <v>413696</v>
      </c>
      <c r="M140" s="271">
        <v>413696</v>
      </c>
      <c r="N140" s="271">
        <v>413696</v>
      </c>
      <c r="O140" s="271">
        <v>413696</v>
      </c>
      <c r="P140" s="271">
        <v>413696</v>
      </c>
      <c r="Q140" s="271">
        <v>413696</v>
      </c>
      <c r="R140" s="271">
        <v>413696</v>
      </c>
      <c r="S140" s="271">
        <v>413696</v>
      </c>
      <c r="T140" s="271">
        <v>413696</v>
      </c>
      <c r="U140" s="271">
        <v>413696</v>
      </c>
      <c r="V140" s="271">
        <v>413696</v>
      </c>
      <c r="W140" s="271">
        <v>413696</v>
      </c>
      <c r="X140" s="271">
        <v>413696</v>
      </c>
      <c r="Y140" s="271">
        <v>413696</v>
      </c>
      <c r="Z140" s="271">
        <v>413696</v>
      </c>
      <c r="AA140" s="271">
        <v>413696</v>
      </c>
      <c r="AB140" s="271">
        <v>413696</v>
      </c>
      <c r="AC140" s="271">
        <v>413696</v>
      </c>
      <c r="AD140" s="271">
        <v>413696</v>
      </c>
      <c r="AE140" s="271">
        <v>413696</v>
      </c>
      <c r="AF140" s="272">
        <v>413696</v>
      </c>
      <c r="AG140" s="257">
        <f t="shared" si="5"/>
        <v>413696</v>
      </c>
      <c r="AH140" s="44">
        <v>0</v>
      </c>
    </row>
    <row r="141" spans="1:34" x14ac:dyDescent="0.35">
      <c r="A141" s="30" t="s">
        <v>279</v>
      </c>
      <c r="B141" s="270">
        <v>427433.6</v>
      </c>
      <c r="C141" s="271">
        <v>427433.6</v>
      </c>
      <c r="D141" s="271">
        <v>427433.6</v>
      </c>
      <c r="E141" s="271">
        <v>427433.6</v>
      </c>
      <c r="F141" s="271">
        <v>427433.6</v>
      </c>
      <c r="G141" s="271">
        <v>427433.6</v>
      </c>
      <c r="H141" s="271">
        <v>427433.6</v>
      </c>
      <c r="I141" s="271">
        <v>427433.6</v>
      </c>
      <c r="J141" s="271">
        <v>427433.6</v>
      </c>
      <c r="K141" s="271">
        <v>427433.6</v>
      </c>
      <c r="L141" s="271">
        <v>427433.6</v>
      </c>
      <c r="M141" s="271">
        <v>427433.6</v>
      </c>
      <c r="N141" s="271">
        <v>427433.6</v>
      </c>
      <c r="O141" s="271">
        <v>427433.6</v>
      </c>
      <c r="P141" s="271">
        <v>427433.6</v>
      </c>
      <c r="Q141" s="271">
        <v>427433.6</v>
      </c>
      <c r="R141" s="271">
        <v>427433.6</v>
      </c>
      <c r="S141" s="271">
        <v>427433.6</v>
      </c>
      <c r="T141" s="271">
        <v>427433.6</v>
      </c>
      <c r="U141" s="271">
        <v>427433.6</v>
      </c>
      <c r="V141" s="271">
        <v>427433.6</v>
      </c>
      <c r="W141" s="271">
        <v>427433.6</v>
      </c>
      <c r="X141" s="271">
        <v>427433.6</v>
      </c>
      <c r="Y141" s="271">
        <v>427433.6</v>
      </c>
      <c r="Z141" s="271">
        <v>427433.6</v>
      </c>
      <c r="AA141" s="271">
        <v>427433.6</v>
      </c>
      <c r="AB141" s="271">
        <v>427433.6</v>
      </c>
      <c r="AC141" s="271">
        <v>427433.6</v>
      </c>
      <c r="AD141" s="271">
        <v>427433.6</v>
      </c>
      <c r="AE141" s="271">
        <v>427433.6</v>
      </c>
      <c r="AF141" s="272">
        <v>427433.6</v>
      </c>
      <c r="AG141" s="257">
        <f t="shared" si="5"/>
        <v>427433.6</v>
      </c>
      <c r="AH141" s="44">
        <v>0</v>
      </c>
    </row>
    <row r="142" spans="1:34" x14ac:dyDescent="0.35">
      <c r="A142" s="30" t="s">
        <v>280</v>
      </c>
      <c r="B142" s="270">
        <v>417240</v>
      </c>
      <c r="C142" s="271">
        <v>417240</v>
      </c>
      <c r="D142" s="271">
        <v>417240</v>
      </c>
      <c r="E142" s="271">
        <v>417240</v>
      </c>
      <c r="F142" s="271">
        <v>417240</v>
      </c>
      <c r="G142" s="271">
        <v>417240</v>
      </c>
      <c r="H142" s="271">
        <v>417240</v>
      </c>
      <c r="I142" s="271">
        <v>417240</v>
      </c>
      <c r="J142" s="271">
        <v>417240</v>
      </c>
      <c r="K142" s="271">
        <v>417240</v>
      </c>
      <c r="L142" s="271">
        <v>417240</v>
      </c>
      <c r="M142" s="271">
        <v>417240</v>
      </c>
      <c r="N142" s="271">
        <v>417240</v>
      </c>
      <c r="O142" s="271">
        <v>417240</v>
      </c>
      <c r="P142" s="271">
        <v>417240</v>
      </c>
      <c r="Q142" s="271">
        <v>417240</v>
      </c>
      <c r="R142" s="271">
        <v>417240</v>
      </c>
      <c r="S142" s="271">
        <v>417240</v>
      </c>
      <c r="T142" s="271">
        <v>417240</v>
      </c>
      <c r="U142" s="271">
        <v>417240</v>
      </c>
      <c r="V142" s="271">
        <v>417240</v>
      </c>
      <c r="W142" s="271">
        <v>417240</v>
      </c>
      <c r="X142" s="271">
        <v>417240</v>
      </c>
      <c r="Y142" s="271">
        <v>417240</v>
      </c>
      <c r="Z142" s="271">
        <v>417240</v>
      </c>
      <c r="AA142" s="271">
        <v>417240</v>
      </c>
      <c r="AB142" s="271">
        <v>417240</v>
      </c>
      <c r="AC142" s="271">
        <v>417240</v>
      </c>
      <c r="AD142" s="271">
        <v>417240</v>
      </c>
      <c r="AE142" s="271">
        <v>417240</v>
      </c>
      <c r="AF142" s="272">
        <v>417240</v>
      </c>
      <c r="AG142" s="257">
        <f t="shared" si="5"/>
        <v>417240</v>
      </c>
      <c r="AH142" s="44">
        <v>0</v>
      </c>
    </row>
    <row r="143" spans="1:34" x14ac:dyDescent="0.35">
      <c r="A143" s="30" t="s">
        <v>281</v>
      </c>
      <c r="B143" s="270">
        <v>415256</v>
      </c>
      <c r="C143" s="271">
        <v>415256</v>
      </c>
      <c r="D143" s="271">
        <v>415256</v>
      </c>
      <c r="E143" s="271">
        <v>415256</v>
      </c>
      <c r="F143" s="271">
        <v>415256</v>
      </c>
      <c r="G143" s="271">
        <v>415256</v>
      </c>
      <c r="H143" s="271">
        <v>415256</v>
      </c>
      <c r="I143" s="271">
        <v>415256</v>
      </c>
      <c r="J143" s="271">
        <v>415256</v>
      </c>
      <c r="K143" s="271">
        <v>415256</v>
      </c>
      <c r="L143" s="271">
        <v>415256</v>
      </c>
      <c r="M143" s="271">
        <v>415256</v>
      </c>
      <c r="N143" s="271">
        <v>415256</v>
      </c>
      <c r="O143" s="271">
        <v>415256</v>
      </c>
      <c r="P143" s="271">
        <v>415256</v>
      </c>
      <c r="Q143" s="271">
        <v>415256</v>
      </c>
      <c r="R143" s="271">
        <v>415256</v>
      </c>
      <c r="S143" s="271">
        <v>415256</v>
      </c>
      <c r="T143" s="271">
        <v>415256</v>
      </c>
      <c r="U143" s="271">
        <v>415256</v>
      </c>
      <c r="V143" s="271">
        <v>415256</v>
      </c>
      <c r="W143" s="271">
        <v>415256</v>
      </c>
      <c r="X143" s="271">
        <v>415256</v>
      </c>
      <c r="Y143" s="271">
        <v>415256</v>
      </c>
      <c r="Z143" s="271">
        <v>415256</v>
      </c>
      <c r="AA143" s="271">
        <v>415256</v>
      </c>
      <c r="AB143" s="271">
        <v>415256</v>
      </c>
      <c r="AC143" s="271">
        <v>415256</v>
      </c>
      <c r="AD143" s="271">
        <v>415256</v>
      </c>
      <c r="AE143" s="271">
        <v>415256</v>
      </c>
      <c r="AF143" s="272">
        <v>415256</v>
      </c>
      <c r="AG143" s="257">
        <f t="shared" si="5"/>
        <v>415256</v>
      </c>
      <c r="AH143" s="44">
        <v>0</v>
      </c>
    </row>
    <row r="144" spans="1:34" x14ac:dyDescent="0.35">
      <c r="A144" s="30" t="s">
        <v>282</v>
      </c>
      <c r="B144" s="270">
        <v>398196.04</v>
      </c>
      <c r="C144" s="271">
        <v>398196.04</v>
      </c>
      <c r="D144" s="271">
        <v>398196.04</v>
      </c>
      <c r="E144" s="271">
        <v>398196.04</v>
      </c>
      <c r="F144" s="271">
        <v>398196.04</v>
      </c>
      <c r="G144" s="271">
        <v>398196.04</v>
      </c>
      <c r="H144" s="271">
        <v>398196.04</v>
      </c>
      <c r="I144" s="271">
        <v>398196.04</v>
      </c>
      <c r="J144" s="271">
        <v>398196.04</v>
      </c>
      <c r="K144" s="271">
        <v>398196.04</v>
      </c>
      <c r="L144" s="271">
        <v>398196.04</v>
      </c>
      <c r="M144" s="271">
        <v>398196.04</v>
      </c>
      <c r="N144" s="271">
        <v>398196.04</v>
      </c>
      <c r="O144" s="271">
        <v>398196.04</v>
      </c>
      <c r="P144" s="271">
        <v>398196.04</v>
      </c>
      <c r="Q144" s="271">
        <v>398196.04</v>
      </c>
      <c r="R144" s="271">
        <v>398196.04</v>
      </c>
      <c r="S144" s="271">
        <v>398196.04</v>
      </c>
      <c r="T144" s="271">
        <v>398196.04</v>
      </c>
      <c r="U144" s="271">
        <v>398196.04</v>
      </c>
      <c r="V144" s="271">
        <v>398196.04</v>
      </c>
      <c r="W144" s="271">
        <v>398196.04</v>
      </c>
      <c r="X144" s="271">
        <v>398196.04</v>
      </c>
      <c r="Y144" s="271">
        <v>398196.04</v>
      </c>
      <c r="Z144" s="271">
        <v>398196.04</v>
      </c>
      <c r="AA144" s="271">
        <v>398196.04</v>
      </c>
      <c r="AB144" s="271">
        <v>398196.04</v>
      </c>
      <c r="AC144" s="271">
        <v>398196.04</v>
      </c>
      <c r="AD144" s="271">
        <v>398196.04</v>
      </c>
      <c r="AE144" s="271">
        <v>398196.04</v>
      </c>
      <c r="AF144" s="272">
        <v>398196.04</v>
      </c>
      <c r="AG144" s="257">
        <f t="shared" si="5"/>
        <v>398196.04</v>
      </c>
      <c r="AH144" s="44">
        <v>0</v>
      </c>
    </row>
    <row r="145" spans="1:34" x14ac:dyDescent="0.35">
      <c r="A145" s="30" t="s">
        <v>283</v>
      </c>
      <c r="B145" s="270">
        <v>433469</v>
      </c>
      <c r="C145" s="271">
        <v>433469</v>
      </c>
      <c r="D145" s="271">
        <v>433469</v>
      </c>
      <c r="E145" s="271">
        <v>433469</v>
      </c>
      <c r="F145" s="271">
        <v>433469</v>
      </c>
      <c r="G145" s="271">
        <v>433469</v>
      </c>
      <c r="H145" s="271">
        <v>433469</v>
      </c>
      <c r="I145" s="271">
        <v>433469</v>
      </c>
      <c r="J145" s="271">
        <v>433469</v>
      </c>
      <c r="K145" s="271">
        <v>433469</v>
      </c>
      <c r="L145" s="271">
        <v>433469</v>
      </c>
      <c r="M145" s="271">
        <v>433469</v>
      </c>
      <c r="N145" s="271">
        <v>433469</v>
      </c>
      <c r="O145" s="271">
        <v>433469</v>
      </c>
      <c r="P145" s="271">
        <v>433469</v>
      </c>
      <c r="Q145" s="271">
        <v>433469</v>
      </c>
      <c r="R145" s="271">
        <v>433469</v>
      </c>
      <c r="S145" s="271">
        <v>433469</v>
      </c>
      <c r="T145" s="271">
        <v>433469</v>
      </c>
      <c r="U145" s="271">
        <v>433469</v>
      </c>
      <c r="V145" s="271">
        <v>433469</v>
      </c>
      <c r="W145" s="271">
        <v>433469</v>
      </c>
      <c r="X145" s="271">
        <v>433469</v>
      </c>
      <c r="Y145" s="271">
        <v>433469</v>
      </c>
      <c r="Z145" s="271">
        <v>433469</v>
      </c>
      <c r="AA145" s="271">
        <v>433469</v>
      </c>
      <c r="AB145" s="271">
        <v>433469</v>
      </c>
      <c r="AC145" s="271">
        <v>433469</v>
      </c>
      <c r="AD145" s="271">
        <v>433469</v>
      </c>
      <c r="AE145" s="271">
        <v>433469</v>
      </c>
      <c r="AF145" s="272">
        <v>433469</v>
      </c>
      <c r="AG145" s="257">
        <f t="shared" si="5"/>
        <v>433469</v>
      </c>
      <c r="AH145" s="44">
        <v>0</v>
      </c>
    </row>
    <row r="146" spans="1:34" x14ac:dyDescent="0.35">
      <c r="A146" s="30" t="s">
        <v>284</v>
      </c>
      <c r="B146" s="270">
        <v>416804</v>
      </c>
      <c r="C146" s="271">
        <v>416804</v>
      </c>
      <c r="D146" s="271">
        <v>416804</v>
      </c>
      <c r="E146" s="271">
        <v>416804</v>
      </c>
      <c r="F146" s="271">
        <v>416804</v>
      </c>
      <c r="G146" s="271">
        <v>416804</v>
      </c>
      <c r="H146" s="271">
        <v>416804</v>
      </c>
      <c r="I146" s="271">
        <v>416804</v>
      </c>
      <c r="J146" s="271">
        <v>416804</v>
      </c>
      <c r="K146" s="271">
        <v>416804</v>
      </c>
      <c r="L146" s="271">
        <v>416804</v>
      </c>
      <c r="M146" s="271">
        <v>416804</v>
      </c>
      <c r="N146" s="271">
        <v>416804</v>
      </c>
      <c r="O146" s="271">
        <v>416804</v>
      </c>
      <c r="P146" s="271">
        <v>416804</v>
      </c>
      <c r="Q146" s="271">
        <v>416804</v>
      </c>
      <c r="R146" s="271">
        <v>416804</v>
      </c>
      <c r="S146" s="271">
        <v>416804</v>
      </c>
      <c r="T146" s="271">
        <v>416804</v>
      </c>
      <c r="U146" s="271">
        <v>416804</v>
      </c>
      <c r="V146" s="271">
        <v>416804</v>
      </c>
      <c r="W146" s="271">
        <v>416804</v>
      </c>
      <c r="X146" s="271">
        <v>416804</v>
      </c>
      <c r="Y146" s="271">
        <v>416804</v>
      </c>
      <c r="Z146" s="271">
        <v>416804</v>
      </c>
      <c r="AA146" s="271">
        <v>416804</v>
      </c>
      <c r="AB146" s="271">
        <v>416804</v>
      </c>
      <c r="AC146" s="271">
        <v>416804</v>
      </c>
      <c r="AD146" s="271">
        <v>416804</v>
      </c>
      <c r="AE146" s="271">
        <v>416804</v>
      </c>
      <c r="AF146" s="272">
        <v>416804</v>
      </c>
      <c r="AG146" s="257">
        <f t="shared" si="5"/>
        <v>416804</v>
      </c>
      <c r="AH146" s="44">
        <v>0</v>
      </c>
    </row>
    <row r="147" spans="1:34" x14ac:dyDescent="0.35">
      <c r="A147" s="30" t="s">
        <v>286</v>
      </c>
      <c r="B147" s="270">
        <v>407088</v>
      </c>
      <c r="C147" s="271">
        <v>407088</v>
      </c>
      <c r="D147" s="271">
        <v>407088</v>
      </c>
      <c r="E147" s="271">
        <v>407088</v>
      </c>
      <c r="F147" s="271">
        <v>407088</v>
      </c>
      <c r="G147" s="271">
        <v>407088</v>
      </c>
      <c r="H147" s="271">
        <v>407088</v>
      </c>
      <c r="I147" s="271">
        <v>407088</v>
      </c>
      <c r="J147" s="271">
        <v>407088</v>
      </c>
      <c r="K147" s="271">
        <v>407088</v>
      </c>
      <c r="L147" s="271">
        <v>407088</v>
      </c>
      <c r="M147" s="271">
        <v>407088</v>
      </c>
      <c r="N147" s="271">
        <v>407088</v>
      </c>
      <c r="O147" s="271">
        <v>407088</v>
      </c>
      <c r="P147" s="271">
        <v>407088</v>
      </c>
      <c r="Q147" s="271">
        <v>407088</v>
      </c>
      <c r="R147" s="271">
        <v>407088</v>
      </c>
      <c r="S147" s="271">
        <v>407088</v>
      </c>
      <c r="T147" s="271">
        <v>407088</v>
      </c>
      <c r="U147" s="271">
        <v>407088</v>
      </c>
      <c r="V147" s="271">
        <v>407088</v>
      </c>
      <c r="W147" s="271">
        <v>407088</v>
      </c>
      <c r="X147" s="271">
        <v>407088</v>
      </c>
      <c r="Y147" s="271">
        <v>407088</v>
      </c>
      <c r="Z147" s="271">
        <v>407088</v>
      </c>
      <c r="AA147" s="271">
        <v>407088</v>
      </c>
      <c r="AB147" s="271">
        <v>407088</v>
      </c>
      <c r="AC147" s="271">
        <v>407088</v>
      </c>
      <c r="AD147" s="271">
        <v>407088</v>
      </c>
      <c r="AE147" s="271">
        <v>407088</v>
      </c>
      <c r="AF147" s="272">
        <v>407088</v>
      </c>
      <c r="AG147" s="257">
        <f t="shared" si="5"/>
        <v>407088</v>
      </c>
      <c r="AH147" s="44">
        <v>0</v>
      </c>
    </row>
    <row r="148" spans="1:34" x14ac:dyDescent="0.35">
      <c r="A148" s="30" t="s">
        <v>287</v>
      </c>
      <c r="B148" s="270">
        <v>415152</v>
      </c>
      <c r="C148" s="271">
        <v>415152</v>
      </c>
      <c r="D148" s="271">
        <v>415152</v>
      </c>
      <c r="E148" s="271">
        <v>415152</v>
      </c>
      <c r="F148" s="271">
        <v>415152</v>
      </c>
      <c r="G148" s="271">
        <v>415152</v>
      </c>
      <c r="H148" s="271">
        <v>415152</v>
      </c>
      <c r="I148" s="271">
        <v>415152</v>
      </c>
      <c r="J148" s="271">
        <v>415152</v>
      </c>
      <c r="K148" s="271">
        <v>415152</v>
      </c>
      <c r="L148" s="271">
        <v>415152</v>
      </c>
      <c r="M148" s="271">
        <v>415152</v>
      </c>
      <c r="N148" s="271">
        <v>415152</v>
      </c>
      <c r="O148" s="271">
        <v>415152</v>
      </c>
      <c r="P148" s="271">
        <v>415152</v>
      </c>
      <c r="Q148" s="271">
        <v>415152</v>
      </c>
      <c r="R148" s="271">
        <v>415152</v>
      </c>
      <c r="S148" s="271">
        <v>415152</v>
      </c>
      <c r="T148" s="271">
        <v>415152</v>
      </c>
      <c r="U148" s="271">
        <v>415152</v>
      </c>
      <c r="V148" s="271">
        <v>415152</v>
      </c>
      <c r="W148" s="271">
        <v>415152</v>
      </c>
      <c r="X148" s="271">
        <v>415152</v>
      </c>
      <c r="Y148" s="271">
        <v>415152</v>
      </c>
      <c r="Z148" s="271">
        <v>415152</v>
      </c>
      <c r="AA148" s="271">
        <v>415152</v>
      </c>
      <c r="AB148" s="271">
        <v>415152</v>
      </c>
      <c r="AC148" s="271">
        <v>415152</v>
      </c>
      <c r="AD148" s="271">
        <v>415152</v>
      </c>
      <c r="AE148" s="271">
        <v>415152</v>
      </c>
      <c r="AF148" s="272">
        <v>415152</v>
      </c>
      <c r="AG148" s="257">
        <f t="shared" si="5"/>
        <v>415152</v>
      </c>
      <c r="AH148" s="44">
        <v>0</v>
      </c>
    </row>
    <row r="149" spans="1:34" x14ac:dyDescent="0.35">
      <c r="A149" s="30" t="s">
        <v>288</v>
      </c>
      <c r="B149" s="270">
        <v>410628</v>
      </c>
      <c r="C149" s="271">
        <v>410628</v>
      </c>
      <c r="D149" s="271">
        <v>410628</v>
      </c>
      <c r="E149" s="271">
        <v>410628</v>
      </c>
      <c r="F149" s="271">
        <v>410628</v>
      </c>
      <c r="G149" s="271">
        <v>410628</v>
      </c>
      <c r="H149" s="271">
        <v>410628</v>
      </c>
      <c r="I149" s="271">
        <v>410628</v>
      </c>
      <c r="J149" s="271">
        <v>410628</v>
      </c>
      <c r="K149" s="271">
        <v>410628</v>
      </c>
      <c r="L149" s="271">
        <v>410628</v>
      </c>
      <c r="M149" s="271">
        <v>410628</v>
      </c>
      <c r="N149" s="271">
        <v>410628</v>
      </c>
      <c r="O149" s="271">
        <v>410628</v>
      </c>
      <c r="P149" s="271">
        <v>410628</v>
      </c>
      <c r="Q149" s="271">
        <v>410628</v>
      </c>
      <c r="R149" s="271">
        <v>410628</v>
      </c>
      <c r="S149" s="271">
        <v>410628</v>
      </c>
      <c r="T149" s="271">
        <v>410628</v>
      </c>
      <c r="U149" s="271">
        <v>410628</v>
      </c>
      <c r="V149" s="271">
        <v>410628</v>
      </c>
      <c r="W149" s="271">
        <v>410628</v>
      </c>
      <c r="X149" s="271">
        <v>410628</v>
      </c>
      <c r="Y149" s="271">
        <v>410628</v>
      </c>
      <c r="Z149" s="271">
        <v>410628</v>
      </c>
      <c r="AA149" s="271">
        <v>410628</v>
      </c>
      <c r="AB149" s="271">
        <v>410628</v>
      </c>
      <c r="AC149" s="271">
        <v>410628</v>
      </c>
      <c r="AD149" s="271">
        <v>410628</v>
      </c>
      <c r="AE149" s="271">
        <v>410628</v>
      </c>
      <c r="AF149" s="272">
        <v>410628</v>
      </c>
      <c r="AG149" s="257">
        <f t="shared" si="5"/>
        <v>410628</v>
      </c>
      <c r="AH149" s="44">
        <v>0</v>
      </c>
    </row>
    <row r="150" spans="1:34" x14ac:dyDescent="0.35">
      <c r="A150" s="30" t="s">
        <v>289</v>
      </c>
      <c r="B150" s="270">
        <v>430174.36</v>
      </c>
      <c r="C150" s="271">
        <v>430174.36</v>
      </c>
      <c r="D150" s="271">
        <v>430174.36</v>
      </c>
      <c r="E150" s="271">
        <v>430174.36</v>
      </c>
      <c r="F150" s="271">
        <v>430174.36</v>
      </c>
      <c r="G150" s="271">
        <v>430174.36</v>
      </c>
      <c r="H150" s="271">
        <v>430174.36</v>
      </c>
      <c r="I150" s="271">
        <v>430174.36</v>
      </c>
      <c r="J150" s="271">
        <v>430174.36</v>
      </c>
      <c r="K150" s="271">
        <v>430174.36</v>
      </c>
      <c r="L150" s="271">
        <v>430174.36</v>
      </c>
      <c r="M150" s="271">
        <v>430174.36</v>
      </c>
      <c r="N150" s="271">
        <v>430174.36</v>
      </c>
      <c r="O150" s="271">
        <v>430174.36</v>
      </c>
      <c r="P150" s="271">
        <v>430174.36</v>
      </c>
      <c r="Q150" s="271">
        <v>430174.36</v>
      </c>
      <c r="R150" s="271">
        <v>430174.36</v>
      </c>
      <c r="S150" s="271">
        <v>430174.36</v>
      </c>
      <c r="T150" s="271">
        <v>430174.36</v>
      </c>
      <c r="U150" s="271">
        <v>430174.36</v>
      </c>
      <c r="V150" s="271">
        <v>430174.36</v>
      </c>
      <c r="W150" s="271">
        <v>430174.36</v>
      </c>
      <c r="X150" s="271">
        <v>430174.36</v>
      </c>
      <c r="Y150" s="271">
        <v>430174.36</v>
      </c>
      <c r="Z150" s="271">
        <v>430174.36</v>
      </c>
      <c r="AA150" s="271">
        <v>430174.36</v>
      </c>
      <c r="AB150" s="271">
        <v>430174.36</v>
      </c>
      <c r="AC150" s="271">
        <v>430174.36</v>
      </c>
      <c r="AD150" s="271">
        <v>430174.36</v>
      </c>
      <c r="AE150" s="271">
        <v>430174.36</v>
      </c>
      <c r="AF150" s="272">
        <v>430174.36</v>
      </c>
      <c r="AG150" s="257">
        <f t="shared" si="5"/>
        <v>430174.36</v>
      </c>
      <c r="AH150" s="44">
        <v>0</v>
      </c>
    </row>
    <row r="151" spans="1:34" x14ac:dyDescent="0.35">
      <c r="A151" s="30" t="s">
        <v>290</v>
      </c>
      <c r="B151" s="270">
        <v>410516</v>
      </c>
      <c r="C151" s="271">
        <v>410516</v>
      </c>
      <c r="D151" s="271">
        <v>410516</v>
      </c>
      <c r="E151" s="271">
        <v>410516</v>
      </c>
      <c r="F151" s="271">
        <v>410516</v>
      </c>
      <c r="G151" s="271">
        <v>410516</v>
      </c>
      <c r="H151" s="271">
        <v>410516</v>
      </c>
      <c r="I151" s="271">
        <v>410516</v>
      </c>
      <c r="J151" s="271">
        <v>410516</v>
      </c>
      <c r="K151" s="271">
        <v>410516</v>
      </c>
      <c r="L151" s="271">
        <v>410516</v>
      </c>
      <c r="M151" s="271">
        <v>410516</v>
      </c>
      <c r="N151" s="271">
        <v>410516</v>
      </c>
      <c r="O151" s="271">
        <v>410516</v>
      </c>
      <c r="P151" s="271">
        <v>410516</v>
      </c>
      <c r="Q151" s="271">
        <v>410516</v>
      </c>
      <c r="R151" s="271">
        <v>410516</v>
      </c>
      <c r="S151" s="271">
        <v>410516</v>
      </c>
      <c r="T151" s="271">
        <v>410516</v>
      </c>
      <c r="U151" s="271">
        <v>410516</v>
      </c>
      <c r="V151" s="271">
        <v>410516</v>
      </c>
      <c r="W151" s="271">
        <v>410516</v>
      </c>
      <c r="X151" s="271">
        <v>410516</v>
      </c>
      <c r="Y151" s="271">
        <v>410516</v>
      </c>
      <c r="Z151" s="271">
        <v>410516</v>
      </c>
      <c r="AA151" s="271">
        <v>410516</v>
      </c>
      <c r="AB151" s="271">
        <v>410516</v>
      </c>
      <c r="AC151" s="271">
        <v>410516</v>
      </c>
      <c r="AD151" s="271">
        <v>410516</v>
      </c>
      <c r="AE151" s="271">
        <v>410516</v>
      </c>
      <c r="AF151" s="272">
        <v>410516</v>
      </c>
      <c r="AG151" s="257">
        <f t="shared" si="5"/>
        <v>410516</v>
      </c>
      <c r="AH151" s="44">
        <v>0</v>
      </c>
    </row>
    <row r="152" spans="1:34" x14ac:dyDescent="0.35">
      <c r="A152" s="30" t="s">
        <v>291</v>
      </c>
      <c r="B152" s="270">
        <v>404897.6</v>
      </c>
      <c r="C152" s="271">
        <v>404897.6</v>
      </c>
      <c r="D152" s="271">
        <v>404897.6</v>
      </c>
      <c r="E152" s="271">
        <v>404897.6</v>
      </c>
      <c r="F152" s="271">
        <v>404897.6</v>
      </c>
      <c r="G152" s="271">
        <v>404897.6</v>
      </c>
      <c r="H152" s="271">
        <v>404897.6</v>
      </c>
      <c r="I152" s="271">
        <v>404897.6</v>
      </c>
      <c r="J152" s="271">
        <v>404897.6</v>
      </c>
      <c r="K152" s="271">
        <v>404897.6</v>
      </c>
      <c r="L152" s="271">
        <v>404897.6</v>
      </c>
      <c r="M152" s="271">
        <v>404897.6</v>
      </c>
      <c r="N152" s="271">
        <v>404897.6</v>
      </c>
      <c r="O152" s="271">
        <v>404897.6</v>
      </c>
      <c r="P152" s="271">
        <v>404897.6</v>
      </c>
      <c r="Q152" s="271">
        <v>404897.6</v>
      </c>
      <c r="R152" s="271">
        <v>404897.6</v>
      </c>
      <c r="S152" s="271">
        <v>404897.6</v>
      </c>
      <c r="T152" s="271">
        <v>404897.6</v>
      </c>
      <c r="U152" s="271">
        <v>404897.6</v>
      </c>
      <c r="V152" s="271">
        <v>404897.6</v>
      </c>
      <c r="W152" s="271">
        <v>404897.6</v>
      </c>
      <c r="X152" s="271">
        <v>404897.6</v>
      </c>
      <c r="Y152" s="271">
        <v>404897.6</v>
      </c>
      <c r="Z152" s="271">
        <v>404897.6</v>
      </c>
      <c r="AA152" s="271">
        <v>404897.6</v>
      </c>
      <c r="AB152" s="271">
        <v>404897.6</v>
      </c>
      <c r="AC152" s="271">
        <v>404897.6</v>
      </c>
      <c r="AD152" s="271">
        <v>404897.6</v>
      </c>
      <c r="AE152" s="271">
        <v>404897.6</v>
      </c>
      <c r="AF152" s="272">
        <v>404897.6</v>
      </c>
      <c r="AG152" s="257">
        <f t="shared" si="5"/>
        <v>404897.6</v>
      </c>
      <c r="AH152" s="44">
        <v>0</v>
      </c>
    </row>
    <row r="153" spans="1:34" x14ac:dyDescent="0.35">
      <c r="A153" s="30" t="s">
        <v>292</v>
      </c>
      <c r="B153" s="270">
        <v>427666.8</v>
      </c>
      <c r="C153" s="271">
        <v>427666.8</v>
      </c>
      <c r="D153" s="271">
        <v>427666.8</v>
      </c>
      <c r="E153" s="271">
        <v>427666.8</v>
      </c>
      <c r="F153" s="271">
        <v>427666.8</v>
      </c>
      <c r="G153" s="271">
        <v>427666.8</v>
      </c>
      <c r="H153" s="271">
        <v>427666.8</v>
      </c>
      <c r="I153" s="271">
        <v>427666.8</v>
      </c>
      <c r="J153" s="271">
        <v>427666.8</v>
      </c>
      <c r="K153" s="271">
        <v>427666.8</v>
      </c>
      <c r="L153" s="271">
        <v>427666.8</v>
      </c>
      <c r="M153" s="271">
        <v>427666.8</v>
      </c>
      <c r="N153" s="271">
        <v>427666.8</v>
      </c>
      <c r="O153" s="271">
        <v>427666.8</v>
      </c>
      <c r="P153" s="271">
        <v>427666.8</v>
      </c>
      <c r="Q153" s="271">
        <v>427666.8</v>
      </c>
      <c r="R153" s="271">
        <v>427666.8</v>
      </c>
      <c r="S153" s="271">
        <v>427666.8</v>
      </c>
      <c r="T153" s="271">
        <v>427666.8</v>
      </c>
      <c r="U153" s="271">
        <v>427666.8</v>
      </c>
      <c r="V153" s="271">
        <v>427666.8</v>
      </c>
      <c r="W153" s="271">
        <v>427666.8</v>
      </c>
      <c r="X153" s="271">
        <v>427666.8</v>
      </c>
      <c r="Y153" s="271">
        <v>427666.8</v>
      </c>
      <c r="Z153" s="271">
        <v>427666.8</v>
      </c>
      <c r="AA153" s="271">
        <v>427666.8</v>
      </c>
      <c r="AB153" s="271">
        <v>427666.8</v>
      </c>
      <c r="AC153" s="271">
        <v>427666.8</v>
      </c>
      <c r="AD153" s="271">
        <v>427666.8</v>
      </c>
      <c r="AE153" s="271">
        <v>427666.8</v>
      </c>
      <c r="AF153" s="272">
        <v>427666.8</v>
      </c>
      <c r="AG153" s="257">
        <f t="shared" si="5"/>
        <v>427666.8</v>
      </c>
      <c r="AH153" s="44">
        <v>0</v>
      </c>
    </row>
    <row r="154" spans="1:34" x14ac:dyDescent="0.35">
      <c r="A154" s="30" t="s">
        <v>293</v>
      </c>
      <c r="B154" s="270">
        <v>425478.95999999996</v>
      </c>
      <c r="C154" s="271">
        <v>425478.95999999996</v>
      </c>
      <c r="D154" s="271">
        <v>425478.95999999996</v>
      </c>
      <c r="E154" s="271">
        <v>425478.95999999996</v>
      </c>
      <c r="F154" s="271">
        <v>425478.95999999996</v>
      </c>
      <c r="G154" s="271">
        <v>425478.95999999996</v>
      </c>
      <c r="H154" s="271">
        <v>425478.95999999996</v>
      </c>
      <c r="I154" s="271">
        <v>425478.95999999996</v>
      </c>
      <c r="J154" s="271">
        <v>425478.95999999996</v>
      </c>
      <c r="K154" s="271">
        <v>425478.95999999996</v>
      </c>
      <c r="L154" s="271">
        <v>425478.95999999996</v>
      </c>
      <c r="M154" s="271">
        <v>425478.95999999996</v>
      </c>
      <c r="N154" s="271">
        <v>425478.95999999996</v>
      </c>
      <c r="O154" s="271">
        <v>425478.95999999996</v>
      </c>
      <c r="P154" s="271">
        <v>425478.95999999996</v>
      </c>
      <c r="Q154" s="271">
        <v>425478.95999999996</v>
      </c>
      <c r="R154" s="271">
        <v>425478.95999999996</v>
      </c>
      <c r="S154" s="271">
        <v>425478.95999999996</v>
      </c>
      <c r="T154" s="271">
        <v>425478.95999999996</v>
      </c>
      <c r="U154" s="271">
        <v>425478.95999999996</v>
      </c>
      <c r="V154" s="271">
        <v>425478.95999999996</v>
      </c>
      <c r="W154" s="271">
        <v>425478.95999999996</v>
      </c>
      <c r="X154" s="271">
        <v>425478.95999999996</v>
      </c>
      <c r="Y154" s="271">
        <v>425478.95999999996</v>
      </c>
      <c r="Z154" s="271">
        <v>425478.95999999996</v>
      </c>
      <c r="AA154" s="271">
        <v>425478.95999999996</v>
      </c>
      <c r="AB154" s="271">
        <v>425478.95999999996</v>
      </c>
      <c r="AC154" s="271">
        <v>425478.95999999996</v>
      </c>
      <c r="AD154" s="271">
        <v>425478.95999999996</v>
      </c>
      <c r="AE154" s="271">
        <v>425478.95999999996</v>
      </c>
      <c r="AF154" s="272">
        <v>425478.95999999996</v>
      </c>
      <c r="AG154" s="257">
        <f t="shared" si="5"/>
        <v>425478.95999999996</v>
      </c>
      <c r="AH154" s="44">
        <v>0</v>
      </c>
    </row>
    <row r="155" spans="1:34" x14ac:dyDescent="0.35">
      <c r="A155" s="30" t="s">
        <v>294</v>
      </c>
      <c r="B155" s="270">
        <v>394108</v>
      </c>
      <c r="C155" s="271">
        <v>394108</v>
      </c>
      <c r="D155" s="271">
        <v>394108</v>
      </c>
      <c r="E155" s="271">
        <v>394108</v>
      </c>
      <c r="F155" s="271">
        <v>394108</v>
      </c>
      <c r="G155" s="271">
        <v>394108</v>
      </c>
      <c r="H155" s="271">
        <v>394108</v>
      </c>
      <c r="I155" s="271">
        <v>394108</v>
      </c>
      <c r="J155" s="271">
        <v>394108</v>
      </c>
      <c r="K155" s="271">
        <v>394108</v>
      </c>
      <c r="L155" s="271">
        <v>394108</v>
      </c>
      <c r="M155" s="271">
        <v>394108</v>
      </c>
      <c r="N155" s="271">
        <v>394108</v>
      </c>
      <c r="O155" s="271">
        <v>394108</v>
      </c>
      <c r="P155" s="271">
        <v>394108</v>
      </c>
      <c r="Q155" s="271">
        <v>394108</v>
      </c>
      <c r="R155" s="271">
        <v>394108</v>
      </c>
      <c r="S155" s="271">
        <v>394108</v>
      </c>
      <c r="T155" s="271">
        <v>394108</v>
      </c>
      <c r="U155" s="271">
        <v>394108</v>
      </c>
      <c r="V155" s="271">
        <v>394108</v>
      </c>
      <c r="W155" s="271">
        <v>394108</v>
      </c>
      <c r="X155" s="271">
        <v>394108</v>
      </c>
      <c r="Y155" s="271">
        <v>394108</v>
      </c>
      <c r="Z155" s="271">
        <v>394108</v>
      </c>
      <c r="AA155" s="271">
        <v>394108</v>
      </c>
      <c r="AB155" s="271">
        <v>394108</v>
      </c>
      <c r="AC155" s="271">
        <v>394108</v>
      </c>
      <c r="AD155" s="271">
        <v>394108</v>
      </c>
      <c r="AE155" s="271">
        <v>394108</v>
      </c>
      <c r="AF155" s="272">
        <v>394108</v>
      </c>
      <c r="AG155" s="257">
        <f t="shared" si="5"/>
        <v>394108</v>
      </c>
      <c r="AH155" s="44">
        <v>0</v>
      </c>
    </row>
    <row r="156" spans="1:34" x14ac:dyDescent="0.35">
      <c r="A156" s="30" t="s">
        <v>295</v>
      </c>
      <c r="B156" s="270">
        <v>406138.17</v>
      </c>
      <c r="C156" s="271">
        <v>406138.17</v>
      </c>
      <c r="D156" s="271">
        <v>406138.17</v>
      </c>
      <c r="E156" s="271">
        <v>406138.17</v>
      </c>
      <c r="F156" s="271">
        <v>406138.17</v>
      </c>
      <c r="G156" s="271">
        <v>406138.17</v>
      </c>
      <c r="H156" s="271">
        <v>406138.17</v>
      </c>
      <c r="I156" s="271">
        <v>406138.17</v>
      </c>
      <c r="J156" s="271">
        <v>406138.17</v>
      </c>
      <c r="K156" s="271">
        <v>406138.17</v>
      </c>
      <c r="L156" s="271">
        <v>406138.17</v>
      </c>
      <c r="M156" s="271">
        <v>406138.17</v>
      </c>
      <c r="N156" s="271">
        <v>406138.17</v>
      </c>
      <c r="O156" s="271">
        <v>406138.17</v>
      </c>
      <c r="P156" s="271">
        <v>406138.17</v>
      </c>
      <c r="Q156" s="271">
        <v>406138.17</v>
      </c>
      <c r="R156" s="271">
        <v>406138.17</v>
      </c>
      <c r="S156" s="271">
        <v>406138.17</v>
      </c>
      <c r="T156" s="271">
        <v>406138.17</v>
      </c>
      <c r="U156" s="271">
        <v>406138.17</v>
      </c>
      <c r="V156" s="271">
        <v>406138.17</v>
      </c>
      <c r="W156" s="271">
        <v>406138.17</v>
      </c>
      <c r="X156" s="271">
        <v>406138.17</v>
      </c>
      <c r="Y156" s="271">
        <v>406138.17</v>
      </c>
      <c r="Z156" s="271">
        <v>406138.17</v>
      </c>
      <c r="AA156" s="271">
        <v>406138.17</v>
      </c>
      <c r="AB156" s="271">
        <v>406138.17</v>
      </c>
      <c r="AC156" s="271">
        <v>406138.17</v>
      </c>
      <c r="AD156" s="271">
        <v>406138.17</v>
      </c>
      <c r="AE156" s="271">
        <v>406138.17</v>
      </c>
      <c r="AF156" s="272">
        <v>406138.17</v>
      </c>
      <c r="AG156" s="257">
        <f t="shared" si="5"/>
        <v>406138.17</v>
      </c>
      <c r="AH156" s="44">
        <v>0</v>
      </c>
    </row>
    <row r="157" spans="1:34" x14ac:dyDescent="0.35">
      <c r="A157" s="30" t="s">
        <v>296</v>
      </c>
      <c r="B157" s="270">
        <v>403044</v>
      </c>
      <c r="C157" s="271">
        <v>403044</v>
      </c>
      <c r="D157" s="271">
        <v>403044</v>
      </c>
      <c r="E157" s="271">
        <v>403044</v>
      </c>
      <c r="F157" s="271">
        <v>403044</v>
      </c>
      <c r="G157" s="271">
        <v>403044</v>
      </c>
      <c r="H157" s="271">
        <v>403044</v>
      </c>
      <c r="I157" s="271">
        <v>403044</v>
      </c>
      <c r="J157" s="271">
        <v>403044</v>
      </c>
      <c r="K157" s="271">
        <v>403044</v>
      </c>
      <c r="L157" s="271">
        <v>403044</v>
      </c>
      <c r="M157" s="271">
        <v>403044</v>
      </c>
      <c r="N157" s="271">
        <v>403044</v>
      </c>
      <c r="O157" s="271">
        <v>403044</v>
      </c>
      <c r="P157" s="271">
        <v>403044</v>
      </c>
      <c r="Q157" s="271">
        <v>403044</v>
      </c>
      <c r="R157" s="271">
        <v>403044</v>
      </c>
      <c r="S157" s="271">
        <v>403044</v>
      </c>
      <c r="T157" s="271">
        <v>403044</v>
      </c>
      <c r="U157" s="271">
        <v>403044</v>
      </c>
      <c r="V157" s="271">
        <v>403044</v>
      </c>
      <c r="W157" s="271">
        <v>403044</v>
      </c>
      <c r="X157" s="271">
        <v>403044</v>
      </c>
      <c r="Y157" s="271">
        <v>403044</v>
      </c>
      <c r="Z157" s="271">
        <v>403044</v>
      </c>
      <c r="AA157" s="271">
        <v>403044</v>
      </c>
      <c r="AB157" s="271">
        <v>403044</v>
      </c>
      <c r="AC157" s="271">
        <v>403044</v>
      </c>
      <c r="AD157" s="271">
        <v>403044</v>
      </c>
      <c r="AE157" s="271">
        <v>403044</v>
      </c>
      <c r="AF157" s="272">
        <v>403044</v>
      </c>
      <c r="AG157" s="257">
        <f t="shared" si="5"/>
        <v>403044</v>
      </c>
      <c r="AH157" s="44">
        <v>0</v>
      </c>
    </row>
    <row r="158" spans="1:34" x14ac:dyDescent="0.35">
      <c r="A158" s="30" t="s">
        <v>298</v>
      </c>
      <c r="B158" s="270">
        <v>292029.59999999998</v>
      </c>
      <c r="C158" s="271">
        <v>292029.59999999998</v>
      </c>
      <c r="D158" s="271">
        <v>292029.59999999998</v>
      </c>
      <c r="E158" s="271">
        <v>292029.59999999998</v>
      </c>
      <c r="F158" s="271">
        <v>292029.59999999998</v>
      </c>
      <c r="G158" s="271">
        <v>292029.59999999998</v>
      </c>
      <c r="H158" s="271">
        <v>292029.59999999998</v>
      </c>
      <c r="I158" s="271">
        <v>292029.59999999998</v>
      </c>
      <c r="J158" s="271">
        <v>292029.59999999998</v>
      </c>
      <c r="K158" s="271">
        <v>292029.59999999998</v>
      </c>
      <c r="L158" s="271">
        <v>292029.59999999998</v>
      </c>
      <c r="M158" s="271">
        <v>292029.59999999998</v>
      </c>
      <c r="N158" s="271">
        <v>292029.59999999998</v>
      </c>
      <c r="O158" s="271">
        <v>292029.59999999998</v>
      </c>
      <c r="P158" s="271">
        <v>292029.59999999998</v>
      </c>
      <c r="Q158" s="271">
        <v>292029.59999999998</v>
      </c>
      <c r="R158" s="271">
        <v>292029.59999999998</v>
      </c>
      <c r="S158" s="271">
        <v>292029.59999999998</v>
      </c>
      <c r="T158" s="271">
        <v>292029.59999999998</v>
      </c>
      <c r="U158" s="271">
        <v>292029.59999999998</v>
      </c>
      <c r="V158" s="271">
        <v>292029.59999999998</v>
      </c>
      <c r="W158" s="271">
        <v>292029.59999999998</v>
      </c>
      <c r="X158" s="271">
        <v>292029.59999999998</v>
      </c>
      <c r="Y158" s="271">
        <v>292029.59999999998</v>
      </c>
      <c r="Z158" s="271">
        <v>292029.59999999998</v>
      </c>
      <c r="AA158" s="271">
        <v>292029.59999999998</v>
      </c>
      <c r="AB158" s="271">
        <v>292029.59999999998</v>
      </c>
      <c r="AC158" s="271">
        <v>292029.59999999998</v>
      </c>
      <c r="AD158" s="271">
        <v>292029.59999999998</v>
      </c>
      <c r="AE158" s="271">
        <v>292029.59999999998</v>
      </c>
      <c r="AF158" s="272">
        <v>292029.59999999998</v>
      </c>
      <c r="AG158" s="257">
        <f t="shared" si="5"/>
        <v>292029.59999999998</v>
      </c>
      <c r="AH158" s="44">
        <v>0</v>
      </c>
    </row>
    <row r="159" spans="1:34" x14ac:dyDescent="0.35">
      <c r="A159" s="30" t="s">
        <v>299</v>
      </c>
      <c r="B159" s="270">
        <v>389484</v>
      </c>
      <c r="C159" s="271">
        <v>389484</v>
      </c>
      <c r="D159" s="271">
        <v>389484</v>
      </c>
      <c r="E159" s="271">
        <v>389484</v>
      </c>
      <c r="F159" s="271">
        <v>389484</v>
      </c>
      <c r="G159" s="271">
        <v>389484</v>
      </c>
      <c r="H159" s="271">
        <v>389484</v>
      </c>
      <c r="I159" s="271">
        <v>389484</v>
      </c>
      <c r="J159" s="271">
        <v>389484</v>
      </c>
      <c r="K159" s="271">
        <v>389484</v>
      </c>
      <c r="L159" s="271">
        <v>389484</v>
      </c>
      <c r="M159" s="271">
        <v>389484</v>
      </c>
      <c r="N159" s="271">
        <v>389484</v>
      </c>
      <c r="O159" s="271">
        <v>389484</v>
      </c>
      <c r="P159" s="271">
        <v>389484</v>
      </c>
      <c r="Q159" s="271">
        <v>389484</v>
      </c>
      <c r="R159" s="271">
        <v>389484</v>
      </c>
      <c r="S159" s="271">
        <v>389484</v>
      </c>
      <c r="T159" s="271">
        <v>389484</v>
      </c>
      <c r="U159" s="271">
        <v>389484</v>
      </c>
      <c r="V159" s="271">
        <v>389484</v>
      </c>
      <c r="W159" s="271">
        <v>389484</v>
      </c>
      <c r="X159" s="271">
        <v>389484</v>
      </c>
      <c r="Y159" s="271">
        <v>389484</v>
      </c>
      <c r="Z159" s="271">
        <v>389484</v>
      </c>
      <c r="AA159" s="271">
        <v>389484</v>
      </c>
      <c r="AB159" s="271">
        <v>389484</v>
      </c>
      <c r="AC159" s="271">
        <v>389484</v>
      </c>
      <c r="AD159" s="271">
        <v>389484</v>
      </c>
      <c r="AE159" s="271">
        <v>389484</v>
      </c>
      <c r="AF159" s="272">
        <v>389484</v>
      </c>
      <c r="AG159" s="257">
        <f t="shared" si="5"/>
        <v>389484</v>
      </c>
      <c r="AH159" s="44">
        <v>0</v>
      </c>
    </row>
    <row r="160" spans="1:34" x14ac:dyDescent="0.35">
      <c r="A160" s="30" t="s">
        <v>300</v>
      </c>
      <c r="B160" s="270">
        <v>336559.6</v>
      </c>
      <c r="C160" s="271">
        <v>336559.6</v>
      </c>
      <c r="D160" s="271">
        <v>336559.6</v>
      </c>
      <c r="E160" s="271">
        <v>336559.6</v>
      </c>
      <c r="F160" s="271">
        <v>336559.6</v>
      </c>
      <c r="G160" s="271">
        <v>336559.6</v>
      </c>
      <c r="H160" s="271">
        <v>336559.6</v>
      </c>
      <c r="I160" s="271">
        <v>336559.6</v>
      </c>
      <c r="J160" s="271">
        <v>336559.6</v>
      </c>
      <c r="K160" s="271">
        <v>336559.6</v>
      </c>
      <c r="L160" s="271">
        <v>336559.6</v>
      </c>
      <c r="M160" s="271">
        <v>336559.6</v>
      </c>
      <c r="N160" s="271">
        <v>336559.6</v>
      </c>
      <c r="O160" s="271">
        <v>336559.6</v>
      </c>
      <c r="P160" s="271">
        <v>336559.6</v>
      </c>
      <c r="Q160" s="271">
        <v>336559.6</v>
      </c>
      <c r="R160" s="271">
        <v>336559.6</v>
      </c>
      <c r="S160" s="271">
        <v>336559.6</v>
      </c>
      <c r="T160" s="271">
        <v>336559.6</v>
      </c>
      <c r="U160" s="271">
        <v>336559.6</v>
      </c>
      <c r="V160" s="271">
        <v>336559.6</v>
      </c>
      <c r="W160" s="271">
        <v>336559.6</v>
      </c>
      <c r="X160" s="271">
        <v>336559.6</v>
      </c>
      <c r="Y160" s="271">
        <v>336559.6</v>
      </c>
      <c r="Z160" s="271">
        <v>336559.6</v>
      </c>
      <c r="AA160" s="271">
        <v>336559.6</v>
      </c>
      <c r="AB160" s="271">
        <v>336559.6</v>
      </c>
      <c r="AC160" s="271">
        <v>336559.6</v>
      </c>
      <c r="AD160" s="271">
        <v>336559.6</v>
      </c>
      <c r="AE160" s="271">
        <v>336559.6</v>
      </c>
      <c r="AF160" s="272">
        <v>336559.6</v>
      </c>
      <c r="AG160" s="257">
        <f t="shared" si="5"/>
        <v>336559.6</v>
      </c>
      <c r="AH160" s="44">
        <v>0</v>
      </c>
    </row>
    <row r="161" spans="1:34" x14ac:dyDescent="0.35">
      <c r="A161" s="30" t="s">
        <v>301</v>
      </c>
      <c r="B161" s="270">
        <v>374428</v>
      </c>
      <c r="C161" s="271">
        <v>374428</v>
      </c>
      <c r="D161" s="271">
        <v>374428</v>
      </c>
      <c r="E161" s="271">
        <v>374428</v>
      </c>
      <c r="F161" s="271">
        <v>374428</v>
      </c>
      <c r="G161" s="271">
        <v>374428</v>
      </c>
      <c r="H161" s="271">
        <v>374428</v>
      </c>
      <c r="I161" s="271">
        <v>374428</v>
      </c>
      <c r="J161" s="271">
        <v>374428</v>
      </c>
      <c r="K161" s="271">
        <v>374428</v>
      </c>
      <c r="L161" s="271">
        <v>374428</v>
      </c>
      <c r="M161" s="271">
        <v>374428</v>
      </c>
      <c r="N161" s="271">
        <v>374428</v>
      </c>
      <c r="O161" s="271">
        <v>374428</v>
      </c>
      <c r="P161" s="271">
        <v>374428</v>
      </c>
      <c r="Q161" s="271">
        <v>374428</v>
      </c>
      <c r="R161" s="271">
        <v>374428</v>
      </c>
      <c r="S161" s="271">
        <v>374428</v>
      </c>
      <c r="T161" s="271">
        <v>374428</v>
      </c>
      <c r="U161" s="271">
        <v>374428</v>
      </c>
      <c r="V161" s="271">
        <v>374428</v>
      </c>
      <c r="W161" s="271">
        <v>374428</v>
      </c>
      <c r="X161" s="271">
        <v>374428</v>
      </c>
      <c r="Y161" s="271">
        <v>374428</v>
      </c>
      <c r="Z161" s="271">
        <v>374428</v>
      </c>
      <c r="AA161" s="271">
        <v>374428</v>
      </c>
      <c r="AB161" s="271">
        <v>374428</v>
      </c>
      <c r="AC161" s="271">
        <v>374428</v>
      </c>
      <c r="AD161" s="271">
        <v>374428</v>
      </c>
      <c r="AE161" s="271">
        <v>374428</v>
      </c>
      <c r="AF161" s="272">
        <v>374428</v>
      </c>
      <c r="AG161" s="257">
        <f t="shared" si="5"/>
        <v>374428</v>
      </c>
      <c r="AH161" s="44">
        <v>0</v>
      </c>
    </row>
    <row r="162" spans="1:34" x14ac:dyDescent="0.35">
      <c r="A162" s="30" t="s">
        <v>302</v>
      </c>
      <c r="B162" s="270">
        <v>0</v>
      </c>
      <c r="C162" s="271">
        <v>0</v>
      </c>
      <c r="D162" s="271">
        <v>0</v>
      </c>
      <c r="E162" s="271">
        <v>0</v>
      </c>
      <c r="F162" s="271">
        <v>0</v>
      </c>
      <c r="G162" s="271">
        <v>0</v>
      </c>
      <c r="H162" s="271">
        <v>0</v>
      </c>
      <c r="I162" s="271">
        <v>0</v>
      </c>
      <c r="J162" s="271">
        <v>0</v>
      </c>
      <c r="K162" s="271">
        <v>0</v>
      </c>
      <c r="L162" s="271">
        <v>0</v>
      </c>
      <c r="M162" s="271">
        <v>0</v>
      </c>
      <c r="N162" s="271">
        <v>0</v>
      </c>
      <c r="O162" s="271">
        <v>0</v>
      </c>
      <c r="P162" s="271">
        <v>0</v>
      </c>
      <c r="Q162" s="271">
        <v>0</v>
      </c>
      <c r="R162" s="271">
        <v>0</v>
      </c>
      <c r="S162" s="271">
        <v>0</v>
      </c>
      <c r="T162" s="271">
        <v>0</v>
      </c>
      <c r="U162" s="271">
        <v>0</v>
      </c>
      <c r="V162" s="271">
        <v>0</v>
      </c>
      <c r="W162" s="271">
        <v>0</v>
      </c>
      <c r="X162" s="271">
        <v>0</v>
      </c>
      <c r="Y162" s="271">
        <v>0</v>
      </c>
      <c r="Z162" s="271">
        <v>0</v>
      </c>
      <c r="AA162" s="271">
        <v>0</v>
      </c>
      <c r="AB162" s="271">
        <v>0</v>
      </c>
      <c r="AC162" s="271">
        <v>0</v>
      </c>
      <c r="AD162" s="271">
        <v>0</v>
      </c>
      <c r="AE162" s="271">
        <v>0</v>
      </c>
      <c r="AF162" s="272">
        <v>0</v>
      </c>
      <c r="AG162" s="257">
        <f t="shared" si="5"/>
        <v>0</v>
      </c>
      <c r="AH162" s="44">
        <v>0</v>
      </c>
    </row>
    <row r="163" spans="1:34" ht="15" thickBot="1" x14ac:dyDescent="0.4">
      <c r="A163" s="31" t="s">
        <v>303</v>
      </c>
      <c r="B163" s="273">
        <v>0</v>
      </c>
      <c r="C163" s="274">
        <v>0</v>
      </c>
      <c r="D163" s="274">
        <v>0</v>
      </c>
      <c r="E163" s="274">
        <v>0</v>
      </c>
      <c r="F163" s="274">
        <v>0</v>
      </c>
      <c r="G163" s="274">
        <v>0</v>
      </c>
      <c r="H163" s="274">
        <v>0</v>
      </c>
      <c r="I163" s="274">
        <v>0</v>
      </c>
      <c r="J163" s="274">
        <v>0</v>
      </c>
      <c r="K163" s="274">
        <v>0</v>
      </c>
      <c r="L163" s="274">
        <v>0</v>
      </c>
      <c r="M163" s="274">
        <v>0</v>
      </c>
      <c r="N163" s="274">
        <v>0</v>
      </c>
      <c r="O163" s="274">
        <v>0</v>
      </c>
      <c r="P163" s="274">
        <v>0</v>
      </c>
      <c r="Q163" s="274">
        <v>0</v>
      </c>
      <c r="R163" s="274">
        <v>0</v>
      </c>
      <c r="S163" s="274">
        <v>0</v>
      </c>
      <c r="T163" s="274">
        <v>0</v>
      </c>
      <c r="U163" s="274">
        <v>0</v>
      </c>
      <c r="V163" s="274">
        <v>0</v>
      </c>
      <c r="W163" s="274">
        <v>0</v>
      </c>
      <c r="X163" s="274">
        <v>0</v>
      </c>
      <c r="Y163" s="274">
        <v>0</v>
      </c>
      <c r="Z163" s="274">
        <v>0</v>
      </c>
      <c r="AA163" s="274">
        <v>0</v>
      </c>
      <c r="AB163" s="274">
        <v>0</v>
      </c>
      <c r="AC163" s="274">
        <v>0</v>
      </c>
      <c r="AD163" s="274">
        <v>0</v>
      </c>
      <c r="AE163" s="274">
        <v>0</v>
      </c>
      <c r="AF163" s="275">
        <v>0</v>
      </c>
      <c r="AG163" s="263">
        <f t="shared" si="5"/>
        <v>0</v>
      </c>
      <c r="AH163" s="44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DISPATCH</vt:lpstr>
      <vt:lpstr>930E-980E</vt:lpstr>
      <vt:lpstr>830E</vt:lpstr>
      <vt:lpstr>PROYECCIÓN-MP</vt:lpstr>
      <vt:lpstr>HORÓMETRO OCTUBRE 2024</vt:lpstr>
      <vt:lpstr>HORÓMETRO SEPTIEMBRE 2024</vt:lpstr>
      <vt:lpstr>HORÓMETRO AGOSTO 2024</vt:lpstr>
      <vt:lpstr>HORÓMETRO JULIO 2024</vt:lpstr>
      <vt:lpstr>HORÓMETRO JUNIO 2024</vt:lpstr>
      <vt:lpstr>HORÓMETRO MAYO 2024</vt:lpstr>
      <vt:lpstr>HORÓMETRO ABRIL 2024</vt:lpstr>
      <vt:lpstr>HORÓMETRO MARZO 2024</vt:lpstr>
      <vt:lpstr>HORÓMETRO FEBRERO 2024</vt:lpstr>
      <vt:lpstr>HORÓMETRO ENERO 2024</vt:lpstr>
    </vt:vector>
  </TitlesOfParts>
  <Company>CMWPSCCM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ANDRES   CONTRERAS PALACIOS</dc:creator>
  <cp:lastModifiedBy>FRANCISCO ANTONIO   SEGURA ARACENA</cp:lastModifiedBy>
  <dcterms:created xsi:type="dcterms:W3CDTF">2024-06-26T03:10:33Z</dcterms:created>
  <dcterms:modified xsi:type="dcterms:W3CDTF">2024-10-04T12:09:38Z</dcterms:modified>
</cp:coreProperties>
</file>